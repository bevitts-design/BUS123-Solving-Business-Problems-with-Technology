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Users/bethanyevittsair2/Documents/GitHub/BUS123-Solving-Business-Problems-with-Technology/MATH/M11/"/>
    </mc:Choice>
  </mc:AlternateContent>
  <xr:revisionPtr revIDLastSave="0" documentId="13_ncr:1_{39979652-77E1-6545-BEC8-C1F4F4A81CD5}" xr6:coauthVersionLast="47" xr6:coauthVersionMax="47" xr10:uidLastSave="{00000000-0000-0000-0000-000000000000}"/>
  <bookViews>
    <workbookView xWindow="0" yWindow="580" windowWidth="21200" windowHeight="14640" tabRatio="500" xr2:uid="{00000000-000D-0000-FFFF-FFFF00000000}"/>
  </bookViews>
  <sheets>
    <sheet name="START HERE" sheetId="1" r:id="rId1"/>
    <sheet name="Part 1 · Balance Sheet" sheetId="2" r:id="rId2"/>
    <sheet name="Part 2 · Income Statement" sheetId="3" r:id="rId3"/>
    <sheet name="Part 3 · Ratio Analysis" sheetId="4" r:id="rId4"/>
    <sheet name="FormulaReferenceCard" sheetId="5" r:id="rId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14" i="4" l="1"/>
  <c r="C13" i="4"/>
  <c r="C12" i="4"/>
  <c r="C11" i="4"/>
  <c r="C10" i="4"/>
  <c r="C9" i="4"/>
  <c r="C18" i="3"/>
  <c r="C11" i="3"/>
  <c r="B26" i="2"/>
  <c r="C20" i="2"/>
  <c r="E18" i="2"/>
  <c r="C16" i="2"/>
  <c r="E15" i="2"/>
  <c r="C21" i="2" l="1"/>
  <c r="C21" i="3"/>
  <c r="C23" i="3" s="1"/>
  <c r="E19" i="2"/>
  <c r="E22" i="2" s="1"/>
</calcChain>
</file>

<file path=xl/sharedStrings.xml><?xml version="1.0" encoding="utf-8"?>
<sst xmlns="http://schemas.openxmlformats.org/spreadsheetml/2006/main" count="164" uniqueCount="148">
  <si>
    <t>BUS123 · MATH-M11-L01  Financial Statements Activity</t>
  </si>
  <si>
    <t>Harborside Medical Center · Fall 2026</t>
  </si>
  <si>
    <t>Student Name:</t>
  </si>
  <si>
    <t>← Enter your name</t>
  </si>
  <si>
    <t>Date:</t>
  </si>
  <si>
    <t>Course:</t>
  </si>
  <si>
    <t>BUS123 — Solving Business Problems with Technology</t>
  </si>
  <si>
    <t>Learning Objectives</t>
  </si>
  <si>
    <t xml:space="preserve">  1. I can identify and explain what each of the three main financial statements tells you about a business.</t>
  </si>
  <si>
    <t xml:space="preserve">  2. I can apply the fundamental accounting equation and verify that a balance sheet balances.</t>
  </si>
  <si>
    <t xml:space="preserve">  3. I can calculate gross profit, COGS, and net income using Excel formulas.</t>
  </si>
  <si>
    <t xml:space="preserve">  4. I can calculate and interpret six key financial ratios from real financial data.</t>
  </si>
  <si>
    <t>How to Use This Workbook</t>
  </si>
  <si>
    <t>🟨 Yellow cells</t>
  </si>
  <si>
    <t>are where YOU enter your answers. Do not change any other cells.</t>
  </si>
  <si>
    <t>📋 Three Activity tabs</t>
  </si>
  <si>
    <t>complete each one in order: Balance Sheet → Income Statement → Ratio Analysis.</t>
  </si>
  <si>
    <t>📐 FormulaReferenceCard</t>
  </si>
  <si>
    <t>has all the formulas you need — check it anytime!</t>
  </si>
  <si>
    <t>✅ Green / 🔴 Red cells</t>
  </si>
  <si>
    <t>tell you if your answer is correct or needs another look.</t>
  </si>
  <si>
    <t>💡 Tip</t>
  </si>
  <si>
    <t>Read each section's instructions before entering numbers.</t>
  </si>
  <si>
    <t>Part 1 · Balance Sheet — Does Harborside Balance?</t>
  </si>
  <si>
    <t>Instructions: Harborside Medical Center's accounting team has recorded all transactions for the year. Your job is to (1) enter each account balance in the yellow cells, (2) write SUM formulas to calculate the totals, and (3) confirm the equation balances.</t>
  </si>
  <si>
    <t>Accounting Equation:    Assets  =  Liabilities  +  Owner's Equity</t>
  </si>
  <si>
    <t>ASSETS</t>
  </si>
  <si>
    <t>Account Balance</t>
  </si>
  <si>
    <t>LIABILITIES &amp; EQUITY</t>
  </si>
  <si>
    <t>Current Assets</t>
  </si>
  <si>
    <t>Current Liabilities</t>
  </si>
  <si>
    <t xml:space="preserve">  Cash</t>
  </si>
  <si>
    <t xml:space="preserve">  Accounts Payable</t>
  </si>
  <si>
    <t xml:space="preserve">  Accounts Receivable (Patient Billing)</t>
  </si>
  <si>
    <t xml:space="preserve">  Salaries Payable</t>
  </si>
  <si>
    <t xml:space="preserve">  Medical Supplies Inventory</t>
  </si>
  <si>
    <t xml:space="preserve">  Current Portion of Long-Term Debt</t>
  </si>
  <si>
    <t xml:space="preserve">  Prepaid Expenses</t>
  </si>
  <si>
    <t>Total Current Liabilities</t>
  </si>
  <si>
    <t>Total Current Assets</t>
  </si>
  <si>
    <t>Long-Term Liabilities</t>
  </si>
  <si>
    <t>Non-Current Assets</t>
  </si>
  <si>
    <t xml:space="preserve">  Long-Term Bank Loan</t>
  </si>
  <si>
    <t xml:space="preserve">  Medical Equipment (net of depreciation)</t>
  </si>
  <si>
    <t>Total Long-Term Liabilities</t>
  </si>
  <si>
    <t xml:space="preserve">  Buildings &amp; Improvements</t>
  </si>
  <si>
    <t>Total Liabilities</t>
  </si>
  <si>
    <t>Total Non-Current Assets</t>
  </si>
  <si>
    <t>Owner's Equity</t>
  </si>
  <si>
    <t>TOTAL ASSETS</t>
  </si>
  <si>
    <t xml:space="preserve">  Owner's Capital &amp; Retained Earnings</t>
  </si>
  <si>
    <t>TOTAL LIABILITIES + EQUITY</t>
  </si>
  <si>
    <t>💬  Reflection: Harborside has $680,000 in Accounts Receivable. Why might this be a concern even though the balance sheet looks healthy?</t>
  </si>
  <si>
    <t>Your answer:</t>
  </si>
  <si>
    <t>Part 2 · Income Statement — How Much Did Harborside Earn?</t>
  </si>
  <si>
    <t>Instructions: The accounting team has provided Harborside's revenue and cost data. Enter the given amounts in yellow cells, then build the formulas for Gross Profit and Net Income. There are three account sections. Read each one carefully before entering data.</t>
  </si>
  <si>
    <t xml:space="preserve">  SECTION A · Net Sales Calculation</t>
  </si>
  <si>
    <t>Gross Patient Service Revenue</t>
  </si>
  <si>
    <t>Given</t>
  </si>
  <si>
    <t>Less: Contractual Adjustments &amp; Discounts</t>
  </si>
  <si>
    <t>Net Patient Service Revenue (Net Sales)</t>
  </si>
  <si>
    <t xml:space="preserve"> =gross revenue − Adjustments</t>
  </si>
  <si>
    <t xml:space="preserve">  SECTION B · Cost of Services (COGS)</t>
  </si>
  <si>
    <t>Beginning Medical Supplies Inventory</t>
  </si>
  <si>
    <t>Net Purchases of Supplies</t>
  </si>
  <si>
    <t>Ending Medical Supplies Inventory</t>
  </si>
  <si>
    <t>Direct Labor (Clinical Staff Wages)</t>
  </si>
  <si>
    <t>Cost of Services (COGS)</t>
  </si>
  <si>
    <t xml:space="preserve"> =beg. inventory + net purchases − End. Inventory + Direct Labor</t>
  </si>
  <si>
    <t xml:space="preserve">  SECTION C · Gross Profit &amp; Net Income</t>
  </si>
  <si>
    <t>Gross Profit</t>
  </si>
  <si>
    <t xml:space="preserve"> =net sales − Cost of Services  ← BUILD THIS FORMULA</t>
  </si>
  <si>
    <t>Operating Expenses (Admin, Overhead, Utilities)</t>
  </si>
  <si>
    <t>Net Income</t>
  </si>
  <si>
    <t xml:space="preserve"> =gross profit − Operating Expenses  ← BUILD THIS FORMULA</t>
  </si>
  <si>
    <t>💬  Reflection: Harborside has $450,000 net income but only $412,000 in cash. Why the gap? Which statement shows you the cash situation?</t>
  </si>
  <si>
    <t>Part 3 · Ratio Analysis — How Is Harborside Performing?</t>
  </si>
  <si>
    <t>Instructions: Use the Harborside data in the green Data Panel on the right. Build the Excel formula for each ratio in column C (yellow). Your formula must reference the data cells — don't just type the number! Then interpret each result in column E.</t>
  </si>
  <si>
    <t>Ratio Name</t>
  </si>
  <si>
    <t>Your Formula &amp; Result</t>
  </si>
  <si>
    <t>Industry Avg</t>
  </si>
  <si>
    <t>What does this tell us about Harborside?</t>
  </si>
  <si>
    <t>Current Ratio
(Current Assets ÷ Current Liabilities)</t>
  </si>
  <si>
    <t>2.0 : 1</t>
  </si>
  <si>
    <t>Write your interpretation here...</t>
  </si>
  <si>
    <t>Quick Ratio
((Cash + Accts Rec.) ÷ Current Liabilities)</t>
  </si>
  <si>
    <t>1.0 : 1</t>
  </si>
  <si>
    <t>Total Debt to Total Assets
(Total Liabilities ÷ Total Assets)</t>
  </si>
  <si>
    <t>50%–70%</t>
  </si>
  <si>
    <t>Return on Equity (ROE)
(Net Income ÷ Owner's Equity)</t>
  </si>
  <si>
    <t>15%–20%</t>
  </si>
  <si>
    <t>Profit Margin on Net Sales
(Net Income ÷ Net Revenue)</t>
  </si>
  <si>
    <t>8%–12%</t>
  </si>
  <si>
    <t>Asset Turnover
(Net Revenue ÷ Total Assets)</t>
  </si>
  <si>
    <t>$0.13</t>
  </si>
  <si>
    <t>Accounts Receivable</t>
  </si>
  <si>
    <t>Medical Supplies</t>
  </si>
  <si>
    <t>🏆  CHALLENGE: Based on the ratios you calculated, write a 2-3 sentence summary of Harborside's financial health for the CFO.</t>
  </si>
  <si>
    <t>Your summary:</t>
  </si>
  <si>
    <t>Total Assets</t>
  </si>
  <si>
    <t>Formula Reference Card — M11 Financial Statements</t>
  </si>
  <si>
    <t>Formula / Concept</t>
  </si>
  <si>
    <t>Excel Syntax</t>
  </si>
  <si>
    <t>How to Read It</t>
  </si>
  <si>
    <t xml:space="preserve">  BALANCE SHEET</t>
  </si>
  <si>
    <t xml:space="preserve">  Accounting Equation</t>
  </si>
  <si>
    <t xml:space="preserve"> Assets = Liabilities + Equity</t>
  </si>
  <si>
    <t>Everything owned = Everything owed + Owner's stake</t>
  </si>
  <si>
    <t xml:space="preserve">  Owner's Equity</t>
  </si>
  <si>
    <t xml:space="preserve"> Assets - Liabilities</t>
  </si>
  <si>
    <t>What's left for the owner after all debts are paid</t>
  </si>
  <si>
    <t xml:space="preserve">  INCOME STATEMENT</t>
  </si>
  <si>
    <t xml:space="preserve">  Net Sales</t>
  </si>
  <si>
    <t xml:space="preserve"> Gross Revenue - Returns - Discounts</t>
  </si>
  <si>
    <t>Revenue after adjustments</t>
  </si>
  <si>
    <t xml:space="preserve">  Cost of Goods Sold (COGS)</t>
  </si>
  <si>
    <t xml:space="preserve"> Beg. Inventory + Purchases - End. Inventory</t>
  </si>
  <si>
    <t>Direct cost of what was sold</t>
  </si>
  <si>
    <t xml:space="preserve">  Gross Profit</t>
  </si>
  <si>
    <t xml:space="preserve"> Net Sales - COGS</t>
  </si>
  <si>
    <t>Profit before overhead/operating costs</t>
  </si>
  <si>
    <t xml:space="preserve">  Net Income</t>
  </si>
  <si>
    <t xml:space="preserve"> Gross Profit - Operating Expenses</t>
  </si>
  <si>
    <t>Bottom-line profit after all costs</t>
  </si>
  <si>
    <t xml:space="preserve">  RATIO ANALYSIS</t>
  </si>
  <si>
    <t xml:space="preserve">  Current Ratio</t>
  </si>
  <si>
    <t xml:space="preserve"> =CurrentAssets/CurrentLiabilities</t>
  </si>
  <si>
    <t>Can we pay short-term bills? Target: 2.0</t>
  </si>
  <si>
    <t xml:space="preserve">  Quick Ratio</t>
  </si>
  <si>
    <t xml:space="preserve"> =(Cash+AR)/CurrentLiabilities</t>
  </si>
  <si>
    <t>Stricter liquidity. Excludes inventory. Target: 1.0</t>
  </si>
  <si>
    <t xml:space="preserve">  Total Debt to Total Assets</t>
  </si>
  <si>
    <t xml:space="preserve"> =TotalLiabilities/TotalAssets</t>
  </si>
  <si>
    <t>% of assets funded by debt. Lower = safer.</t>
  </si>
  <si>
    <t xml:space="preserve">  Return on Equity (ROE)</t>
  </si>
  <si>
    <t xml:space="preserve"> =NetIncome/OwnersEquity</t>
  </si>
  <si>
    <t>How hard is equity working? Target: 15–20%</t>
  </si>
  <si>
    <t xml:space="preserve">  Profit Margin on Net Sales</t>
  </si>
  <si>
    <t xml:space="preserve"> =NetIncome/NetSales</t>
  </si>
  <si>
    <t>Cents of profit per $1 of revenue</t>
  </si>
  <si>
    <t xml:space="preserve">  Asset Turnover</t>
  </si>
  <si>
    <t xml:space="preserve"> =NetSales/TotalAssets</t>
  </si>
  <si>
    <t>$ of revenue generated per $1 of assets</t>
  </si>
  <si>
    <t xml:space="preserve">  TREND ANALYSIS</t>
  </si>
  <si>
    <t xml:space="preserve">  Trend Percentage</t>
  </si>
  <si>
    <t xml:space="preserve"> =CurrentYear/BaseYear</t>
  </si>
  <si>
    <t>Express as %. Base year = 100%. Shows % change.</t>
  </si>
  <si>
    <t>⚠  Note: Excel formulas in this card begin with a space character so they display as text — remove the space before using in your activity tabs!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</si>
</sst>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charset val="1"/>
    </font>
    <font>
      <b/>
      <sz val="18"/>
      <color rgb="FFFAF8F3"/>
      <name val="Calibri"/>
      <family val="2"/>
    </font>
    <font>
      <i/>
      <sz val="11"/>
      <color rgb="FFB8843D"/>
      <name val="Calibri"/>
      <family val="2"/>
    </font>
    <font>
      <b/>
      <sz val="11"/>
      <color rgb="FF1A1F2C"/>
      <name val="Calibri"/>
      <family val="2"/>
    </font>
    <font>
      <sz val="11"/>
      <color rgb="FF1A1F2C"/>
      <name val="Calibri"/>
      <family val="2"/>
    </font>
    <font>
      <i/>
      <sz val="9"/>
      <color rgb="FF7A8290"/>
      <name val="Calibri"/>
      <family val="2"/>
    </font>
    <font>
      <b/>
      <sz val="13"/>
      <color rgb="FFFAF8F3"/>
      <name val="Calibri"/>
      <family val="2"/>
    </font>
    <font>
      <b/>
      <sz val="16"/>
      <color rgb="FFFAF8F3"/>
      <name val="Calibri"/>
      <family val="2"/>
    </font>
    <font>
      <i/>
      <sz val="10"/>
      <color rgb="FF1A1F2C"/>
      <name val="Calibri"/>
      <family val="2"/>
    </font>
    <font>
      <b/>
      <sz val="12"/>
      <color rgb="FF0E1116"/>
      <name val="Courier New"/>
      <family val="1"/>
    </font>
    <font>
      <b/>
      <sz val="11"/>
      <color rgb="FFFAF8F3"/>
      <name val="Calibri"/>
      <family val="2"/>
    </font>
    <font>
      <b/>
      <sz val="11"/>
      <color rgb="FF0E1116"/>
      <name val="Calibri"/>
      <family val="2"/>
    </font>
    <font>
      <b/>
      <sz val="12"/>
      <color rgb="FF0E1116"/>
      <name val="Calibri"/>
      <family val="2"/>
    </font>
    <font>
      <i/>
      <sz val="10"/>
      <color rgb="FF7A8290"/>
      <name val="Calibri"/>
      <family val="2"/>
    </font>
    <font>
      <sz val="10"/>
      <color rgb="FF1A1F2C"/>
      <name val="Calibri"/>
      <family val="2"/>
    </font>
    <font>
      <sz val="10"/>
      <color rgb="FF355773"/>
      <name val="Courier New"/>
      <family val="1"/>
    </font>
    <font>
      <sz val="11"/>
      <color rgb="FF0E1116"/>
      <name val="Calibri"/>
      <family val="2"/>
    </font>
    <font>
      <b/>
      <sz val="10"/>
      <color rgb="FF355773"/>
      <name val="Courier New"/>
      <family val="1"/>
    </font>
    <font>
      <sz val="10"/>
      <color rgb="FF4A5567"/>
      <name val="Calibri"/>
      <family val="2"/>
    </font>
    <font>
      <i/>
      <sz val="10"/>
      <color rgb="FF9C4A2B"/>
      <name val="Calibri"/>
      <family val="2"/>
    </font>
  </fonts>
  <fills count="13">
    <fill>
      <patternFill patternType="none"/>
    </fill>
    <fill>
      <patternFill patternType="gray125"/>
    </fill>
    <fill>
      <patternFill patternType="solid">
        <fgColor rgb="FF0E1116"/>
        <bgColor rgb="FF1A1F2C"/>
      </patternFill>
    </fill>
    <fill>
      <patternFill patternType="solid">
        <fgColor rgb="FF4A7C5E"/>
        <bgColor rgb="FF4A5567"/>
      </patternFill>
    </fill>
    <fill>
      <patternFill patternType="solid">
        <fgColor rgb="FFFFD966"/>
        <bgColor rgb="FFFFCC00"/>
      </patternFill>
    </fill>
    <fill>
      <patternFill patternType="solid">
        <fgColor rgb="FFFFFFFF"/>
        <bgColor rgb="FFFAF8F3"/>
      </patternFill>
    </fill>
    <fill>
      <patternFill patternType="solid">
        <fgColor rgb="FFF2EEE5"/>
        <bgColor rgb="FFFAF0ED"/>
      </patternFill>
    </fill>
    <fill>
      <patternFill patternType="solid">
        <fgColor rgb="FFB8843D"/>
        <bgColor rgb="FF969696"/>
      </patternFill>
    </fill>
    <fill>
      <patternFill patternType="solid">
        <fgColor rgb="FFFDF4E7"/>
        <bgColor rgb="FFFAF0ED"/>
      </patternFill>
    </fill>
    <fill>
      <patternFill patternType="solid">
        <fgColor rgb="FFEAF3EC"/>
        <bgColor rgb="FFF2EEE5"/>
      </patternFill>
    </fill>
    <fill>
      <patternFill patternType="solid">
        <fgColor rgb="FFFAF0ED"/>
        <bgColor rgb="FFFDF4E7"/>
      </patternFill>
    </fill>
    <fill>
      <patternFill patternType="solid">
        <fgColor rgb="FF9C4A2B"/>
        <bgColor rgb="FF993366"/>
      </patternFill>
    </fill>
    <fill>
      <patternFill patternType="solid">
        <fgColor rgb="FF355773"/>
        <bgColor rgb="FF4A5567"/>
      </patternFill>
    </fill>
  </fills>
  <borders count="6">
    <border>
      <left/>
      <right/>
      <top/>
      <bottom/>
      <diagonal/>
    </border>
    <border>
      <left style="medium">
        <color rgb="FF4A7C5E"/>
      </left>
      <right/>
      <top style="medium">
        <color rgb="FF4A7C5E"/>
      </top>
      <bottom style="medium">
        <color rgb="FF4A7C5E"/>
      </bottom>
      <diagonal/>
    </border>
    <border>
      <left style="thin">
        <color rgb="FFE5E1D6"/>
      </left>
      <right style="thin">
        <color rgb="FFE5E1D6"/>
      </right>
      <top style="thin">
        <color rgb="FFE5E1D6"/>
      </top>
      <bottom style="thin">
        <color rgb="FFE5E1D6"/>
      </bottom>
      <diagonal/>
    </border>
    <border>
      <left style="thin">
        <color rgb="FFE5E1D6"/>
      </left>
      <right style="thin">
        <color rgb="FFE5E1D6"/>
      </right>
      <top style="medium">
        <color rgb="FFB8843D"/>
      </top>
      <bottom style="medium">
        <color rgb="FFB8843D"/>
      </bottom>
      <diagonal/>
    </border>
    <border>
      <left style="thin">
        <color rgb="FFE5E1D6"/>
      </left>
      <right/>
      <top style="thin">
        <color rgb="FFE5E1D6"/>
      </top>
      <bottom style="thin">
        <color rgb="FFE5E1D6"/>
      </bottom>
      <diagonal/>
    </border>
    <border>
      <left/>
      <right style="thin">
        <color rgb="FFE5E1D6"/>
      </right>
      <top/>
      <bottom style="thin">
        <color rgb="FFE5E1D6"/>
      </bottom>
      <diagonal/>
    </border>
  </borders>
  <cellStyleXfs count="1">
    <xf numFmtId="0" fontId="0" fillId="0" borderId="0"/>
  </cellStyleXfs>
  <cellXfs count="64">
    <xf numFmtId="0" fontId="0" fillId="0" borderId="0" xfId="0"/>
    <xf numFmtId="0" fontId="10" fillId="3" borderId="4" xfId="0" applyFont="1" applyFill="1" applyBorder="1" applyAlignment="1">
      <alignment horizontal="left" vertical="center" wrapText="1"/>
    </xf>
    <xf numFmtId="0" fontId="13" fillId="4" borderId="0" xfId="0" applyFont="1" applyFill="1" applyAlignment="1">
      <alignment horizontal="left" vertical="top" wrapText="1" indent="1"/>
    </xf>
    <xf numFmtId="0" fontId="3" fillId="8" borderId="0" xfId="0" applyFont="1" applyFill="1" applyAlignment="1">
      <alignment horizontal="left" vertical="center" wrapText="1"/>
    </xf>
    <xf numFmtId="0" fontId="12" fillId="9" borderId="1" xfId="0" applyFont="1" applyFill="1" applyBorder="1" applyAlignment="1">
      <alignment horizontal="center" vertical="center" wrapText="1"/>
    </xf>
    <xf numFmtId="0" fontId="9" fillId="9" borderId="1" xfId="0" applyFont="1" applyFill="1" applyBorder="1" applyAlignment="1">
      <alignment horizontal="center" vertical="center"/>
    </xf>
    <xf numFmtId="0" fontId="8" fillId="8" borderId="0" xfId="0" applyFont="1" applyFill="1" applyAlignment="1">
      <alignment horizontal="left" vertical="center" wrapText="1" indent="1"/>
    </xf>
    <xf numFmtId="0" fontId="7" fillId="2" borderId="0" xfId="0" applyFont="1" applyFill="1" applyAlignment="1">
      <alignment horizontal="left" vertical="center" indent="1"/>
    </xf>
    <xf numFmtId="0" fontId="6" fillId="7" borderId="0" xfId="0" applyFont="1" applyFill="1" applyAlignment="1">
      <alignment horizontal="left" vertical="center" indent="1"/>
    </xf>
    <xf numFmtId="0" fontId="4" fillId="6" borderId="0" xfId="0" applyFont="1" applyFill="1" applyAlignment="1">
      <alignment horizontal="left" vertical="center" wrapText="1"/>
    </xf>
    <xf numFmtId="0" fontId="4" fillId="5" borderId="0" xfId="0" applyFont="1" applyFill="1" applyAlignment="1">
      <alignment horizontal="left" vertical="center" wrapText="1"/>
    </xf>
    <xf numFmtId="0" fontId="6" fillId="3" borderId="0" xfId="0" applyFont="1" applyFill="1" applyAlignment="1">
      <alignment horizontal="left" vertical="center" indent="1"/>
    </xf>
    <xf numFmtId="0" fontId="2" fillId="2" borderId="0" xfId="0" applyFont="1" applyFill="1" applyAlignment="1">
      <alignment horizontal="left" vertical="center" indent="1"/>
    </xf>
    <xf numFmtId="0" fontId="1" fillId="2" borderId="0" xfId="0" applyFont="1" applyFill="1" applyAlignment="1">
      <alignment horizontal="left" vertical="center" indent="1"/>
    </xf>
    <xf numFmtId="0" fontId="0" fillId="2" borderId="0" xfId="0" applyFill="1"/>
    <xf numFmtId="0" fontId="0" fillId="3" borderId="0" xfId="0" applyFill="1"/>
    <xf numFmtId="0" fontId="3" fillId="0" borderId="0" xfId="0" applyFont="1" applyAlignment="1">
      <alignment horizontal="left" vertical="center" wrapText="1"/>
    </xf>
    <xf numFmtId="0" fontId="4" fillId="4" borderId="0" xfId="0" applyFont="1" applyFill="1" applyAlignment="1">
      <alignment horizontal="left" vertical="center" wrapText="1"/>
    </xf>
    <xf numFmtId="0" fontId="5" fillId="0" borderId="0" xfId="0" applyFont="1"/>
    <xf numFmtId="0" fontId="4" fillId="0" borderId="0" xfId="0" applyFont="1" applyAlignment="1">
      <alignment horizontal="left" vertical="center" wrapText="1"/>
    </xf>
    <xf numFmtId="0" fontId="3" fillId="5" borderId="0" xfId="0" applyFont="1" applyFill="1" applyAlignment="1">
      <alignment horizontal="left" vertical="center" indent="1"/>
    </xf>
    <xf numFmtId="0" fontId="3" fillId="6" borderId="0" xfId="0" applyFont="1" applyFill="1" applyAlignment="1">
      <alignment horizontal="left" vertical="center" indent="1"/>
    </xf>
    <xf numFmtId="0" fontId="10" fillId="2" borderId="2" xfId="0" applyFont="1" applyFill="1" applyBorder="1" applyAlignment="1">
      <alignment horizontal="center" vertical="center" wrapText="1"/>
    </xf>
    <xf numFmtId="0" fontId="3" fillId="6" borderId="2" xfId="0" applyFont="1" applyFill="1" applyBorder="1" applyAlignment="1">
      <alignment horizontal="left" vertical="center" indent="1"/>
    </xf>
    <xf numFmtId="0" fontId="0" fillId="6" borderId="2" xfId="0" applyFill="1" applyBorder="1"/>
    <xf numFmtId="0" fontId="4" fillId="5" borderId="2" xfId="0" applyFont="1" applyFill="1" applyBorder="1" applyAlignment="1">
      <alignment horizontal="left" vertical="center" indent="3"/>
    </xf>
    <xf numFmtId="3" fontId="4" fillId="4" borderId="2" xfId="0" applyNumberFormat="1" applyFont="1" applyFill="1" applyBorder="1" applyAlignment="1">
      <alignment horizontal="right" vertical="center"/>
    </xf>
    <xf numFmtId="0" fontId="11" fillId="9" borderId="3" xfId="0" applyFont="1" applyFill="1" applyBorder="1" applyAlignment="1">
      <alignment horizontal="left" vertical="center" indent="1"/>
    </xf>
    <xf numFmtId="3" fontId="11" fillId="9" borderId="3" xfId="0" applyNumberFormat="1" applyFont="1" applyFill="1" applyBorder="1" applyAlignment="1">
      <alignment horizontal="right" vertical="center"/>
    </xf>
    <xf numFmtId="0" fontId="11" fillId="10" borderId="3" xfId="0" applyFont="1" applyFill="1" applyBorder="1" applyAlignment="1">
      <alignment horizontal="left" vertical="center" indent="1"/>
    </xf>
    <xf numFmtId="3" fontId="11" fillId="10" borderId="3" xfId="0" applyNumberFormat="1" applyFont="1" applyFill="1" applyBorder="1" applyAlignment="1">
      <alignment horizontal="right" vertical="center"/>
    </xf>
    <xf numFmtId="0" fontId="11" fillId="8" borderId="3" xfId="0" applyFont="1" applyFill="1" applyBorder="1" applyAlignment="1">
      <alignment horizontal="left" vertical="center" indent="1"/>
    </xf>
    <xf numFmtId="3" fontId="11" fillId="8" borderId="3" xfId="0" applyNumberFormat="1" applyFont="1" applyFill="1" applyBorder="1" applyAlignment="1">
      <alignment horizontal="right" vertical="center"/>
    </xf>
    <xf numFmtId="0" fontId="0" fillId="7" borderId="0" xfId="0" applyFill="1"/>
    <xf numFmtId="0" fontId="4" fillId="5" borderId="2" xfId="0" applyFont="1" applyFill="1" applyBorder="1" applyAlignment="1">
      <alignment horizontal="left" vertical="center" wrapText="1"/>
    </xf>
    <xf numFmtId="0" fontId="11" fillId="9" borderId="3" xfId="0" applyFont="1" applyFill="1" applyBorder="1" applyAlignment="1">
      <alignment horizontal="left" vertical="center" wrapText="1"/>
    </xf>
    <xf numFmtId="0" fontId="11" fillId="10" borderId="3" xfId="0" applyFont="1" applyFill="1" applyBorder="1" applyAlignment="1">
      <alignment horizontal="left" vertical="center" wrapText="1"/>
    </xf>
    <xf numFmtId="0" fontId="11" fillId="8" borderId="3" xfId="0" applyFont="1" applyFill="1" applyBorder="1" applyAlignment="1">
      <alignment horizontal="left" vertical="center" wrapText="1"/>
    </xf>
    <xf numFmtId="0" fontId="0" fillId="11" borderId="0" xfId="0" applyFill="1"/>
    <xf numFmtId="0" fontId="14" fillId="5" borderId="2" xfId="0" applyFont="1" applyFill="1" applyBorder="1" applyAlignment="1">
      <alignment horizontal="left" vertical="center" wrapText="1" indent="1"/>
    </xf>
    <xf numFmtId="2" fontId="4" fillId="4" borderId="2" xfId="0" applyNumberFormat="1" applyFont="1" applyFill="1" applyBorder="1" applyAlignment="1">
      <alignment horizontal="right" vertical="center"/>
    </xf>
    <xf numFmtId="0" fontId="15" fillId="6" borderId="2" xfId="0" applyFont="1" applyFill="1" applyBorder="1" applyAlignment="1">
      <alignment horizontal="center" vertical="center" wrapText="1"/>
    </xf>
    <xf numFmtId="0" fontId="13" fillId="4" borderId="2" xfId="0" applyFont="1" applyFill="1" applyBorder="1" applyAlignment="1">
      <alignment horizontal="left" vertical="center" wrapText="1" indent="1"/>
    </xf>
    <xf numFmtId="3" fontId="16" fillId="6" borderId="2" xfId="0" applyNumberFormat="1" applyFont="1" applyFill="1" applyBorder="1" applyAlignment="1">
      <alignment horizontal="right" vertical="center"/>
    </xf>
    <xf numFmtId="3" fontId="16" fillId="5" borderId="2" xfId="0" applyNumberFormat="1" applyFont="1" applyFill="1" applyBorder="1" applyAlignment="1">
      <alignment horizontal="right" vertical="center"/>
    </xf>
    <xf numFmtId="10" fontId="4" fillId="4" borderId="2" xfId="0" applyNumberFormat="1" applyFont="1" applyFill="1" applyBorder="1" applyAlignment="1">
      <alignment horizontal="right" vertical="center"/>
    </xf>
    <xf numFmtId="0" fontId="4" fillId="6" borderId="2" xfId="0" applyFont="1" applyFill="1" applyBorder="1" applyAlignment="1">
      <alignment horizontal="left" vertical="center" wrapText="1"/>
    </xf>
    <xf numFmtId="0" fontId="3" fillId="6" borderId="2" xfId="0" applyFont="1" applyFill="1" applyBorder="1" applyAlignment="1">
      <alignment horizontal="left" vertical="center" wrapText="1"/>
    </xf>
    <xf numFmtId="0" fontId="17" fillId="9" borderId="2" xfId="0" applyFont="1" applyFill="1" applyBorder="1" applyAlignment="1">
      <alignment horizontal="left" vertical="center" wrapText="1"/>
    </xf>
    <xf numFmtId="0" fontId="18" fillId="6" borderId="2" xfId="0" applyFont="1" applyFill="1" applyBorder="1" applyAlignment="1">
      <alignment horizontal="left" vertical="center" wrapText="1" indent="1"/>
    </xf>
    <xf numFmtId="0" fontId="3" fillId="5" borderId="2" xfId="0" applyFont="1" applyFill="1" applyBorder="1" applyAlignment="1">
      <alignment horizontal="left" vertical="center" wrapText="1"/>
    </xf>
    <xf numFmtId="0" fontId="18" fillId="5" borderId="2" xfId="0" applyFont="1" applyFill="1" applyBorder="1" applyAlignment="1">
      <alignment horizontal="left" vertical="center" wrapText="1" indent="1"/>
    </xf>
    <xf numFmtId="0" fontId="5" fillId="5" borderId="2" xfId="0" applyFont="1" applyFill="1" applyBorder="1" applyAlignment="1">
      <alignment horizontal="left" vertical="center" wrapText="1"/>
    </xf>
    <xf numFmtId="0" fontId="5" fillId="9" borderId="2" xfId="0" applyFont="1" applyFill="1" applyBorder="1" applyAlignment="1">
      <alignment horizontal="left" vertical="center" wrapText="1"/>
    </xf>
    <xf numFmtId="0" fontId="5" fillId="10" borderId="2" xfId="0" applyFont="1" applyFill="1" applyBorder="1" applyAlignment="1">
      <alignment horizontal="left" vertical="center" wrapText="1"/>
    </xf>
    <xf numFmtId="0" fontId="5" fillId="8" borderId="2" xfId="0" applyFont="1" applyFill="1" applyBorder="1" applyAlignment="1">
      <alignment horizontal="left" vertical="center" wrapText="1"/>
    </xf>
    <xf numFmtId="0" fontId="10" fillId="2" borderId="4" xfId="0" applyFont="1" applyFill="1" applyBorder="1" applyAlignment="1">
      <alignment horizontal="center" vertical="center" wrapText="1"/>
    </xf>
    <xf numFmtId="0" fontId="3" fillId="8" borderId="5" xfId="0" applyFont="1" applyFill="1" applyBorder="1" applyAlignment="1">
      <alignment horizontal="left" vertical="center" wrapText="1"/>
    </xf>
    <xf numFmtId="0" fontId="13" fillId="4" borderId="5" xfId="0" applyFont="1" applyFill="1" applyBorder="1" applyAlignment="1">
      <alignment horizontal="left" vertical="top" wrapText="1" indent="1"/>
    </xf>
    <xf numFmtId="0" fontId="10" fillId="3" borderId="0" xfId="0" applyFont="1" applyFill="1" applyAlignment="1">
      <alignment horizontal="left" vertical="center" wrapText="1"/>
    </xf>
    <xf numFmtId="0" fontId="10" fillId="7" borderId="0" xfId="0" applyFont="1" applyFill="1" applyAlignment="1">
      <alignment horizontal="left" vertical="center" wrapText="1"/>
    </xf>
    <xf numFmtId="0" fontId="10" fillId="11" borderId="0" xfId="0" applyFont="1" applyFill="1" applyAlignment="1">
      <alignment horizontal="left" vertical="center" wrapText="1"/>
    </xf>
    <xf numFmtId="0" fontId="10" fillId="12" borderId="0" xfId="0" applyFont="1" applyFill="1" applyAlignment="1">
      <alignment horizontal="left" vertical="center" wrapText="1"/>
    </xf>
    <xf numFmtId="0" fontId="19" fillId="10" borderId="0" xfId="0" applyFont="1" applyFill="1" applyAlignment="1">
      <alignment horizontal="left" vertical="center" wrapText="1" inden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8843D"/>
      <rgbColor rgb="FF800080"/>
      <rgbColor rgb="FF008080"/>
      <rgbColor rgb="FFC0C0C0"/>
      <rgbColor rgb="FF7A8290"/>
      <rgbColor rgb="FF9999FF"/>
      <rgbColor rgb="FF993366"/>
      <rgbColor rgb="FFFDF4E7"/>
      <rgbColor rgb="FFEAF3EC"/>
      <rgbColor rgb="FF660066"/>
      <rgbColor rgb="FFFF8080"/>
      <rgbColor rgb="FF0066CC"/>
      <rgbColor rgb="FFE5E1D6"/>
      <rgbColor rgb="FF000080"/>
      <rgbColor rgb="FFFF00FF"/>
      <rgbColor rgb="FFFFFF00"/>
      <rgbColor rgb="FF00FFFF"/>
      <rgbColor rgb="FF800080"/>
      <rgbColor rgb="FF800000"/>
      <rgbColor rgb="FF008080"/>
      <rgbColor rgb="FF0000FF"/>
      <rgbColor rgb="FF00CCFF"/>
      <rgbColor rgb="FFFAF8F3"/>
      <rgbColor rgb="FFF2EEE5"/>
      <rgbColor rgb="FFFAF0ED"/>
      <rgbColor rgb="FF99CCFF"/>
      <rgbColor rgb="FFFF99CC"/>
      <rgbColor rgb="FFCC99FF"/>
      <rgbColor rgb="FFFFD966"/>
      <rgbColor rgb="FF3366FF"/>
      <rgbColor rgb="FF33CCCC"/>
      <rgbColor rgb="FF99CC00"/>
      <rgbColor rgb="FFFFCC00"/>
      <rgbColor rgb="FFFF9900"/>
      <rgbColor rgb="FFFF6600"/>
      <rgbColor rgb="FF4A5567"/>
      <rgbColor rgb="FF969696"/>
      <rgbColor rgb="FF003366"/>
      <rgbColor rgb="FF4A7C5E"/>
      <rgbColor rgb="FF0E1116"/>
      <rgbColor rgb="FF333300"/>
      <rgbColor rgb="FF9C4A2B"/>
      <rgbColor rgb="FF993366"/>
      <rgbColor rgb="FF355773"/>
      <rgbColor rgb="FF1A1F2C"/>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0FDD129-C936-3045-B257-D0D4E4B47F57}">
  <we:reference id="wa200010215" version="2.0.0.0" store="en-US" storeType="OMEX"/>
  <we:alternateReferences>
    <we:reference id="WA200010215" version="2.0.0.0" store="" storeType="OMEX"/>
  </we:alternateReferences>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E1116"/>
  </sheetPr>
  <dimension ref="B1:D21"/>
  <sheetViews>
    <sheetView showGridLines="0" tabSelected="1" zoomScaleNormal="100" workbookViewId="0"/>
  </sheetViews>
  <sheetFormatPr baseColWidth="10" defaultColWidth="8.6640625" defaultRowHeight="15" x14ac:dyDescent="0.2"/>
  <cols>
    <col min="1" max="1" width="2" customWidth="1"/>
    <col min="2" max="2" width="32" customWidth="1"/>
    <col min="3" max="3" width="48" customWidth="1"/>
    <col min="4" max="4" width="20" customWidth="1"/>
  </cols>
  <sheetData>
    <row r="1" spans="2:4" ht="7.5" customHeight="1" x14ac:dyDescent="0.2">
      <c r="B1" s="14"/>
      <c r="C1" s="14"/>
      <c r="D1" s="14"/>
    </row>
    <row r="2" spans="2:4" ht="42" customHeight="1" x14ac:dyDescent="0.2">
      <c r="B2" s="13" t="s">
        <v>0</v>
      </c>
      <c r="C2" s="13"/>
      <c r="D2" s="13"/>
    </row>
    <row r="3" spans="2:4" ht="21.75" customHeight="1" x14ac:dyDescent="0.2">
      <c r="B3" s="12" t="s">
        <v>1</v>
      </c>
      <c r="C3" s="12"/>
      <c r="D3" s="12"/>
    </row>
    <row r="4" spans="2:4" ht="7.5" customHeight="1" x14ac:dyDescent="0.2">
      <c r="B4" s="15"/>
      <c r="C4" s="15"/>
      <c r="D4" s="15"/>
    </row>
    <row r="5" spans="2:4" ht="9.75" customHeight="1" x14ac:dyDescent="0.2"/>
    <row r="6" spans="2:4" ht="21.75" customHeight="1" x14ac:dyDescent="0.2">
      <c r="B6" s="16" t="s">
        <v>2</v>
      </c>
      <c r="C6" s="17"/>
      <c r="D6" s="18" t="s">
        <v>3</v>
      </c>
    </row>
    <row r="7" spans="2:4" ht="21.75" customHeight="1" x14ac:dyDescent="0.2">
      <c r="B7" s="16" t="s">
        <v>4</v>
      </c>
      <c r="C7" s="19"/>
    </row>
    <row r="8" spans="2:4" ht="21.75" customHeight="1" x14ac:dyDescent="0.2">
      <c r="B8" s="16" t="s">
        <v>5</v>
      </c>
      <c r="C8" s="19" t="s">
        <v>6</v>
      </c>
    </row>
    <row r="9" spans="2:4" ht="13.5" customHeight="1" x14ac:dyDescent="0.2"/>
    <row r="10" spans="2:4" ht="24" customHeight="1" x14ac:dyDescent="0.2">
      <c r="B10" s="11" t="s">
        <v>7</v>
      </c>
      <c r="C10" s="11"/>
      <c r="D10" s="11"/>
    </row>
    <row r="11" spans="2:4" ht="25.5" customHeight="1" x14ac:dyDescent="0.2">
      <c r="B11" s="10" t="s">
        <v>8</v>
      </c>
      <c r="C11" s="10"/>
      <c r="D11" s="10"/>
    </row>
    <row r="12" spans="2:4" ht="25.5" customHeight="1" x14ac:dyDescent="0.2">
      <c r="B12" s="9" t="s">
        <v>9</v>
      </c>
      <c r="C12" s="9"/>
      <c r="D12" s="9"/>
    </row>
    <row r="13" spans="2:4" ht="25.5" customHeight="1" x14ac:dyDescent="0.2">
      <c r="B13" s="10" t="s">
        <v>10</v>
      </c>
      <c r="C13" s="10"/>
      <c r="D13" s="10"/>
    </row>
    <row r="14" spans="2:4" ht="25.5" customHeight="1" x14ac:dyDescent="0.2">
      <c r="B14" s="9" t="s">
        <v>11</v>
      </c>
      <c r="C14" s="9"/>
      <c r="D14" s="9"/>
    </row>
    <row r="15" spans="2:4" ht="13.5" customHeight="1" x14ac:dyDescent="0.2"/>
    <row r="16" spans="2:4" ht="24" customHeight="1" x14ac:dyDescent="0.2">
      <c r="B16" s="8" t="s">
        <v>12</v>
      </c>
      <c r="C16" s="8"/>
      <c r="D16" s="8"/>
    </row>
    <row r="17" spans="2:4" ht="24" customHeight="1" x14ac:dyDescent="0.2">
      <c r="B17" s="20" t="s">
        <v>13</v>
      </c>
      <c r="C17" s="10" t="s">
        <v>14</v>
      </c>
      <c r="D17" s="10"/>
    </row>
    <row r="18" spans="2:4" ht="24" customHeight="1" x14ac:dyDescent="0.2">
      <c r="B18" s="21" t="s">
        <v>15</v>
      </c>
      <c r="C18" s="9" t="s">
        <v>16</v>
      </c>
      <c r="D18" s="9"/>
    </row>
    <row r="19" spans="2:4" ht="24" customHeight="1" x14ac:dyDescent="0.2">
      <c r="B19" s="20" t="s">
        <v>17</v>
      </c>
      <c r="C19" s="10" t="s">
        <v>18</v>
      </c>
      <c r="D19" s="10"/>
    </row>
    <row r="20" spans="2:4" ht="24" customHeight="1" x14ac:dyDescent="0.2">
      <c r="B20" s="21" t="s">
        <v>19</v>
      </c>
      <c r="C20" s="9" t="s">
        <v>20</v>
      </c>
      <c r="D20" s="9"/>
    </row>
    <row r="21" spans="2:4" ht="24" customHeight="1" x14ac:dyDescent="0.2">
      <c r="B21" s="20" t="s">
        <v>21</v>
      </c>
      <c r="C21" s="10" t="s">
        <v>22</v>
      </c>
      <c r="D21" s="10"/>
    </row>
  </sheetData>
  <mergeCells count="14">
    <mergeCell ref="C18:D18"/>
    <mergeCell ref="C19:D19"/>
    <mergeCell ref="C20:D20"/>
    <mergeCell ref="C21:D21"/>
    <mergeCell ref="B12:D12"/>
    <mergeCell ref="B13:D13"/>
    <mergeCell ref="B14:D14"/>
    <mergeCell ref="B16:D16"/>
    <mergeCell ref="C17:D17"/>
    <mergeCell ref="B1:D1"/>
    <mergeCell ref="B2:D2"/>
    <mergeCell ref="B3:D3"/>
    <mergeCell ref="B10:D10"/>
    <mergeCell ref="B11:D1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A7C5E"/>
  </sheetPr>
  <dimension ref="B1:F29"/>
  <sheetViews>
    <sheetView showGridLines="0" zoomScaleNormal="100" workbookViewId="0"/>
  </sheetViews>
  <sheetFormatPr baseColWidth="10" defaultColWidth="8.6640625" defaultRowHeight="15" x14ac:dyDescent="0.2"/>
  <cols>
    <col min="1" max="1" width="2" customWidth="1"/>
    <col min="2" max="2" width="34" customWidth="1"/>
    <col min="3" max="6" width="18" customWidth="1"/>
    <col min="7" max="7" width="24" customWidth="1"/>
  </cols>
  <sheetData>
    <row r="1" spans="2:6" ht="7.5" customHeight="1" x14ac:dyDescent="0.2">
      <c r="B1" s="14"/>
      <c r="C1" s="14"/>
      <c r="D1" s="14"/>
      <c r="E1" s="14"/>
      <c r="F1" s="14"/>
    </row>
    <row r="2" spans="2:6" ht="37.5" customHeight="1" x14ac:dyDescent="0.2">
      <c r="B2" s="7" t="s">
        <v>23</v>
      </c>
      <c r="C2" s="7"/>
      <c r="D2" s="7"/>
      <c r="E2" s="7"/>
      <c r="F2" s="7"/>
    </row>
    <row r="3" spans="2:6" ht="6" customHeight="1" x14ac:dyDescent="0.2">
      <c r="B3" s="15"/>
      <c r="C3" s="15"/>
      <c r="D3" s="15"/>
      <c r="E3" s="15"/>
      <c r="F3" s="15"/>
    </row>
    <row r="4" spans="2:6" ht="18" customHeight="1" x14ac:dyDescent="0.2">
      <c r="B4" s="6" t="s">
        <v>24</v>
      </c>
      <c r="C4" s="6"/>
      <c r="D4" s="6"/>
      <c r="E4" s="6"/>
      <c r="F4" s="6"/>
    </row>
    <row r="5" spans="2:6" ht="18" customHeight="1" x14ac:dyDescent="0.2">
      <c r="B5" s="6"/>
      <c r="C5" s="6"/>
      <c r="D5" s="6"/>
      <c r="E5" s="6"/>
      <c r="F5" s="6"/>
    </row>
    <row r="6" spans="2:6" ht="18" customHeight="1" x14ac:dyDescent="0.2">
      <c r="B6" s="6"/>
      <c r="C6" s="6"/>
      <c r="D6" s="6"/>
      <c r="E6" s="6"/>
      <c r="F6" s="6"/>
    </row>
    <row r="7" spans="2:6" ht="9.75" customHeight="1" x14ac:dyDescent="0.2"/>
    <row r="8" spans="2:6" ht="27.75" customHeight="1" x14ac:dyDescent="0.2">
      <c r="B8" s="5" t="s">
        <v>25</v>
      </c>
      <c r="C8" s="5"/>
      <c r="D8" s="5"/>
      <c r="E8" s="5"/>
      <c r="F8" s="5"/>
    </row>
    <row r="9" spans="2:6" ht="9.75" customHeight="1" x14ac:dyDescent="0.2"/>
    <row r="10" spans="2:6" ht="27.75" customHeight="1" x14ac:dyDescent="0.2">
      <c r="B10" s="22" t="s">
        <v>26</v>
      </c>
      <c r="C10" s="22" t="s">
        <v>27</v>
      </c>
      <c r="D10" s="22" t="s">
        <v>28</v>
      </c>
      <c r="E10" s="22" t="s">
        <v>27</v>
      </c>
    </row>
    <row r="11" spans="2:6" ht="21.75" customHeight="1" x14ac:dyDescent="0.2">
      <c r="B11" s="23" t="s">
        <v>29</v>
      </c>
      <c r="C11" s="24"/>
      <c r="D11" s="23" t="s">
        <v>30</v>
      </c>
      <c r="E11" s="24"/>
    </row>
    <row r="12" spans="2:6" ht="21.75" customHeight="1" x14ac:dyDescent="0.2">
      <c r="B12" s="25" t="s">
        <v>31</v>
      </c>
      <c r="C12" s="26"/>
      <c r="D12" s="25" t="s">
        <v>32</v>
      </c>
      <c r="E12" s="26"/>
    </row>
    <row r="13" spans="2:6" ht="21.75" customHeight="1" x14ac:dyDescent="0.2">
      <c r="B13" s="25" t="s">
        <v>33</v>
      </c>
      <c r="C13" s="26"/>
      <c r="D13" s="25" t="s">
        <v>34</v>
      </c>
      <c r="E13" s="26"/>
    </row>
    <row r="14" spans="2:6" ht="21.75" customHeight="1" x14ac:dyDescent="0.2">
      <c r="B14" s="25" t="s">
        <v>35</v>
      </c>
      <c r="C14" s="26"/>
      <c r="D14" s="25" t="s">
        <v>36</v>
      </c>
      <c r="E14" s="26"/>
    </row>
    <row r="15" spans="2:6" ht="21.75" customHeight="1" x14ac:dyDescent="0.2">
      <c r="B15" s="25" t="s">
        <v>37</v>
      </c>
      <c r="C15" s="26"/>
      <c r="D15" s="27" t="s">
        <v>38</v>
      </c>
      <c r="E15" s="28">
        <f>SUM(E12:E14)</f>
        <v>0</v>
      </c>
    </row>
    <row r="16" spans="2:6" ht="21.75" customHeight="1" x14ac:dyDescent="0.2">
      <c r="B16" s="27" t="s">
        <v>39</v>
      </c>
      <c r="C16" s="28">
        <f>SUM(C12:C15)</f>
        <v>0</v>
      </c>
      <c r="D16" s="23" t="s">
        <v>40</v>
      </c>
      <c r="E16" s="24"/>
    </row>
    <row r="17" spans="2:6" ht="21.75" customHeight="1" x14ac:dyDescent="0.2">
      <c r="B17" s="23" t="s">
        <v>41</v>
      </c>
      <c r="C17" s="24"/>
      <c r="D17" s="25" t="s">
        <v>42</v>
      </c>
      <c r="E17" s="26"/>
    </row>
    <row r="18" spans="2:6" ht="21.75" customHeight="1" x14ac:dyDescent="0.2">
      <c r="B18" s="25" t="s">
        <v>43</v>
      </c>
      <c r="C18" s="26"/>
      <c r="D18" s="27" t="s">
        <v>44</v>
      </c>
      <c r="E18" s="28">
        <f>E17</f>
        <v>0</v>
      </c>
    </row>
    <row r="19" spans="2:6" ht="21.75" customHeight="1" x14ac:dyDescent="0.2">
      <c r="B19" s="25" t="s">
        <v>45</v>
      </c>
      <c r="C19" s="26"/>
      <c r="D19" s="29" t="s">
        <v>46</v>
      </c>
      <c r="E19" s="30">
        <f>E15+E18</f>
        <v>0</v>
      </c>
    </row>
    <row r="20" spans="2:6" ht="21.75" customHeight="1" x14ac:dyDescent="0.2">
      <c r="B20" s="27" t="s">
        <v>47</v>
      </c>
      <c r="C20" s="28">
        <f>SUM(C18:C19)</f>
        <v>0</v>
      </c>
      <c r="D20" s="23" t="s">
        <v>48</v>
      </c>
      <c r="E20" s="24"/>
    </row>
    <row r="21" spans="2:6" ht="21.75" customHeight="1" x14ac:dyDescent="0.2">
      <c r="B21" s="31" t="s">
        <v>49</v>
      </c>
      <c r="C21" s="32">
        <f>C16+C20</f>
        <v>0</v>
      </c>
      <c r="D21" s="25" t="s">
        <v>50</v>
      </c>
      <c r="E21" s="26"/>
    </row>
    <row r="22" spans="2:6" ht="21.75" customHeight="1" x14ac:dyDescent="0.2">
      <c r="D22" s="31" t="s">
        <v>51</v>
      </c>
      <c r="E22" s="32">
        <f>E19+E21</f>
        <v>0</v>
      </c>
    </row>
    <row r="25" spans="2:6" ht="9.75" customHeight="1" x14ac:dyDescent="0.2"/>
    <row r="26" spans="2:6" ht="31.5" customHeight="1" x14ac:dyDescent="0.2">
      <c r="B26" s="4" t="str">
        <f>IF(COUNT(C12:C15,C18:C19,E12:E14,E17,E21)&lt;10,"⚠️  ENTER ALL ACCOUNT BALANCES BEFORE CHECKING",IF(C21=E22,"✅  BALANCED — Assets = Liabilities + Equity  ($"&amp;TEXT(C21,"#,##0")&amp;")","⚠️  NOT BALANCED — Check your entries. Assets: $"&amp;TEXT(C21,"#,##0")&amp;"  |  L+E: $"&amp;TEXT(E22,"#,##0")))</f>
        <v>⚠️  ENTER ALL ACCOUNT BALANCES BEFORE CHECKING</v>
      </c>
      <c r="C26" s="4"/>
      <c r="D26" s="4"/>
      <c r="E26" s="4"/>
      <c r="F26" s="4"/>
    </row>
    <row r="28" spans="2:6" ht="21.75" customHeight="1" x14ac:dyDescent="0.2">
      <c r="B28" s="3" t="s">
        <v>52</v>
      </c>
      <c r="C28" s="3"/>
      <c r="D28" s="3"/>
      <c r="E28" s="3"/>
      <c r="F28" s="3"/>
    </row>
    <row r="29" spans="2:6" ht="48" customHeight="1" x14ac:dyDescent="0.2">
      <c r="B29" s="2" t="s">
        <v>53</v>
      </c>
      <c r="C29" s="2"/>
      <c r="D29" s="2"/>
      <c r="E29" s="2"/>
      <c r="F29" s="2"/>
    </row>
  </sheetData>
  <mergeCells count="7">
    <mergeCell ref="B28:F28"/>
    <mergeCell ref="B29:F29"/>
    <mergeCell ref="B1:F1"/>
    <mergeCell ref="B2:F2"/>
    <mergeCell ref="B4:F6"/>
    <mergeCell ref="B8:F8"/>
    <mergeCell ref="B26:F26"/>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8843D"/>
  </sheetPr>
  <dimension ref="B1:E26"/>
  <sheetViews>
    <sheetView showGridLines="0" zoomScaleNormal="100" workbookViewId="0"/>
  </sheetViews>
  <sheetFormatPr baseColWidth="10" defaultColWidth="8.6640625" defaultRowHeight="15" x14ac:dyDescent="0.2"/>
  <cols>
    <col min="1" max="1" width="2" customWidth="1"/>
    <col min="2" max="2" width="36" customWidth="1"/>
    <col min="3" max="6" width="20" customWidth="1"/>
  </cols>
  <sheetData>
    <row r="1" spans="2:5" ht="7.5" customHeight="1" x14ac:dyDescent="0.2">
      <c r="B1" s="14"/>
      <c r="C1" s="14"/>
      <c r="D1" s="14"/>
      <c r="E1" s="14"/>
    </row>
    <row r="2" spans="2:5" ht="37.5" customHeight="1" x14ac:dyDescent="0.2">
      <c r="B2" s="7" t="s">
        <v>54</v>
      </c>
      <c r="C2" s="7"/>
      <c r="D2" s="7"/>
      <c r="E2" s="7"/>
    </row>
    <row r="3" spans="2:5" ht="6" customHeight="1" x14ac:dyDescent="0.2">
      <c r="B3" s="33"/>
      <c r="C3" s="33"/>
      <c r="D3" s="33"/>
      <c r="E3" s="33"/>
    </row>
    <row r="4" spans="2:5" ht="18" customHeight="1" x14ac:dyDescent="0.2">
      <c r="B4" s="6" t="s">
        <v>55</v>
      </c>
      <c r="C4" s="6"/>
      <c r="D4" s="6"/>
      <c r="E4" s="6"/>
    </row>
    <row r="5" spans="2:5" ht="18" customHeight="1" x14ac:dyDescent="0.2">
      <c r="B5" s="6"/>
      <c r="C5" s="6"/>
      <c r="D5" s="6"/>
      <c r="E5" s="6"/>
    </row>
    <row r="6" spans="2:5" ht="18" customHeight="1" x14ac:dyDescent="0.2">
      <c r="B6" s="6"/>
      <c r="C6" s="6"/>
      <c r="D6" s="6"/>
      <c r="E6" s="6"/>
    </row>
    <row r="7" spans="2:5" ht="9.75" customHeight="1" x14ac:dyDescent="0.2"/>
    <row r="8" spans="2:5" ht="24" customHeight="1" x14ac:dyDescent="0.2">
      <c r="B8" s="1" t="s">
        <v>56</v>
      </c>
      <c r="C8" s="1"/>
      <c r="D8" s="1"/>
      <c r="E8" s="1"/>
    </row>
    <row r="9" spans="2:5" ht="21.75" customHeight="1" x14ac:dyDescent="0.2">
      <c r="B9" s="34" t="s">
        <v>57</v>
      </c>
      <c r="C9" s="26"/>
      <c r="D9" s="52" t="s">
        <v>58</v>
      </c>
      <c r="E9" s="52"/>
    </row>
    <row r="10" spans="2:5" ht="21.75" customHeight="1" x14ac:dyDescent="0.2">
      <c r="B10" s="34" t="s">
        <v>59</v>
      </c>
      <c r="C10" s="26"/>
      <c r="D10" s="52" t="s">
        <v>58</v>
      </c>
      <c r="E10" s="52"/>
    </row>
    <row r="11" spans="2:5" ht="21.75" customHeight="1" x14ac:dyDescent="0.2">
      <c r="B11" s="35" t="s">
        <v>60</v>
      </c>
      <c r="C11" s="28">
        <f>C9-C10</f>
        <v>0</v>
      </c>
      <c r="D11" s="53" t="s">
        <v>61</v>
      </c>
      <c r="E11" s="53"/>
    </row>
    <row r="12" spans="2:5" ht="9.75" customHeight="1" x14ac:dyDescent="0.2"/>
    <row r="13" spans="2:5" ht="24" customHeight="1" x14ac:dyDescent="0.2">
      <c r="B13" s="1" t="s">
        <v>62</v>
      </c>
      <c r="C13" s="1"/>
      <c r="D13" s="1"/>
      <c r="E13" s="1"/>
    </row>
    <row r="14" spans="2:5" ht="21.75" customHeight="1" x14ac:dyDescent="0.2">
      <c r="B14" s="34" t="s">
        <v>63</v>
      </c>
      <c r="C14" s="26"/>
      <c r="D14" s="52" t="s">
        <v>58</v>
      </c>
      <c r="E14" s="52"/>
    </row>
    <row r="15" spans="2:5" ht="21.75" customHeight="1" x14ac:dyDescent="0.2">
      <c r="B15" s="34" t="s">
        <v>64</v>
      </c>
      <c r="C15" s="26"/>
      <c r="D15" s="52" t="s">
        <v>58</v>
      </c>
      <c r="E15" s="52"/>
    </row>
    <row r="16" spans="2:5" ht="21.75" customHeight="1" x14ac:dyDescent="0.2">
      <c r="B16" s="34" t="s">
        <v>65</v>
      </c>
      <c r="C16" s="26"/>
      <c r="D16" s="52" t="s">
        <v>58</v>
      </c>
      <c r="E16" s="52"/>
    </row>
    <row r="17" spans="2:5" ht="21.75" customHeight="1" x14ac:dyDescent="0.2">
      <c r="B17" s="34" t="s">
        <v>66</v>
      </c>
      <c r="C17" s="26"/>
      <c r="D17" s="52" t="s">
        <v>58</v>
      </c>
      <c r="E17" s="52"/>
    </row>
    <row r="18" spans="2:5" ht="21.75" customHeight="1" x14ac:dyDescent="0.2">
      <c r="B18" s="36" t="s">
        <v>67</v>
      </c>
      <c r="C18" s="30">
        <f>C14+C15-C16+C17</f>
        <v>0</v>
      </c>
      <c r="D18" s="54" t="s">
        <v>68</v>
      </c>
      <c r="E18" s="54"/>
    </row>
    <row r="19" spans="2:5" ht="9.75" customHeight="1" x14ac:dyDescent="0.2"/>
    <row r="20" spans="2:5" ht="24" customHeight="1" x14ac:dyDescent="0.2">
      <c r="B20" s="1" t="s">
        <v>69</v>
      </c>
      <c r="C20" s="1"/>
      <c r="D20" s="1"/>
      <c r="E20" s="1"/>
    </row>
    <row r="21" spans="2:5" ht="21.75" customHeight="1" x14ac:dyDescent="0.2">
      <c r="B21" s="35" t="s">
        <v>70</v>
      </c>
      <c r="C21" s="28">
        <f>C11-C18</f>
        <v>0</v>
      </c>
      <c r="D21" s="53" t="s">
        <v>71</v>
      </c>
      <c r="E21" s="53"/>
    </row>
    <row r="22" spans="2:5" ht="21.75" customHeight="1" x14ac:dyDescent="0.2">
      <c r="B22" s="34" t="s">
        <v>72</v>
      </c>
      <c r="C22" s="26"/>
      <c r="D22" s="52" t="s">
        <v>58</v>
      </c>
      <c r="E22" s="52"/>
    </row>
    <row r="23" spans="2:5" ht="21.75" customHeight="1" x14ac:dyDescent="0.2">
      <c r="B23" s="37" t="s">
        <v>73</v>
      </c>
      <c r="C23" s="32">
        <f>C21-C22</f>
        <v>0</v>
      </c>
      <c r="D23" s="55" t="s">
        <v>74</v>
      </c>
      <c r="E23" s="55"/>
    </row>
    <row r="25" spans="2:5" ht="21.75" customHeight="1" x14ac:dyDescent="0.2">
      <c r="B25" s="3" t="s">
        <v>75</v>
      </c>
      <c r="C25" s="3"/>
      <c r="D25" s="3"/>
      <c r="E25" s="3"/>
    </row>
    <row r="26" spans="2:5" ht="48" customHeight="1" x14ac:dyDescent="0.2">
      <c r="B26" s="2" t="s">
        <v>53</v>
      </c>
      <c r="C26" s="2"/>
      <c r="D26" s="2"/>
      <c r="E26" s="2"/>
    </row>
  </sheetData>
  <mergeCells count="19">
    <mergeCell ref="D22:E22"/>
    <mergeCell ref="D23:E23"/>
    <mergeCell ref="B25:E25"/>
    <mergeCell ref="B26:E26"/>
    <mergeCell ref="D16:E16"/>
    <mergeCell ref="D17:E17"/>
    <mergeCell ref="D18:E18"/>
    <mergeCell ref="B20:E20"/>
    <mergeCell ref="D21:E21"/>
    <mergeCell ref="D10:E10"/>
    <mergeCell ref="D11:E11"/>
    <mergeCell ref="B13:E13"/>
    <mergeCell ref="D14:E14"/>
    <mergeCell ref="D15:E15"/>
    <mergeCell ref="B1:E1"/>
    <mergeCell ref="B2:E2"/>
    <mergeCell ref="B4:E6"/>
    <mergeCell ref="B8:E8"/>
    <mergeCell ref="D9:E9"/>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C4A2B"/>
  </sheetPr>
  <dimension ref="B1:F22"/>
  <sheetViews>
    <sheetView showGridLines="0" zoomScaleNormal="100" workbookViewId="0"/>
  </sheetViews>
  <sheetFormatPr baseColWidth="10" defaultColWidth="8.6640625" defaultRowHeight="15" x14ac:dyDescent="0.2"/>
  <cols>
    <col min="1" max="1" width="2" customWidth="1"/>
    <col min="2" max="2" width="28" customWidth="1"/>
    <col min="3" max="3" width="18" customWidth="1"/>
    <col min="4" max="4" width="16" customWidth="1"/>
    <col min="5" max="5" width="30" customWidth="1"/>
    <col min="6" max="6" width="28" customWidth="1"/>
  </cols>
  <sheetData>
    <row r="1" spans="2:6" ht="7.5" customHeight="1" x14ac:dyDescent="0.2">
      <c r="B1" s="14"/>
      <c r="C1" s="14"/>
      <c r="D1" s="14"/>
      <c r="E1" s="14"/>
      <c r="F1" s="14"/>
    </row>
    <row r="2" spans="2:6" ht="37.5" customHeight="1" x14ac:dyDescent="0.2">
      <c r="B2" s="7" t="s">
        <v>76</v>
      </c>
      <c r="C2" s="7"/>
      <c r="D2" s="7"/>
      <c r="E2" s="7"/>
      <c r="F2" s="7"/>
    </row>
    <row r="3" spans="2:6" ht="6" customHeight="1" x14ac:dyDescent="0.2">
      <c r="B3" s="38"/>
      <c r="C3" s="38"/>
      <c r="D3" s="38"/>
      <c r="E3" s="38"/>
      <c r="F3" s="38"/>
    </row>
    <row r="4" spans="2:6" ht="18" customHeight="1" x14ac:dyDescent="0.2">
      <c r="B4" s="6" t="s">
        <v>77</v>
      </c>
      <c r="C4" s="6"/>
      <c r="D4" s="6"/>
      <c r="E4" s="6"/>
      <c r="F4" s="6"/>
    </row>
    <row r="5" spans="2:6" ht="18" customHeight="1" x14ac:dyDescent="0.2">
      <c r="B5" s="6"/>
      <c r="C5" s="6"/>
      <c r="D5" s="6"/>
      <c r="E5" s="6"/>
      <c r="F5" s="6"/>
    </row>
    <row r="6" spans="2:6" ht="18" customHeight="1" x14ac:dyDescent="0.2">
      <c r="B6" s="6"/>
      <c r="C6" s="6"/>
      <c r="D6" s="6"/>
      <c r="E6" s="6"/>
      <c r="F6" s="6"/>
    </row>
    <row r="7" spans="2:6" ht="9.75" customHeight="1" x14ac:dyDescent="0.2"/>
    <row r="8" spans="2:6" ht="27.75" customHeight="1" x14ac:dyDescent="0.2">
      <c r="B8" s="22" t="s">
        <v>78</v>
      </c>
      <c r="C8" s="22" t="s">
        <v>79</v>
      </c>
      <c r="D8" s="22" t="s">
        <v>80</v>
      </c>
      <c r="E8" s="56" t="s">
        <v>81</v>
      </c>
      <c r="F8" s="56"/>
    </row>
    <row r="9" spans="2:6" ht="37.5" customHeight="1" x14ac:dyDescent="0.2">
      <c r="B9" s="39" t="s">
        <v>82</v>
      </c>
      <c r="C9" s="40">
        <f>F18/F20</f>
        <v>2.4257425742574257</v>
      </c>
      <c r="D9" s="41" t="s">
        <v>83</v>
      </c>
      <c r="E9" s="42" t="s">
        <v>84</v>
      </c>
      <c r="F9" s="43">
        <v>4250000</v>
      </c>
    </row>
    <row r="10" spans="2:6" ht="37.5" customHeight="1" x14ac:dyDescent="0.2">
      <c r="B10" s="39" t="s">
        <v>85</v>
      </c>
      <c r="C10" s="40">
        <f>(F14+F15)/F20</f>
        <v>2.1623762376237625</v>
      </c>
      <c r="D10" s="41" t="s">
        <v>86</v>
      </c>
      <c r="E10" s="42" t="s">
        <v>84</v>
      </c>
      <c r="F10" s="44">
        <v>2380000</v>
      </c>
    </row>
    <row r="11" spans="2:6" ht="37.5" customHeight="1" x14ac:dyDescent="0.2">
      <c r="B11" s="39" t="s">
        <v>87</v>
      </c>
      <c r="C11" s="45">
        <f>F21/F19</f>
        <v>0.4311199207135778</v>
      </c>
      <c r="D11" s="41" t="s">
        <v>88</v>
      </c>
      <c r="E11" s="42" t="s">
        <v>84</v>
      </c>
      <c r="F11" s="43">
        <v>1870000</v>
      </c>
    </row>
    <row r="12" spans="2:6" ht="37.5" customHeight="1" x14ac:dyDescent="0.2">
      <c r="B12" s="39" t="s">
        <v>89</v>
      </c>
      <c r="C12" s="45">
        <f>F13/F22</f>
        <v>0.26132404181184671</v>
      </c>
      <c r="D12" s="41" t="s">
        <v>90</v>
      </c>
      <c r="E12" s="42" t="s">
        <v>84</v>
      </c>
      <c r="F12" s="44">
        <v>1420000</v>
      </c>
    </row>
    <row r="13" spans="2:6" ht="37.5" customHeight="1" x14ac:dyDescent="0.2">
      <c r="B13" s="39" t="s">
        <v>91</v>
      </c>
      <c r="C13" s="45">
        <f>F13/F11</f>
        <v>0.24064171122994651</v>
      </c>
      <c r="D13" s="41" t="s">
        <v>92</v>
      </c>
      <c r="E13" s="42" t="s">
        <v>84</v>
      </c>
      <c r="F13" s="43">
        <v>450000</v>
      </c>
    </row>
    <row r="14" spans="2:6" ht="37.5" customHeight="1" x14ac:dyDescent="0.2">
      <c r="B14" s="39" t="s">
        <v>93</v>
      </c>
      <c r="C14" s="40">
        <f>F11/F19</f>
        <v>0.61777337297654444</v>
      </c>
      <c r="D14" s="41" t="s">
        <v>94</v>
      </c>
      <c r="E14" s="42" t="s">
        <v>84</v>
      </c>
      <c r="F14" s="44">
        <v>412000</v>
      </c>
    </row>
    <row r="15" spans="2:6" ht="21.75" customHeight="1" x14ac:dyDescent="0.2">
      <c r="E15" s="46" t="s">
        <v>95</v>
      </c>
      <c r="F15" s="43">
        <v>680000</v>
      </c>
    </row>
    <row r="16" spans="2:6" ht="9.75" customHeight="1" x14ac:dyDescent="0.2">
      <c r="E16" s="34" t="s">
        <v>96</v>
      </c>
      <c r="F16" s="44">
        <v>95000</v>
      </c>
    </row>
    <row r="17" spans="2:6" ht="24" customHeight="1" x14ac:dyDescent="0.2">
      <c r="B17" s="57" t="s">
        <v>97</v>
      </c>
      <c r="C17" s="57"/>
      <c r="D17" s="57"/>
      <c r="E17" s="57"/>
      <c r="F17" s="43">
        <v>38000</v>
      </c>
    </row>
    <row r="18" spans="2:6" ht="63.75" customHeight="1" x14ac:dyDescent="0.2">
      <c r="B18" s="58" t="s">
        <v>98</v>
      </c>
      <c r="C18" s="58"/>
      <c r="D18" s="58"/>
      <c r="E18" s="58"/>
      <c r="F18" s="44">
        <v>1225000</v>
      </c>
    </row>
    <row r="19" spans="2:6" ht="21.75" customHeight="1" x14ac:dyDescent="0.2">
      <c r="E19" s="46" t="s">
        <v>99</v>
      </c>
      <c r="F19" s="43">
        <v>3027000</v>
      </c>
    </row>
    <row r="20" spans="2:6" ht="21.75" customHeight="1" x14ac:dyDescent="0.2">
      <c r="E20" s="34" t="s">
        <v>38</v>
      </c>
      <c r="F20" s="44">
        <v>505000</v>
      </c>
    </row>
    <row r="21" spans="2:6" ht="21.75" customHeight="1" x14ac:dyDescent="0.2">
      <c r="E21" s="46" t="s">
        <v>46</v>
      </c>
      <c r="F21" s="43">
        <v>1305000</v>
      </c>
    </row>
    <row r="22" spans="2:6" ht="21.75" customHeight="1" x14ac:dyDescent="0.2">
      <c r="E22" s="34" t="s">
        <v>48</v>
      </c>
      <c r="F22" s="44">
        <v>1722000</v>
      </c>
    </row>
  </sheetData>
  <mergeCells count="6">
    <mergeCell ref="B18:E18"/>
    <mergeCell ref="B1:F1"/>
    <mergeCell ref="B2:F2"/>
    <mergeCell ref="B4:F6"/>
    <mergeCell ref="E8:F8"/>
    <mergeCell ref="B17:E17"/>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B8843D"/>
  </sheetPr>
  <dimension ref="B1:D24"/>
  <sheetViews>
    <sheetView showGridLines="0" zoomScaleNormal="100" workbookViewId="0"/>
  </sheetViews>
  <sheetFormatPr baseColWidth="10" defaultColWidth="8.6640625" defaultRowHeight="15" x14ac:dyDescent="0.2"/>
  <cols>
    <col min="1" max="1" width="2" customWidth="1"/>
    <col min="2" max="2" width="30" customWidth="1"/>
    <col min="3" max="4" width="34" customWidth="1"/>
    <col min="5" max="5" width="20" customWidth="1"/>
  </cols>
  <sheetData>
    <row r="1" spans="2:4" ht="7.5" customHeight="1" x14ac:dyDescent="0.2">
      <c r="B1" s="14"/>
      <c r="C1" s="14"/>
      <c r="D1" s="14"/>
    </row>
    <row r="2" spans="2:4" ht="37.5" customHeight="1" x14ac:dyDescent="0.2">
      <c r="B2" s="7" t="s">
        <v>100</v>
      </c>
      <c r="C2" s="7"/>
      <c r="D2" s="7"/>
    </row>
    <row r="3" spans="2:4" ht="6" customHeight="1" x14ac:dyDescent="0.2">
      <c r="B3" s="33"/>
      <c r="C3" s="33"/>
      <c r="D3" s="33"/>
    </row>
    <row r="4" spans="2:4" ht="9.75" customHeight="1" x14ac:dyDescent="0.2"/>
    <row r="5" spans="2:4" ht="27.75" customHeight="1" x14ac:dyDescent="0.2">
      <c r="B5" s="22" t="s">
        <v>101</v>
      </c>
      <c r="C5" s="22" t="s">
        <v>102</v>
      </c>
      <c r="D5" s="22" t="s">
        <v>103</v>
      </c>
    </row>
    <row r="6" spans="2:4" ht="24" customHeight="1" x14ac:dyDescent="0.2">
      <c r="B6" s="59" t="s">
        <v>104</v>
      </c>
      <c r="C6" s="59"/>
      <c r="D6" s="59"/>
    </row>
    <row r="7" spans="2:4" ht="25.5" customHeight="1" x14ac:dyDescent="0.2">
      <c r="B7" s="47" t="s">
        <v>105</v>
      </c>
      <c r="C7" s="48" t="s">
        <v>106</v>
      </c>
      <c r="D7" s="49" t="s">
        <v>107</v>
      </c>
    </row>
    <row r="8" spans="2:4" ht="25.5" customHeight="1" x14ac:dyDescent="0.2">
      <c r="B8" s="50" t="s">
        <v>108</v>
      </c>
      <c r="C8" s="48" t="s">
        <v>109</v>
      </c>
      <c r="D8" s="51" t="s">
        <v>110</v>
      </c>
    </row>
    <row r="9" spans="2:4" ht="24" customHeight="1" x14ac:dyDescent="0.2">
      <c r="B9" s="60" t="s">
        <v>111</v>
      </c>
      <c r="C9" s="60"/>
      <c r="D9" s="60"/>
    </row>
    <row r="10" spans="2:4" ht="25.5" customHeight="1" x14ac:dyDescent="0.2">
      <c r="B10" s="50" t="s">
        <v>112</v>
      </c>
      <c r="C10" s="48" t="s">
        <v>113</v>
      </c>
      <c r="D10" s="51" t="s">
        <v>114</v>
      </c>
    </row>
    <row r="11" spans="2:4" ht="25.5" customHeight="1" x14ac:dyDescent="0.2">
      <c r="B11" s="47" t="s">
        <v>115</v>
      </c>
      <c r="C11" s="48" t="s">
        <v>116</v>
      </c>
      <c r="D11" s="49" t="s">
        <v>117</v>
      </c>
    </row>
    <row r="12" spans="2:4" ht="25.5" customHeight="1" x14ac:dyDescent="0.2">
      <c r="B12" s="50" t="s">
        <v>118</v>
      </c>
      <c r="C12" s="48" t="s">
        <v>119</v>
      </c>
      <c r="D12" s="51" t="s">
        <v>120</v>
      </c>
    </row>
    <row r="13" spans="2:4" ht="25.5" customHeight="1" x14ac:dyDescent="0.2">
      <c r="B13" s="47" t="s">
        <v>121</v>
      </c>
      <c r="C13" s="48" t="s">
        <v>122</v>
      </c>
      <c r="D13" s="49" t="s">
        <v>123</v>
      </c>
    </row>
    <row r="14" spans="2:4" ht="24" customHeight="1" x14ac:dyDescent="0.2">
      <c r="B14" s="61" t="s">
        <v>124</v>
      </c>
      <c r="C14" s="61"/>
      <c r="D14" s="61"/>
    </row>
    <row r="15" spans="2:4" ht="25.5" customHeight="1" x14ac:dyDescent="0.2">
      <c r="B15" s="47" t="s">
        <v>125</v>
      </c>
      <c r="C15" s="48" t="s">
        <v>126</v>
      </c>
      <c r="D15" s="49" t="s">
        <v>127</v>
      </c>
    </row>
    <row r="16" spans="2:4" ht="25.5" customHeight="1" x14ac:dyDescent="0.2">
      <c r="B16" s="50" t="s">
        <v>128</v>
      </c>
      <c r="C16" s="48" t="s">
        <v>129</v>
      </c>
      <c r="D16" s="51" t="s">
        <v>130</v>
      </c>
    </row>
    <row r="17" spans="2:4" ht="25.5" customHeight="1" x14ac:dyDescent="0.2">
      <c r="B17" s="47" t="s">
        <v>131</v>
      </c>
      <c r="C17" s="48" t="s">
        <v>132</v>
      </c>
      <c r="D17" s="49" t="s">
        <v>133</v>
      </c>
    </row>
    <row r="18" spans="2:4" ht="25.5" customHeight="1" x14ac:dyDescent="0.2">
      <c r="B18" s="50" t="s">
        <v>134</v>
      </c>
      <c r="C18" s="48" t="s">
        <v>135</v>
      </c>
      <c r="D18" s="51" t="s">
        <v>136</v>
      </c>
    </row>
    <row r="19" spans="2:4" ht="25.5" customHeight="1" x14ac:dyDescent="0.2">
      <c r="B19" s="47" t="s">
        <v>137</v>
      </c>
      <c r="C19" s="48" t="s">
        <v>138</v>
      </c>
      <c r="D19" s="49" t="s">
        <v>139</v>
      </c>
    </row>
    <row r="20" spans="2:4" ht="25.5" customHeight="1" x14ac:dyDescent="0.2">
      <c r="B20" s="50" t="s">
        <v>140</v>
      </c>
      <c r="C20" s="48" t="s">
        <v>141</v>
      </c>
      <c r="D20" s="51" t="s">
        <v>142</v>
      </c>
    </row>
    <row r="21" spans="2:4" ht="24" customHeight="1" x14ac:dyDescent="0.2">
      <c r="B21" s="62" t="s">
        <v>143</v>
      </c>
      <c r="C21" s="62"/>
      <c r="D21" s="62"/>
    </row>
    <row r="22" spans="2:4" ht="25.5" customHeight="1" x14ac:dyDescent="0.2">
      <c r="B22" s="50" t="s">
        <v>144</v>
      </c>
      <c r="C22" s="48" t="s">
        <v>145</v>
      </c>
      <c r="D22" s="51" t="s">
        <v>146</v>
      </c>
    </row>
    <row r="24" spans="2:4" ht="27.75" customHeight="1" x14ac:dyDescent="0.2">
      <c r="B24" s="63" t="s">
        <v>147</v>
      </c>
      <c r="C24" s="63"/>
      <c r="D24" s="63"/>
    </row>
  </sheetData>
  <mergeCells count="7">
    <mergeCell ref="B21:D21"/>
    <mergeCell ref="B24:D24"/>
    <mergeCell ref="B1:D1"/>
    <mergeCell ref="B2:D2"/>
    <mergeCell ref="B6:D6"/>
    <mergeCell ref="B9:D9"/>
    <mergeCell ref="B14:D14"/>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START HERE</vt:lpstr>
      <vt:lpstr>Part 1 · Balance Sheet</vt:lpstr>
      <vt:lpstr>Part 2 · Income Statement</vt:lpstr>
      <vt:lpstr>Part 3 · Ratio Analysis</vt:lpstr>
      <vt:lpstr>FormulaReferenceCard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Bethany Evitts</cp:lastModifiedBy>
  <cp:revision>0</cp:revision>
  <dcterms:created xsi:type="dcterms:W3CDTF">2026-06-09T01:03:01Z</dcterms:created>
  <dcterms:modified xsi:type="dcterms:W3CDTF">2026-06-09T01:35:19Z</dcterms:modified>
  <dc:language>en-US</dc:language>
</cp:coreProperties>
</file>