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Sales Tax" sheetId="2" state="visible" r:id="rId2"/>
    <sheet xmlns:r="http://schemas.openxmlformats.org/officeDocument/2006/relationships" name="Excise Tax" sheetId="3" state="visible" r:id="rId3"/>
    <sheet xmlns:r="http://schemas.openxmlformats.org/officeDocument/2006/relationships" name="Property Tax" sheetId="4" state="visible" r:id="rId4"/>
    <sheet xmlns:r="http://schemas.openxmlformats.org/officeDocument/2006/relationships" name="FormulaReferenceCard" sheetId="5" state="visible" r:id="rId5"/>
  </sheets>
  <definedNames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0.0000%"/>
    <numFmt numFmtId="166" formatCode="0.0000"/>
  </numFmts>
  <fonts count="18">
    <font>
      <name val="Calibri"/>
      <color theme="1"/>
      <sz val="11"/>
    </font>
    <font>
      <name val="Aptos"/>
      <b val="1"/>
      <color rgb="FFFFFFFF"/>
      <sz val="18"/>
    </font>
    <font>
      <name val="Aptos"/>
      <b val="1"/>
      <color rgb="FFFFFFFF"/>
      <sz val="12"/>
    </font>
    <font>
      <name val="Aptos"/>
      <b val="1"/>
      <color rgb="FF1A1F2C"/>
      <sz val="11"/>
    </font>
    <font>
      <name val="Aptos"/>
      <color rgb="FF1A1F2C"/>
      <sz val="11"/>
    </font>
    <font>
      <name val="Aptos"/>
      <b val="1"/>
      <color rgb="FF1A6B3C"/>
      <sz val="11"/>
    </font>
    <font>
      <name val="Aptos"/>
      <b val="1"/>
      <color rgb="FFFFFFFF"/>
      <sz val="11"/>
    </font>
    <font>
      <name val="Aptos"/>
      <b val="1"/>
      <color rgb="FFFFFFFF"/>
      <sz val="16"/>
    </font>
    <font>
      <name val="Aptos"/>
      <b val="1"/>
      <i val="1"/>
      <color rgb="FFB8843D"/>
      <sz val="10"/>
    </font>
    <font>
      <name val="Aptos"/>
      <b val="1"/>
      <color rgb="FF0A3D6B"/>
      <sz val="11"/>
    </font>
    <font>
      <name val="Aptos"/>
      <b val="1"/>
      <i val="1"/>
      <color rgb="FF4A7C5E"/>
      <sz val="10"/>
    </font>
    <font>
      <name val="Aptos"/>
      <color rgb="FF1A6B3C"/>
      <sz val="11"/>
    </font>
    <font>
      <name val="Aptos"/>
      <i val="1"/>
      <color rgb="FF4A5567"/>
      <sz val="10"/>
    </font>
    <font>
      <name val="Aptos"/>
      <i val="1"/>
      <color rgb="FF9C4A2B"/>
      <sz val="10"/>
    </font>
    <font>
      <name val="Courier New"/>
      <color rgb="FF1A6B3C"/>
      <sz val="10"/>
    </font>
    <font>
      <name val="Calibri"/>
      <b val="1"/>
      <color rgb="FFB8843D"/>
      <sz val="11"/>
    </font>
    <font>
      <name val="Calibri"/>
      <color rgb="FF1A1F2C"/>
      <sz val="11"/>
    </font>
    <font>
      <name val="Calibri"/>
      <b val="1"/>
      <color rgb="FF355773"/>
      <sz val="11"/>
    </font>
  </fonts>
  <fills count="20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B8843D"/>
      </patternFill>
    </fill>
    <fill>
      <patternFill patternType="solid">
        <fgColor rgb="FF4A7C5E"/>
      </patternFill>
    </fill>
    <fill>
      <patternFill patternType="solid">
        <fgColor rgb="FFF2EEE5"/>
      </patternFill>
    </fill>
    <fill>
      <patternFill patternType="solid">
        <fgColor rgb="FFFFD966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BF5F0"/>
      </patternFill>
    </fill>
    <fill>
      <patternFill patternType="solid">
        <fgColor rgb="FFFAE8E0"/>
      </patternFill>
    </fill>
    <fill>
      <patternFill patternType="solid">
        <fgColor rgb="FF9C4A2B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7">
    <border/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  <border>
      <left style="thin">
        <color rgb="FFE5E1D6"/>
      </left>
      <top style="thin">
        <color rgb="FFE5E1D6"/>
      </top>
      <bottom style="thin">
        <color rgb="FFE5E1D6"/>
      </bottom>
    </border>
    <border>
      <left style="medium">
        <color rgb="FFB8843D"/>
      </left>
      <right style="medium">
        <color rgb="FFB8843D"/>
      </right>
      <top style="medium">
        <color rgb="FFB8843D"/>
      </top>
      <bottom style="medium">
        <color rgb="FFB8843D"/>
      </bottom>
    </border>
    <border>
      <left style="medium">
        <color rgb="FF9C4A2B"/>
      </left>
      <top style="thin">
        <color rgb="FFE5E1D6"/>
      </top>
      <bottom style="thin">
        <color rgb="FFE5E1D6"/>
      </bottom>
    </border>
    <border>
      <top style="thin">
        <color rgb="FFE5E1D6"/>
      </top>
    </border>
    <border>
      <top style="thin">
        <color rgb="FFE5E1D6"/>
      </top>
      <bottom style="thin">
        <color rgb="FFE5E1D6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11" borderId="2" applyAlignment="1" pivotButton="0" quotePrefix="0" xfId="0">
      <alignment horizontal="left" vertical="center"/>
    </xf>
    <xf numFmtId="0" fontId="13" fillId="10" borderId="4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left" vertical="center" wrapText="1"/>
    </xf>
    <xf numFmtId="0" fontId="12" fillId="9" borderId="2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164" fontId="9" fillId="6" borderId="1" applyAlignment="1" pivotButton="0" quotePrefix="0" xfId="0">
      <alignment horizontal="right" vertical="center"/>
    </xf>
    <xf numFmtId="10" fontId="9" fillId="6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164" fontId="11" fillId="7" borderId="1" applyAlignment="1" pivotButton="0" quotePrefix="0" xfId="0">
      <alignment horizontal="right" vertical="center"/>
    </xf>
    <xf numFmtId="0" fontId="5" fillId="8" borderId="3" applyAlignment="1" pivotButton="0" quotePrefix="0" xfId="0">
      <alignment horizontal="left" vertical="center" wrapText="1"/>
    </xf>
    <xf numFmtId="164" fontId="5" fillId="8" borderId="3" applyAlignment="1" pivotButton="0" quotePrefix="0" xfId="0">
      <alignment horizontal="right" vertical="center"/>
    </xf>
    <xf numFmtId="10" fontId="11" fillId="7" borderId="1" applyAlignment="1" pivotButton="0" quotePrefix="0" xfId="0">
      <alignment horizontal="right" vertical="center"/>
    </xf>
    <xf numFmtId="165" fontId="11" fillId="7" borderId="1" applyAlignment="1" pivotButton="0" quotePrefix="0" xfId="0">
      <alignment horizontal="right" vertical="center"/>
    </xf>
    <xf numFmtId="166" fontId="5" fillId="8" borderId="3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6" fontId="4" fillId="7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10" fontId="4" fillId="7" borderId="1" applyAlignment="1" pivotButton="0" quotePrefix="0" xfId="0">
      <alignment horizontal="right" vertical="center"/>
    </xf>
    <xf numFmtId="0" fontId="0" fillId="12" borderId="0" pivotButton="0" quotePrefix="0" xfId="0"/>
    <xf numFmtId="0" fontId="15" fillId="12" borderId="0" pivotButton="0" quotePrefix="0" xfId="0"/>
    <xf numFmtId="0" fontId="15" fillId="12" borderId="0" applyAlignment="1" pivotButton="0" quotePrefix="0" xfId="0">
      <alignment wrapText="1"/>
    </xf>
    <xf numFmtId="0" fontId="0" fillId="13" borderId="0" pivotButton="0" quotePrefix="0" xfId="0"/>
    <xf numFmtId="0" fontId="16" fillId="13" borderId="0" pivotButton="0" quotePrefix="0" xfId="0"/>
    <xf numFmtId="0" fontId="16" fillId="13" borderId="1" pivotButton="0" quotePrefix="0" xfId="0"/>
    <xf numFmtId="0" fontId="16" fillId="13" borderId="1" applyAlignment="1" pivotButton="0" quotePrefix="0" xfId="0">
      <alignment wrapText="1"/>
    </xf>
    <xf numFmtId="0" fontId="16" fillId="14" borderId="1" applyAlignment="1" pivotButton="0" quotePrefix="0" xfId="0">
      <alignment wrapText="1"/>
    </xf>
    <xf numFmtId="0" fontId="17" fillId="14" borderId="1" applyAlignment="1" pivotButton="0" quotePrefix="0" xfId="0">
      <alignment wrapText="1"/>
    </xf>
    <xf numFmtId="0" fontId="16" fillId="15" borderId="1" applyAlignment="1" pivotButton="0" quotePrefix="0" xfId="0">
      <alignment wrapText="1"/>
    </xf>
    <xf numFmtId="0" fontId="0" fillId="16" borderId="0" pivotButton="0" quotePrefix="0" xfId="0"/>
    <xf numFmtId="0" fontId="15" fillId="16" borderId="0" pivotButton="0" quotePrefix="0" xfId="0"/>
    <xf numFmtId="0" fontId="15" fillId="16" borderId="1" pivotButton="0" quotePrefix="0" xfId="0"/>
    <xf numFmtId="0" fontId="15" fillId="16" borderId="1" applyAlignment="1" pivotButton="0" quotePrefix="0" xfId="0">
      <alignment wrapText="1"/>
    </xf>
    <xf numFmtId="0" fontId="0" fillId="17" borderId="0" pivotButton="0" quotePrefix="0" xfId="0"/>
    <xf numFmtId="0" fontId="16" fillId="17" borderId="0" pivotButton="0" quotePrefix="0" xfId="0"/>
    <xf numFmtId="0" fontId="16" fillId="17" borderId="1" pivotButton="0" quotePrefix="0" xfId="0"/>
    <xf numFmtId="0" fontId="16" fillId="17" borderId="1" applyAlignment="1" pivotButton="0" quotePrefix="0" xfId="0">
      <alignment wrapText="1"/>
    </xf>
    <xf numFmtId="0" fontId="16" fillId="18" borderId="1" applyAlignment="1" pivotButton="0" quotePrefix="0" xfId="0">
      <alignment wrapText="1"/>
    </xf>
    <xf numFmtId="0" fontId="17" fillId="18" borderId="1" applyAlignment="1" pivotButton="0" quotePrefix="0" xfId="0">
      <alignment wrapText="1"/>
    </xf>
    <xf numFmtId="0" fontId="16" fillId="19" borderId="1" applyAlignment="1" pivotButton="0" quotePrefix="0" xfId="0">
      <alignment wrapText="1"/>
    </xf>
    <xf numFmtId="0" fontId="0" fillId="0" borderId="6" pivotButton="0" quotePrefix="0" xfId="0"/>
  </cellXfs>
  <cellStyles count="1">
    <cellStyle name="Normal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808080"/>
      <rgbColor rgb="FF9999FF"/>
      <rgbColor rgb="FF993366"/>
      <rgbColor rgb="FFF2EEE5"/>
      <rgbColor rgb="FFEBF5F0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AE8E0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4A5567"/>
      <rgbColor rgb="FF969696"/>
      <rgbColor rgb="FF0A3D6B"/>
      <rgbColor rgb="FF4A7C5E"/>
      <rgbColor rgb="FF0E1116"/>
      <rgbColor rgb="FF333300"/>
      <rgbColor rgb="FF9C4A2B"/>
      <rgbColor rgb="FF993366"/>
      <rgbColor rgb="FF333399"/>
      <rgbColor rgb="FF1A1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10" defaultColWidth="8.6640625" defaultRowHeight="15"/>
  <cols>
    <col width="3" customWidth="1" min="1" max="1"/>
    <col width="28" customWidth="1" min="2" max="2"/>
    <col width="52" customWidth="1" min="3" max="3"/>
    <col width="3" customWidth="1" min="4" max="4"/>
  </cols>
  <sheetData>
    <row r="1" ht="13.5" customHeight="1"/>
    <row r="2" ht="51.75" customHeight="1">
      <c r="B2" s="8" t="inlineStr">
        <is>
          <t>BUS123 · MATH-M07-L01 · Sales, Excise &amp; Property Taxes</t>
        </is>
      </c>
    </row>
    <row r="3" ht="13.5" customHeight="1"/>
    <row r="4" ht="6" customHeight="1">
      <c r="B4" s="9" t="n"/>
      <c r="C4" s="9" t="n"/>
    </row>
    <row r="5" ht="9.75" customHeight="1"/>
    <row r="6" ht="27.75" customHeight="1">
      <c r="B6" s="7" t="inlineStr">
        <is>
          <t>About This Workbook</t>
        </is>
      </c>
    </row>
    <row r="7" ht="21.75" customHeight="1">
      <c r="B7" s="10" t="inlineStr">
        <is>
          <t>Course</t>
        </is>
      </c>
      <c r="C7" s="11" t="inlineStr">
        <is>
          <t>BUS123 — Solving Business Problems with Technology</t>
        </is>
      </c>
    </row>
    <row r="8" ht="21.75" customHeight="1">
      <c r="B8" s="10" t="inlineStr">
        <is>
          <t>Module</t>
        </is>
      </c>
      <c r="C8" s="11" t="inlineStr">
        <is>
          <t>MATH-M07 · Lesson 01</t>
        </is>
      </c>
    </row>
    <row r="9" ht="21.75" customHeight="1">
      <c r="B9" s="10" t="inlineStr">
        <is>
          <t>Topic</t>
        </is>
      </c>
      <c r="C9" s="11" t="inlineStr">
        <is>
          <t>Sales Tax, Excise Tax, and Property Tax</t>
        </is>
      </c>
    </row>
    <row r="10" ht="21.75" customHeight="1">
      <c r="B10" s="10" t="inlineStr">
        <is>
          <t>Company</t>
        </is>
      </c>
      <c r="C10" s="11" t="inlineStr">
        <is>
          <t>Tidal Goods Co. · Meridian Advisory Group</t>
        </is>
      </c>
    </row>
    <row r="11" ht="21.75" customHeight="1">
      <c r="B11" s="10" t="inlineStr">
        <is>
          <t>Est. Time</t>
        </is>
      </c>
      <c r="C11" s="11" t="inlineStr">
        <is>
          <t>30–35 minutes in class</t>
        </is>
      </c>
    </row>
    <row r="12" ht="9.75" customHeight="1"/>
    <row r="13" ht="27.75" customHeight="1">
      <c r="B13" s="7" t="inlineStr">
        <is>
          <t>Learning Objectives</t>
        </is>
      </c>
    </row>
    <row r="14" ht="21.75" customHeight="1">
      <c r="B14" s="6" t="inlineStr">
        <is>
          <t xml:space="preserve">  ☐  I can compute sales tax with a trade discount and shipping in the correct order.</t>
        </is>
      </c>
      <c r="C14" s="57" t="n"/>
    </row>
    <row r="15" ht="21.75" customHeight="1">
      <c r="B15" s="6" t="inlineStr">
        <is>
          <t xml:space="preserve">  ☐  I can calculate total cost when both excise tax and sales tax apply to one item.</t>
        </is>
      </c>
      <c r="C15" s="57" t="n"/>
    </row>
    <row r="16" ht="21.75" customHeight="1">
      <c r="B16" s="6" t="inlineStr">
        <is>
          <t xml:space="preserve">  ☐  I can perform the full 3-step property tax calculation (assessed value → tax rate → annual tax due).</t>
        </is>
      </c>
      <c r="C16" s="57" t="n"/>
    </row>
    <row r="17" ht="21.75" customHeight="1">
      <c r="B17" s="6" t="inlineStr">
        <is>
          <t xml:space="preserve">  ☐  I can back-calculate actual pre-tax sales from a total-receipts figure.</t>
        </is>
      </c>
      <c r="C17" s="57" t="n"/>
    </row>
    <row r="18" ht="9.75" customHeight="1"/>
    <row r="19" ht="27.75" customHeight="1">
      <c r="B19" s="7" t="inlineStr">
        <is>
          <t>Color Key</t>
        </is>
      </c>
    </row>
    <row r="20" ht="21.75" customHeight="1">
      <c r="B20" s="12" t="inlineStr">
        <is>
          <t>Yellow cell</t>
        </is>
      </c>
      <c r="C20" s="11" t="inlineStr">
        <is>
          <t>Your input — enter a value here</t>
        </is>
      </c>
    </row>
    <row r="21" ht="21.75" customHeight="1">
      <c r="B21" s="13" t="inlineStr">
        <is>
          <t>White formula cell</t>
        </is>
      </c>
      <c r="C21" s="11" t="inlineStr">
        <is>
          <t>Auto-calculated — do not type here</t>
        </is>
      </c>
    </row>
    <row r="22" ht="21.75" customHeight="1">
      <c r="B22" s="14" t="inlineStr">
        <is>
          <t>Green result cell</t>
        </is>
      </c>
      <c r="C22" s="11" t="inlineStr">
        <is>
          <t>Final answer — check your work</t>
        </is>
      </c>
    </row>
    <row r="23" ht="9.75" customHeight="1"/>
    <row r="24" ht="27.75" customHeight="1">
      <c r="B24" s="7" t="inlineStr">
        <is>
          <t>Navigation</t>
        </is>
      </c>
    </row>
    <row r="25" ht="21.75" customHeight="1">
      <c r="B25" s="15" t="inlineStr">
        <is>
          <t>→  Sales Tax</t>
        </is>
      </c>
      <c r="C25" s="11" t="inlineStr">
        <is>
          <t>Tidal Goods Co. order with trade discount + shipping</t>
        </is>
      </c>
    </row>
    <row r="26" ht="21.75" customHeight="1">
      <c r="B26" s="15" t="inlineStr">
        <is>
          <t>→  Excise Tax</t>
        </is>
      </c>
      <c r="C26" s="11" t="inlineStr">
        <is>
          <t>Meridian Advisory Group appliance purchase — both taxes</t>
        </is>
      </c>
    </row>
    <row r="27" ht="21.75" customHeight="1">
      <c r="B27" s="15" t="inlineStr">
        <is>
          <t>→  Property Tax</t>
        </is>
      </c>
      <c r="C27" s="11" t="inlineStr">
        <is>
          <t>Meridian Advisory Group office — full 3-step calculation</t>
        </is>
      </c>
    </row>
    <row r="28" ht="21.75" customHeight="1">
      <c r="B28" s="15" t="inlineStr">
        <is>
          <t>→  Formula Ref</t>
        </is>
      </c>
      <c r="C28" s="11" t="inlineStr">
        <is>
          <t>Quick reference for all formulas used in this module</t>
        </is>
      </c>
    </row>
  </sheetData>
  <mergeCells count="9">
    <mergeCell ref="B13:C13"/>
    <mergeCell ref="B6:C6"/>
    <mergeCell ref="B24:C24"/>
    <mergeCell ref="B16:C16"/>
    <mergeCell ref="B2:C2"/>
    <mergeCell ref="B15:C15"/>
    <mergeCell ref="B19:C19"/>
    <mergeCell ref="B14:C14"/>
    <mergeCell ref="B17:C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7"/>
  <sheetViews>
    <sheetView showGridLines="0" workbookViewId="0">
      <selection activeCell="A1" sqref="A1"/>
    </sheetView>
  </sheetViews>
  <sheetFormatPr baseColWidth="10" defaultColWidth="8.6640625" defaultRowHeight="15"/>
  <cols>
    <col width="3" customWidth="1" min="1" max="1"/>
    <col width="34" customWidth="1" min="2" max="2"/>
    <col width="20" customWidth="1" min="3" max="3"/>
    <col width="3" customWidth="1" min="4" max="4"/>
  </cols>
  <sheetData>
    <row r="1" ht="13.5" customHeight="1"/>
    <row r="2" ht="43.5" customHeight="1">
      <c r="B2" s="5" t="inlineStr">
        <is>
          <t>Sales Tax — Tidal Goods Co.</t>
        </is>
      </c>
    </row>
    <row r="3" ht="6" customHeight="1">
      <c r="B3" s="9" t="n"/>
      <c r="C3" s="9" t="n"/>
    </row>
    <row r="4" ht="9.75" customHeight="1"/>
    <row r="5" ht="21.75" customHeight="1">
      <c r="B5" s="6" t="inlineStr">
        <is>
          <t>Tidal Goods Co. is processing a wholesale order. Enter the given values in the yellow cells, then use formulas to complete the calculation chain.</t>
        </is>
      </c>
      <c r="C5" s="57" t="n"/>
    </row>
    <row r="6" ht="7.5" customHeight="1"/>
    <row r="7" ht="27.75" customHeight="1">
      <c r="B7" s="7" t="inlineStr">
        <is>
          <t>PART A — Sales Tax with Trade Discount &amp; Shipping</t>
        </is>
      </c>
    </row>
    <row r="8" ht="21.75" customHeight="1">
      <c r="B8" s="16" t="inlineStr">
        <is>
          <t>GIVEN VALUES — enter in yellow cells</t>
        </is>
      </c>
    </row>
    <row r="9" ht="25.5" customHeight="1">
      <c r="B9" s="10" t="inlineStr">
        <is>
          <t>Retail Price ($)</t>
        </is>
      </c>
      <c r="C9" s="17" t="n"/>
    </row>
    <row r="10" ht="25.5" customHeight="1">
      <c r="B10" s="10" t="inlineStr">
        <is>
          <t>Trade Discount ($)</t>
        </is>
      </c>
      <c r="C10" s="17" t="n"/>
    </row>
    <row r="11" ht="25.5" customHeight="1">
      <c r="B11" s="10" t="inlineStr">
        <is>
          <t>Sales Tax Rate (enter as decimal, e.g. 0.06)</t>
        </is>
      </c>
      <c r="C11" s="18" t="n"/>
    </row>
    <row r="12" ht="25.5" customHeight="1">
      <c r="B12" s="10" t="inlineStr">
        <is>
          <t>Shipping Charge ($)</t>
        </is>
      </c>
      <c r="C12" s="17" t="n"/>
    </row>
    <row r="13" ht="7.5" customHeight="1"/>
    <row r="14" ht="21.75" customHeight="1">
      <c r="B14" s="19" t="inlineStr">
        <is>
          <t>CALCULATIONS — formulas only, no typing</t>
        </is>
      </c>
    </row>
    <row r="15" ht="25.5" customHeight="1">
      <c r="B15" s="20" t="inlineStr">
        <is>
          <t>Step 1 — Taxable Subtotal ($)</t>
        </is>
      </c>
      <c r="C15" s="21">
        <f>C9-C10</f>
        <v/>
      </c>
    </row>
    <row r="16" ht="25.5" customHeight="1">
      <c r="B16" s="20" t="inlineStr">
        <is>
          <t>Step 2 — Tax Owed ($)</t>
        </is>
      </c>
      <c r="C16" s="21">
        <f>C15*C11</f>
        <v/>
      </c>
    </row>
    <row r="17" ht="25.5" customHeight="1">
      <c r="B17" s="22" t="inlineStr">
        <is>
          <t>Step 3 — Total Price w/Shipping ($)</t>
        </is>
      </c>
      <c r="C17" s="23">
        <f>C15+C16+C12</f>
        <v/>
      </c>
    </row>
    <row r="18" ht="9.75" customHeight="1"/>
    <row r="19" ht="27.75" customHeight="1">
      <c r="B19" s="7" t="inlineStr">
        <is>
          <t>PART B — Back-Calculate Actual Sales from Register Receipts</t>
        </is>
      </c>
    </row>
    <row r="20" ht="21.75" customHeight="1">
      <c r="B20" s="6" t="inlineStr">
        <is>
          <t>Tidal Goods Co.'s register shows total receipts including tax. Find the actual pre-tax sales.</t>
        </is>
      </c>
      <c r="C20" s="57" t="n"/>
    </row>
    <row r="21" ht="25.5" customHeight="1">
      <c r="B21" s="10" t="inlineStr">
        <is>
          <t>Total Register Receipts (including tax) ($)</t>
        </is>
      </c>
      <c r="C21" s="17" t="n"/>
    </row>
    <row r="22" ht="25.5" customHeight="1">
      <c r="B22" s="10" t="inlineStr">
        <is>
          <t>Tax Rate (enter as decimal)</t>
        </is>
      </c>
      <c r="C22" s="18" t="n"/>
    </row>
    <row r="23" ht="7.5" customHeight="1"/>
    <row r="24" ht="21.75" customHeight="1">
      <c r="B24" s="19" t="inlineStr">
        <is>
          <t>FORMULA</t>
        </is>
      </c>
    </row>
    <row r="25" ht="25.5" customHeight="1">
      <c r="B25" s="22" t="inlineStr">
        <is>
          <t>Actual Pre-Tax Sales ($)</t>
        </is>
      </c>
      <c r="C25" s="23">
        <f>C21/(1+C22)</f>
        <v/>
      </c>
    </row>
    <row r="26" ht="9.75" customHeight="1"/>
    <row r="27" ht="31.5" customHeight="1">
      <c r="B27" s="4" t="inlineStr">
        <is>
          <t>💡 Reflection: What happens to the tax owed (Step 2) if you apply the trade discount AFTER calculating tax instead of before? Why does order matter?</t>
        </is>
      </c>
      <c r="C27" s="57" t="n"/>
    </row>
  </sheetData>
  <mergeCells count="6">
    <mergeCell ref="B2:C2"/>
    <mergeCell ref="B7:C7"/>
    <mergeCell ref="B5:C5"/>
    <mergeCell ref="B20:C20"/>
    <mergeCell ref="B19:C19"/>
    <mergeCell ref="B27:C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10" defaultColWidth="8.6640625" defaultRowHeight="15"/>
  <cols>
    <col width="3" customWidth="1" min="1" max="1"/>
    <col width="38" customWidth="1" min="2" max="2"/>
    <col width="20" customWidth="1" min="3" max="3"/>
    <col width="3" customWidth="1" min="4" max="4"/>
  </cols>
  <sheetData>
    <row r="1" ht="13.5" customHeight="1"/>
    <row r="2" ht="43.5" customHeight="1">
      <c r="B2" s="5" t="inlineStr">
        <is>
          <t>Excise Tax — Meridian Advisory Group</t>
        </is>
      </c>
    </row>
    <row r="3" ht="6" customHeight="1">
      <c r="B3" s="9" t="n"/>
      <c r="C3" s="9" t="n"/>
    </row>
    <row r="4" ht="9.75" customHeight="1"/>
    <row r="5" ht="27.75" customHeight="1">
      <c r="B5" s="6" t="inlineStr">
        <is>
          <t>Meridian Advisory Group is purchasing a commercial appliance for their client hospitality suite. Both sales tax and excise tax apply. Enter given values in yellow cells.</t>
        </is>
      </c>
      <c r="C5" s="57" t="n"/>
    </row>
    <row r="6" ht="7.5" customHeight="1"/>
    <row r="7" ht="27.75" customHeight="1">
      <c r="B7" s="7" t="inlineStr">
        <is>
          <t>PART A — Total Cost with Sales Tax + Excise Tax</t>
        </is>
      </c>
    </row>
    <row r="8" ht="21.75" customHeight="1">
      <c r="B8" s="16" t="inlineStr">
        <is>
          <t>GIVEN VALUES — enter in yellow cells</t>
        </is>
      </c>
    </row>
    <row r="9" ht="25.5" customHeight="1">
      <c r="B9" s="10" t="inlineStr">
        <is>
          <t>Base Cost of Appliance ($)</t>
        </is>
      </c>
      <c r="C9" s="17" t="n"/>
    </row>
    <row r="10" ht="25.5" customHeight="1">
      <c r="B10" s="10" t="inlineStr">
        <is>
          <t>Sales Tax Rate (enter as decimal)</t>
        </is>
      </c>
      <c r="C10" s="18" t="n"/>
    </row>
    <row r="11" ht="25.5" customHeight="1">
      <c r="B11" s="10" t="inlineStr">
        <is>
          <t>Excise Tax Rate (enter as decimal)</t>
        </is>
      </c>
      <c r="C11" s="18" t="n"/>
    </row>
    <row r="12" ht="7.5" customHeight="1"/>
    <row r="13" ht="21.75" customHeight="1">
      <c r="B13" s="19" t="inlineStr">
        <is>
          <t>APPROACH 1 — Calculate each tax separately</t>
        </is>
      </c>
    </row>
    <row r="14" ht="25.5" customHeight="1">
      <c r="B14" s="20" t="inlineStr">
        <is>
          <t>Sales Tax Amount ($)</t>
        </is>
      </c>
      <c r="C14" s="21">
        <f>C9*C10</f>
        <v/>
      </c>
    </row>
    <row r="15" ht="25.5" customHeight="1">
      <c r="B15" s="20" t="inlineStr">
        <is>
          <t>Excise Tax Amount ($)</t>
        </is>
      </c>
      <c r="C15" s="21">
        <f>C9*C11</f>
        <v/>
      </c>
    </row>
    <row r="16" ht="25.5" customHeight="1">
      <c r="B16" s="22" t="inlineStr">
        <is>
          <t>Total Cost — Approach 1 ($)</t>
        </is>
      </c>
      <c r="C16" s="23">
        <f>C9+C14+C15</f>
        <v/>
      </c>
    </row>
    <row r="17" ht="7.5" customHeight="1"/>
    <row r="18" ht="21.75" customHeight="1">
      <c r="B18" s="19" t="inlineStr">
        <is>
          <t>APPROACH 2 — Combined rate shortcut</t>
        </is>
      </c>
    </row>
    <row r="19" ht="25.5" customHeight="1">
      <c r="B19" s="20" t="inlineStr">
        <is>
          <t>Combined Tax Rate</t>
        </is>
      </c>
      <c r="C19" s="24">
        <f>C10+C11</f>
        <v/>
      </c>
    </row>
    <row r="20" ht="25.5" customHeight="1">
      <c r="B20" s="22" t="inlineStr">
        <is>
          <t>Total Cost — Approach 2 ($)</t>
        </is>
      </c>
      <c r="C20" s="23">
        <f>C9*(1+C19)</f>
        <v/>
      </c>
    </row>
    <row r="21" ht="7.5" customHeight="1"/>
    <row r="22" ht="25.5" customHeight="1">
      <c r="B22" s="3" t="inlineStr">
        <is>
          <t>✓ Approaches 1 and 2 should be equal:</t>
        </is>
      </c>
      <c r="C22" s="57" t="n"/>
    </row>
    <row r="23" ht="25.5" customHeight="1">
      <c r="B23" s="11" t="inlineStr">
        <is>
          <t>Do both approaches give the same total?</t>
        </is>
      </c>
      <c r="C23" s="14">
        <f>IF(C16=C20,"✓ Yes — correct","✗ Check your formulas")</f>
        <v/>
      </c>
    </row>
    <row r="24" ht="9.75" customHeight="1"/>
    <row r="25" ht="27.75" customHeight="1">
      <c r="B25" s="7" t="inlineStr">
        <is>
          <t>PART B — Excise Tax Concept Check</t>
        </is>
      </c>
    </row>
    <row r="26" ht="27.75" customHeight="1">
      <c r="B26" s="2" t="inlineStr">
        <is>
          <t>⚠  Common Error: Do NOT apply the second tax to the already-taxed total. Both rates are always calculated from the original base cost. Approach 2 works because adding the rates first is mathematically equivalent.</t>
        </is>
      </c>
      <c r="C26" s="57" t="n"/>
    </row>
    <row r="27" ht="9.75" customHeight="1"/>
    <row r="28" ht="21.75" customHeight="1">
      <c r="B28" s="4" t="inlineStr">
        <is>
          <t>What-if: Change the base cost to $10,000. Do both totals update automatically?</t>
        </is>
      </c>
      <c r="C28" s="57" t="n"/>
    </row>
  </sheetData>
  <mergeCells count="7">
    <mergeCell ref="B2:C2"/>
    <mergeCell ref="B7:C7"/>
    <mergeCell ref="B25:C25"/>
    <mergeCell ref="B5:C5"/>
    <mergeCell ref="B28:C28"/>
    <mergeCell ref="B22:C22"/>
    <mergeCell ref="B26:C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10" defaultColWidth="8.6640625" defaultRowHeight="15"/>
  <cols>
    <col width="3" customWidth="1" min="1" max="1"/>
    <col width="44" customWidth="1" min="2" max="2"/>
    <col width="20" customWidth="1" min="3" max="3"/>
    <col width="3" customWidth="1" min="4" max="4"/>
  </cols>
  <sheetData>
    <row r="1" ht="13.5" customHeight="1"/>
    <row r="2" ht="43.5" customHeight="1">
      <c r="B2" s="5" t="inlineStr">
        <is>
          <t>Property Tax — Meridian Advisory Group</t>
        </is>
      </c>
    </row>
    <row r="3" ht="6" customHeight="1">
      <c r="B3" s="9" t="n"/>
      <c r="C3" s="9" t="n"/>
    </row>
    <row r="4" ht="9.75" customHeight="1"/>
    <row r="5" ht="27.75" customHeight="1">
      <c r="B5" s="6" t="inlineStr">
        <is>
          <t>Meridian Advisory Group is evaluating office space. Complete the three-step property tax calculation. Tax rate must be rounded to 4 decimal places.</t>
        </is>
      </c>
      <c r="C5" s="57" t="n"/>
    </row>
    <row r="6" ht="7.5" customHeight="1"/>
    <row r="7" ht="27.75" customHeight="1">
      <c r="B7" s="7" t="inlineStr">
        <is>
          <t>GIVEN VALUES — enter in yellow cells</t>
        </is>
      </c>
    </row>
    <row r="8" ht="25.5" customHeight="1">
      <c r="B8" s="10" t="inlineStr">
        <is>
          <t>Market Value of Office Property ($)</t>
        </is>
      </c>
      <c r="C8" s="17" t="n"/>
    </row>
    <row r="9" ht="25.5" customHeight="1">
      <c r="B9" s="10" t="inlineStr">
        <is>
          <t>Assessment Rate (enter as decimal, e.g. 0.40)</t>
        </is>
      </c>
      <c r="C9" s="18" t="n"/>
    </row>
    <row r="10" ht="25.5" customHeight="1">
      <c r="B10" s="10" t="inlineStr">
        <is>
          <t>Town's Annual Budget Need ($)</t>
        </is>
      </c>
      <c r="C10" s="17" t="n"/>
    </row>
    <row r="11" ht="25.5" customHeight="1">
      <c r="B11" s="10" t="inlineStr">
        <is>
          <t>Total Assessed Value of All Property in Town ($)</t>
        </is>
      </c>
      <c r="C11" s="17" t="n"/>
    </row>
    <row r="12" ht="7.5" customHeight="1"/>
    <row r="13" ht="27.75" customHeight="1">
      <c r="B13" s="7" t="inlineStr">
        <is>
          <t>STEP 1 — Assessed Value</t>
        </is>
      </c>
    </row>
    <row r="14" ht="25.5" customHeight="1">
      <c r="B14" s="22" t="inlineStr">
        <is>
          <t>Assessed Value = Assessment Rate × Market Value ($)</t>
        </is>
      </c>
      <c r="C14" s="23">
        <f>IFERROR(C9*C8,"")</f>
        <v/>
      </c>
    </row>
    <row r="15" ht="7.5" customHeight="1"/>
    <row r="16" ht="27.75" customHeight="1">
      <c r="B16" s="7" t="inlineStr">
        <is>
          <t>STEP 2 — Tax Rate  (round to nearest ten-thousandth)</t>
        </is>
      </c>
    </row>
    <row r="17" ht="25.5" customHeight="1">
      <c r="B17" s="20" t="inlineStr">
        <is>
          <t>Raw Tax Rate (before rounding)</t>
        </is>
      </c>
      <c r="C17" s="25">
        <f>IFERROR(C10/C11,"")</f>
        <v/>
      </c>
    </row>
    <row r="18" ht="25.5" customHeight="1">
      <c r="B18" s="22" t="inlineStr">
        <is>
          <t>Tax Rate Rounded to 4 Decimal Places (ten-thousandths)</t>
        </is>
      </c>
      <c r="C18" s="26">
        <f>IFERROR(ROUND(C10/C11,4),"")</f>
        <v/>
      </c>
    </row>
    <row r="19" ht="7.5" customHeight="1"/>
    <row r="20" ht="27.75" customHeight="1">
      <c r="B20" s="7" t="inlineStr">
        <is>
          <t>STEP 3 — Annual Tax Due</t>
        </is>
      </c>
    </row>
    <row r="21" ht="25.5" customHeight="1">
      <c r="B21" s="22" t="inlineStr">
        <is>
          <t>Annual Property Tax Due ($) = Rounded Tax Rate × Assessed Value</t>
        </is>
      </c>
      <c r="C21" s="23">
        <f>IFERROR(C18*C14,"")</f>
        <v/>
      </c>
    </row>
    <row r="22" ht="9.75" customHeight="1"/>
    <row r="23" ht="27.75" customHeight="1">
      <c r="B23" s="7" t="inlineStr">
        <is>
          <t>SUMMARY</t>
        </is>
      </c>
    </row>
    <row r="24" ht="21.75" customHeight="1">
      <c r="B24" s="20" t="inlineStr">
        <is>
          <t>Market Value</t>
        </is>
      </c>
      <c r="C24" s="27">
        <f>IFERROR(C8,"")</f>
        <v/>
      </c>
    </row>
    <row r="25" ht="21.75" customHeight="1">
      <c r="B25" s="20" t="inlineStr">
        <is>
          <t>Assessment Rate</t>
        </is>
      </c>
      <c r="C25" s="35">
        <f>IFERROR(C9,"")</f>
        <v/>
      </c>
    </row>
    <row r="26" ht="21.75" customHeight="1">
      <c r="B26" s="20" t="inlineStr">
        <is>
          <t>Assessed Value</t>
        </is>
      </c>
      <c r="C26" s="27">
        <f>IFERROR(C14,"")</f>
        <v/>
      </c>
    </row>
    <row r="27" ht="21.75" customHeight="1">
      <c r="B27" s="20" t="inlineStr">
        <is>
          <t>Tax Rate (4 decimals)</t>
        </is>
      </c>
      <c r="C27" s="28">
        <f>IFERROR(C18,"")</f>
        <v/>
      </c>
    </row>
    <row r="28" ht="21.75" customHeight="1">
      <c r="B28" s="20" t="inlineStr">
        <is>
          <t>Annual Tax Due</t>
        </is>
      </c>
      <c r="C28" s="27">
        <f>IFERROR(C21,"")</f>
        <v/>
      </c>
    </row>
    <row r="29" ht="31.5" customHeight="1">
      <c r="B29" s="4" t="inlineStr">
        <is>
          <t>💡 NNN Lease Alert: If Meridian signs a Triple Net lease instead of owning, this annual tax amount becomes part of their variable rent obligation. A 10% rise in the town's budget need would raise their tax proportionally.</t>
        </is>
      </c>
      <c r="C29" s="57" t="n"/>
    </row>
  </sheetData>
  <mergeCells count="8">
    <mergeCell ref="B13:C13"/>
    <mergeCell ref="B16:C16"/>
    <mergeCell ref="B2:C2"/>
    <mergeCell ref="B29:C29"/>
    <mergeCell ref="B7:C7"/>
    <mergeCell ref="B5:C5"/>
    <mergeCell ref="B20:C20"/>
    <mergeCell ref="B23:C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10" defaultColWidth="8.6640625" defaultRowHeight="15"/>
  <cols>
    <col width="21.11000061035156" customWidth="1" min="1" max="1"/>
    <col width="25.55999946594238" customWidth="1" min="2" max="2"/>
    <col width="34.43999862670898" customWidth="1" min="3" max="3"/>
    <col width="33.33000183105469" customWidth="1" min="4" max="4"/>
    <col width="3" customWidth="1" min="5" max="5"/>
  </cols>
  <sheetData>
    <row r="1" ht="31.5" customHeight="1">
      <c r="A1" s="49" t="inlineStr">
        <is>
          <t>Concept</t>
        </is>
      </c>
      <c r="B1" s="49" t="inlineStr">
        <is>
          <t>Excel Pattern</t>
        </is>
      </c>
      <c r="C1" s="49" t="inlineStr">
        <is>
          <t>Plain-English Meaning</t>
        </is>
      </c>
      <c r="D1" s="49" t="inlineStr">
        <is>
          <t>Watch Out For</t>
        </is>
      </c>
    </row>
    <row r="2" ht="31.5" customHeight="1">
      <c r="A2" s="53" t="inlineStr">
        <is>
          <t>Taxable subtotal</t>
        </is>
      </c>
      <c r="B2" s="55" t="inlineStr">
        <is>
          <t>=Price-Discount</t>
        </is>
      </c>
      <c r="C2" s="53" t="inlineStr">
        <is>
          <t>Finds the amount subject to sales tax.</t>
        </is>
      </c>
      <c r="D2" s="56" t="inlineStr">
        <is>
          <t>Apply discounts before tax.</t>
        </is>
      </c>
    </row>
    <row r="3" ht="31.5" customHeight="1">
      <c r="A3" s="53" t="inlineStr">
        <is>
          <t>Sales tax owed</t>
        </is>
      </c>
      <c r="B3" s="55" t="inlineStr">
        <is>
          <t>=Taxable*Rate</t>
        </is>
      </c>
      <c r="C3" s="53" t="inlineStr">
        <is>
          <t>Calculates the tax on the taxable subtotal.</t>
        </is>
      </c>
      <c r="D3" s="56" t="inlineStr">
        <is>
          <t>Use the tax rate as a decimal.</t>
        </is>
      </c>
    </row>
    <row r="4" ht="31.5" customHeight="1">
      <c r="A4" s="53" t="inlineStr">
        <is>
          <t>Total price</t>
        </is>
      </c>
      <c r="B4" s="55" t="inlineStr">
        <is>
          <t>=Taxable+Tax+Shipping</t>
        </is>
      </c>
      <c r="C4" s="53" t="inlineStr">
        <is>
          <t>Adds taxable amount, tax, and shipping.</t>
        </is>
      </c>
      <c r="D4" s="56" t="inlineStr">
        <is>
          <t>Shipping rules can vary by scenario.</t>
        </is>
      </c>
    </row>
    <row r="5" ht="31.5" customHeight="1">
      <c r="A5" s="53" t="inlineStr">
        <is>
          <t>Back-calculate sales</t>
        </is>
      </c>
      <c r="B5" s="55" t="inlineStr">
        <is>
          <t>=TotalReceipts/(1+Rate)</t>
        </is>
      </c>
      <c r="C5" s="53" t="inlineStr">
        <is>
          <t>Finds sales before tax from total receipts.</t>
        </is>
      </c>
      <c r="D5" s="56" t="inlineStr">
        <is>
          <t>Do not subtract the tax rate directly.</t>
        </is>
      </c>
    </row>
    <row r="6" ht="31.5" customHeight="1">
      <c r="A6" s="53" t="inlineStr">
        <is>
          <t>Combined excise shortcut</t>
        </is>
      </c>
      <c r="B6" s="55" t="inlineStr">
        <is>
          <t>=Base*(1+SalesRate+ExciseRate)</t>
        </is>
      </c>
      <c r="C6" s="53" t="inlineStr">
        <is>
          <t>Combines sales and excise rates in one total.</t>
        </is>
      </c>
      <c r="D6" s="56" t="inlineStr">
        <is>
          <t>Only use when both taxes share the same base.</t>
        </is>
      </c>
    </row>
    <row r="7" ht="31.5" customHeight="1">
      <c r="A7" s="53" t="inlineStr">
        <is>
          <t>Property tax rate</t>
        </is>
      </c>
      <c r="B7" s="55" t="inlineStr">
        <is>
          <t>=ROUND(Budget/TotalAV,4)</t>
        </is>
      </c>
      <c r="C7" s="53" t="inlineStr">
        <is>
          <t>Rounds the town tax rate to four decimal places.</t>
        </is>
      </c>
      <c r="D7" s="56" t="inlineStr">
        <is>
          <t>Round the rate before applying it.</t>
        </is>
      </c>
    </row>
    <row r="8" ht="31.5" customHeight="1">
      <c r="A8" s="53" t="inlineStr">
        <is>
          <t>Annual property tax</t>
        </is>
      </c>
      <c r="B8" s="55" t="inlineStr">
        <is>
          <t>=TaxRate*AssessedValue</t>
        </is>
      </c>
      <c r="C8" s="53" t="inlineStr">
        <is>
          <t>Calculates the annual tax due on assessed value.</t>
        </is>
      </c>
      <c r="D8" s="56" t="inlineStr">
        <is>
          <t>Assessed value is not always market value.</t>
        </is>
      </c>
    </row>
    <row r="9" ht="25.5" customHeight="1"/>
    <row r="10" ht="25.5" customHeight="1"/>
    <row r="11" ht="25.5" customHeight="1"/>
    <row r="12" ht="25.5" customHeight="1"/>
    <row r="13" ht="25.5" customHeight="1"/>
    <row r="14" ht="25.5" customHeight="1"/>
    <row r="15" ht="9.75" customHeight="1"/>
    <row r="16" ht="27.7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2026-06-22T12:53:27Z</dcterms:created>
  <dcterms:modified xmlns:dcterms="http://purl.org/dc/terms/" xmlns:xsi="http://www.w3.org/2001/XMLSchema-instance" xsi:type="dcterms:W3CDTF">2026-06-22T12:53:27Z</dcterms:modified>
</cp:coreProperties>
</file>