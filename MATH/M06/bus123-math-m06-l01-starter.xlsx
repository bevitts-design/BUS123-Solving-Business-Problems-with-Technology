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COGS Schedule" sheetId="2" state="visible" r:id="rId4"/>
    <sheet name="Inventory Methods" sheetId="3" state="visible" r:id="rId5"/>
    <sheet name="Overhead Allocation" sheetId="4" state="visible" r:id="rId6"/>
    <sheet name="Formula Reference 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<sst xmlns="http://schemas.openxmlformats.org/spreadsheetml/2006/main" count="217" uniqueCount="194">
  <si>
    <t xml:space="preserve">BUS123 · MATH-M06 · Tidal Goods Co. — Inventory, Overhead &amp; COGS</t>
  </si>
  <si>
    <t xml:space="preserve">From Raw Data to Management-Ready Reports</t>
  </si>
  <si>
    <t xml:space="preserve">Learning Objectives</t>
  </si>
  <si>
    <t xml:space="preserve">✓  Calculate COGS using the Beginning Inventory + Purchases − Ending Inventory formula</t>
  </si>
  <si>
    <t xml:space="preserve">✓  Compare inventory values under FIFO and Weighted Average Cost (WAC) methods</t>
  </si>
  <si>
    <t xml:space="preserve">✓  Calculate gross profit margin and markup percentages from cost and revenue data</t>
  </si>
  <si>
    <t xml:space="preserve">✓  Allocate overhead costs across departments using a square footage basis</t>
  </si>
  <si>
    <t xml:space="preserve">✓  Format and present financial data in a clear, professional management report</t>
  </si>
  <si>
    <t xml:space="preserve">How to Use This Workbook</t>
  </si>
  <si>
    <t xml:space="preserve">Tab</t>
  </si>
  <si>
    <t xml:space="preserve">What You'll Do</t>
  </si>
  <si>
    <t xml:space="preserve">COGS Schedule</t>
  </si>
  <si>
    <t xml:space="preserve">Enter raw data and build Tidal's quarterly cost of goods sold schedule</t>
  </si>
  <si>
    <t xml:space="preserve">Inventory Methods</t>
  </si>
  <si>
    <t xml:space="preserve">Compare FIFO vs Weighted Average Cost — same data, different profit</t>
  </si>
  <si>
    <t xml:space="preserve">Overhead Allocation</t>
  </si>
  <si>
    <t xml:space="preserve">Distribute Tidal's indirect costs across its two departments</t>
  </si>
  <si>
    <t xml:space="preserve">Formula Reference Card</t>
  </si>
  <si>
    <t xml:space="preserve">Quick-reference guide to all formulas used in this activity</t>
  </si>
  <si>
    <t xml:space="preserve">Cell Color Legend</t>
  </si>
  <si>
    <t xml:space="preserve">Yellow cells = YOUR INPUT — these are empty for a reason</t>
  </si>
  <si>
    <t xml:space="preserve">Green result cells = calculated output (do not edit)</t>
  </si>
  <si>
    <t xml:space="preserve">White/cream cells = labels, formulas, or reference data</t>
  </si>
  <si>
    <t xml:space="preserve">📌  Start on the COGS Schedule tab →</t>
  </si>
  <si>
    <t xml:space="preserve">Tidal Goods Co. — Quarterly COGS Schedule</t>
  </si>
  <si>
    <t xml:space="preserve">Q1 2026  |  Raw Data → Formatted Management Report</t>
  </si>
  <si>
    <t xml:space="preserve">RAW DATA — Tidal Goods Co. Q1 2026 Inventory Records</t>
  </si>
  <si>
    <t xml:space="preserve">Item</t>
  </si>
  <si>
    <t xml:space="preserve">Jan</t>
  </si>
  <si>
    <t xml:space="preserve">Feb</t>
  </si>
  <si>
    <t xml:space="preserve">Mar</t>
  </si>
  <si>
    <t xml:space="preserve">Q1 Total</t>
  </si>
  <si>
    <t xml:space="preserve">Beginning Inventory ($)</t>
  </si>
  <si>
    <t xml:space="preserve">Purchases ($)</t>
  </si>
  <si>
    <t xml:space="preserve">Ending Inventory ($)</t>
  </si>
  <si>
    <t xml:space="preserve">Units Sold</t>
  </si>
  <si>
    <t xml:space="preserve">MANAGEMENT REPORT — COGS Schedule (Build This)</t>
  </si>
  <si>
    <t xml:space="preserve">Line Item</t>
  </si>
  <si>
    <t xml:space="preserve">Q1 2026 ($)</t>
  </si>
  <si>
    <t xml:space="preserve">Notes / Formula Used</t>
  </si>
  <si>
    <t xml:space="preserve">Beginning Inventory</t>
  </si>
  <si>
    <t xml:space="preserve">From raw data above — Q1 opening balance</t>
  </si>
  <si>
    <t xml:space="preserve">+ Purchases</t>
  </si>
  <si>
    <t xml:space="preserve">Total goods purchased during Q1</t>
  </si>
  <si>
    <t xml:space="preserve"> Goods Available for Sale</t>
  </si>
  <si>
    <t xml:space="preserve">Beginning Inventory + Purchases</t>
  </si>
  <si>
    <t xml:space="preserve">- Ending Inventory</t>
  </si>
  <si>
    <t xml:space="preserve">From physical count at end of Q1</t>
  </si>
  <si>
    <t xml:space="preserve"> COST OF GOODS SOLD</t>
  </si>
  <si>
    <t xml:space="preserve">Goods Available - Ending Inventory</t>
  </si>
  <si>
    <t xml:space="preserve">Revenue (Net Sales)</t>
  </si>
  <si>
    <t xml:space="preserve">Provided: $110,000</t>
  </si>
  <si>
    <t xml:space="preserve"> Gross Profit</t>
  </si>
  <si>
    <t xml:space="preserve">Revenue - COGS</t>
  </si>
  <si>
    <t xml:space="preserve"> Gross Margin %</t>
  </si>
  <si>
    <t xml:space="preserve">Gross Profit / Revenue</t>
  </si>
  <si>
    <t xml:space="preserve">Tidal Goods Co. — Inventory Valuation: FIFO vs Weighted Average Cost</t>
  </si>
  <si>
    <t xml:space="preserve">Same purchases, same units sold — watch how COGS and ending inventory differ</t>
  </si>
  <si>
    <t xml:space="preserve">RAW DATA — Paddleboard Purchase Orders (Q1 2026)</t>
  </si>
  <si>
    <t xml:space="preserve">Purchase Order</t>
  </si>
  <si>
    <t xml:space="preserve">Date</t>
  </si>
  <si>
    <t xml:space="preserve">Units Purchased</t>
  </si>
  <si>
    <t xml:space="preserve">Unit Cost ($)</t>
  </si>
  <si>
    <t xml:space="preserve">Total Cost ($)</t>
  </si>
  <si>
    <t xml:space="preserve">PO-101</t>
  </si>
  <si>
    <t xml:space="preserve">Feb 3, 2026</t>
  </si>
  <si>
    <t xml:space="preserve">PO-102</t>
  </si>
  <si>
    <t xml:space="preserve">Mar 12, 2026</t>
  </si>
  <si>
    <t xml:space="preserve">PO-103</t>
  </si>
  <si>
    <t xml:space="preserve">Apr 5, 2026</t>
  </si>
  <si>
    <t xml:space="preserve">TOTALS</t>
  </si>
  <si>
    <t xml:space="preserve">Units Sold in Q1:</t>
  </si>
  <si>
    <t xml:space="preserve">← You can change this number to see how COGS changes</t>
  </si>
  <si>
    <t xml:space="preserve">METHOD A — FIFO (First In, First Out)</t>
  </si>
  <si>
    <t xml:space="preserve">Oldest purchases go to COGS first</t>
  </si>
  <si>
    <t xml:space="preserve">Layer</t>
  </si>
  <si>
    <t xml:space="preserve">Units from this PO</t>
  </si>
  <si>
    <t xml:space="preserve">Unit Cost</t>
  </si>
  <si>
    <t xml:space="preserve">COGS from Layer</t>
  </si>
  <si>
    <t xml:space="preserve">Layer 1 — PO-101 (oldest)</t>
  </si>
  <si>
    <t xml:space="preserve">Layer 2 — PO-102</t>
  </si>
  <si>
    <t xml:space="preserve">FIFO — Total COGS</t>
  </si>
  <si>
    <t xml:space="preserve">METHOD B — Weighted Average Cost (WAC)</t>
  </si>
  <si>
    <t xml:space="preserve">Blend all purchase costs into one average unit cost</t>
  </si>
  <si>
    <t xml:space="preserve">Total Units Available</t>
  </si>
  <si>
    <t xml:space="preserve">← from PO totals above</t>
  </si>
  <si>
    <t xml:space="preserve">Total Cost Available</t>
  </si>
  <si>
    <t xml:space="preserve">WAC Unit Cost</t>
  </si>
  <si>
    <t xml:space="preserve">← Total Cost ÷ Total Units</t>
  </si>
  <si>
    <t xml:space="preserve">← from input above</t>
  </si>
  <si>
    <t xml:space="preserve">WAC — Total COGS</t>
  </si>
  <si>
    <t xml:space="preserve">← Units Sold × WAC Unit Cost</t>
  </si>
  <si>
    <t xml:space="preserve">MANAGEMENT SUMMARY — Method Comparison</t>
  </si>
  <si>
    <t xml:space="preserve">Metric</t>
  </si>
  <si>
    <t xml:space="preserve">FIFO Result</t>
  </si>
  <si>
    <t xml:space="preserve">WAC Result</t>
  </si>
  <si>
    <t xml:space="preserve">Difference</t>
  </si>
  <si>
    <t xml:space="preserve">Business Implication</t>
  </si>
  <si>
    <t xml:space="preserve">COGS ($)</t>
  </si>
  <si>
    <t xml:space="preserve">Higher COGS → lower gross profit</t>
  </si>
  <si>
    <t xml:space="preserve">Remaining units × method cost</t>
  </si>
  <si>
    <t xml:space="preserve">Gross Profit Impact</t>
  </si>
  <si>
    <t xml:space="preserve">WAC smooths price fluctuations</t>
  </si>
  <si>
    <t xml:space="preserve">Tidal Goods Co. — Overhead Cost Allocation Report</t>
  </si>
  <si>
    <t xml:space="preserve">Q1 2026  |  Distributing indirect costs across departments using square footage</t>
  </si>
  <si>
    <t xml:space="preserve">STEP 1 — Department Square Footage (Allocation Basis)</t>
  </si>
  <si>
    <t xml:space="preserve">Department</t>
  </si>
  <si>
    <t xml:space="preserve">Square Footage</t>
  </si>
  <si>
    <t xml:space="preserve">% of Total</t>
  </si>
  <si>
    <t xml:space="preserve">Monthly Revenue ($)</t>
  </si>
  <si>
    <t xml:space="preserve">Surf Shop (retail floor)</t>
  </si>
  <si>
    <t xml:space="preserve">Online Warehouse</t>
  </si>
  <si>
    <t xml:space="preserve">STEP 2 — Monthly Overhead Cost Categories</t>
  </si>
  <si>
    <t xml:space="preserve">Overhead Category</t>
  </si>
  <si>
    <t xml:space="preserve">Monthly Cost ($)</t>
  </si>
  <si>
    <t xml:space="preserve">Allocation Basis</t>
  </si>
  <si>
    <t xml:space="preserve">Rent</t>
  </si>
  <si>
    <t xml:space="preserve">Square footage</t>
  </si>
  <si>
    <t xml:space="preserve">Utilities</t>
  </si>
  <si>
    <t xml:space="preserve">Insurance</t>
  </si>
  <si>
    <t xml:space="preserve">Indirect Labor</t>
  </si>
  <si>
    <t xml:space="preserve">Revenue share</t>
  </si>
  <si>
    <t xml:space="preserve">Maintenance</t>
  </si>
  <si>
    <t xml:space="preserve">TOTAL OVERHEAD</t>
  </si>
  <si>
    <t xml:space="preserve">Carry this total into Step 3</t>
  </si>
  <si>
    <t xml:space="preserve">STEP 3 — Allocate Overhead to Departments (Build This)</t>
  </si>
  <si>
    <t xml:space="preserve">Sq Ft %</t>
  </si>
  <si>
    <t xml:space="preserve">Overhead Allocated ($)</t>
  </si>
  <si>
    <t xml:space="preserve">Revenue ($)</t>
  </si>
  <si>
    <t xml:space="preserve">Overhead Rate %</t>
  </si>
  <si>
    <t xml:space="preserve">Overhead per Unit Sold</t>
  </si>
  <si>
    <t xml:space="preserve">← Should sum to 100% and total overhead</t>
  </si>
  <si>
    <t xml:space="preserve">MANAGEMENT SUMMARY — Overhead Rate Analysis</t>
  </si>
  <si>
    <t xml:space="preserve">Company-wide Overhead Rate</t>
  </si>
  <si>
    <t xml:space="preserve">$22,000 total overhead ÷ $110,000 revenue</t>
  </si>
  <si>
    <t xml:space="preserve">Trend Note: Q-over-Q Change</t>
  </si>
  <si>
    <t xml:space="preserve">Was 18% in Q2 2025 — what changed?</t>
  </si>
  <si>
    <t xml:space="preserve">BUS123 · MATH-M06 — Formula Reference Card</t>
  </si>
  <si>
    <t xml:space="preserve">Tidal Goods Co. · Inventory, Overhead &amp; COGS</t>
  </si>
  <si>
    <t xml:space="preserve">COGS &amp; Profit Calculations</t>
  </si>
  <si>
    <t xml:space="preserve">Term</t>
  </si>
  <si>
    <t xml:space="preserve">Formula / Excel Syntax</t>
  </si>
  <si>
    <t xml:space="preserve">Example (Tidal Goods)</t>
  </si>
  <si>
    <t xml:space="preserve">Notes</t>
  </si>
  <si>
    <t xml:space="preserve">COGS</t>
  </si>
  <si>
    <t xml:space="preserve">'= Beginning Inventory + Purchases – Ending Inventory</t>
  </si>
  <si>
    <t xml:space="preserve">$12,400 + $38,600 – $9,800 = $41,200</t>
  </si>
  <si>
    <t xml:space="preserve">Applies to all product-based businesses</t>
  </si>
  <si>
    <t xml:space="preserve">Gross Profit</t>
  </si>
  <si>
    <t xml:space="preserve">'= Revenue – COGS</t>
  </si>
  <si>
    <t xml:space="preserve">$110,000 – $41,200 = $68,800</t>
  </si>
  <si>
    <t xml:space="preserve">Top-line profitability measure</t>
  </si>
  <si>
    <t xml:space="preserve">Gross Margin %</t>
  </si>
  <si>
    <t xml:space="preserve">'= Gross Profit / Revenue</t>
  </si>
  <si>
    <t xml:space="preserve">$68,800 / $110,000 = 62.5%</t>
  </si>
  <si>
    <t xml:space="preserve">What percent of revenue remains after product cost</t>
  </si>
  <si>
    <t xml:space="preserve">Pricing: Margin vs. Markup</t>
  </si>
  <si>
    <t xml:space="preserve">Gross Margin</t>
  </si>
  <si>
    <t xml:space="preserve">'= (Revenue – Cost) / Revenue</t>
  </si>
  <si>
    <t xml:space="preserve">($80 – $48) / $80 = 40%</t>
  </si>
  <si>
    <t xml:space="preserve">Profit as % of REVENUE — used by finance teams</t>
  </si>
  <si>
    <t xml:space="preserve">Markup</t>
  </si>
  <si>
    <t xml:space="preserve">'= (Revenue – Cost) / Cost</t>
  </si>
  <si>
    <t xml:space="preserve">($80 – $48) / $48 = 66.7%</t>
  </si>
  <si>
    <t xml:space="preserve">Profit as % of COST — used by buyers to set prices</t>
  </si>
  <si>
    <t xml:space="preserve">Sell Price (markup)</t>
  </si>
  <si>
    <t xml:space="preserve">'= Cost × (1 + Markup %)</t>
  </si>
  <si>
    <t xml:space="preserve">$48 × 1.667 = $80</t>
  </si>
  <si>
    <t xml:space="preserve">Work backwards from a target markup</t>
  </si>
  <si>
    <t xml:space="preserve">Inventory Valuation — WAC</t>
  </si>
  <si>
    <t xml:space="preserve">'= Total Cost Available / Total Units Available</t>
  </si>
  <si>
    <t xml:space="preserve">($2,100+$2,300+$2,500) / 30 = $230.00</t>
  </si>
  <si>
    <t xml:space="preserve">Blended average — recalculate when new stock arrives</t>
  </si>
  <si>
    <t xml:space="preserve">WAC COGS</t>
  </si>
  <si>
    <t xml:space="preserve">'= Units Sold × WAC Unit Cost</t>
  </si>
  <si>
    <t xml:space="preserve">20 × $230 = $4,600</t>
  </si>
  <si>
    <t xml:space="preserve">Same formula regardless of which units were physically sold</t>
  </si>
  <si>
    <t xml:space="preserve">Ending Inv (WAC)</t>
  </si>
  <si>
    <t xml:space="preserve">'= Units Remaining × WAC Unit Cost</t>
  </si>
  <si>
    <t xml:space="preserve">10 × $230 = $2,300</t>
  </si>
  <si>
    <t xml:space="preserve">Balance sheet asset value</t>
  </si>
  <si>
    <t xml:space="preserve">Dept % of Total</t>
  </si>
  <si>
    <t xml:space="preserve">'= Dept Square Footage / Total Square Footage</t>
  </si>
  <si>
    <t xml:space="preserve">2,400 / 4,000 = 60%</t>
  </si>
  <si>
    <t xml:space="preserve">Can substitute revenue share or labor hours</t>
  </si>
  <si>
    <t xml:space="preserve">Overhead Allocated</t>
  </si>
  <si>
    <t xml:space="preserve">'= Total Overhead × Dept %</t>
  </si>
  <si>
    <t xml:space="preserve">$9,000 × 60% = $5,400</t>
  </si>
  <si>
    <t xml:space="preserve">Applied to each overhead category separately</t>
  </si>
  <si>
    <t xml:space="preserve">Overhead Rate</t>
  </si>
  <si>
    <t xml:space="preserve">'= Total Overhead / Revenue</t>
  </si>
  <si>
    <t xml:space="preserve">$22,000 / $110,000 = 20.0%</t>
  </si>
  <si>
    <t xml:space="preserve">Management watches this quarterly — rising rate = red flag</t>
  </si>
  <si>
    <t xml:space="preserve">⚠  Margin ÷ by REVENUE.  Markup ÷ by COST.  A 100% markup = only 50% margin.  Never mix them.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</si>
</sst>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"/>
    <numFmt numFmtId="167" formatCode="\$#,##0"/>
    <numFmt numFmtId="168" formatCode="\$#,##0.00"/>
    <numFmt numFmtId="169" formatCode="@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2"/>
      <color rgb="FFB8843D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sz val="11"/>
      <color rgb="FF1A1F2C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4A7C5E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4A7C5E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i val="true"/>
      <sz val="11"/>
      <color rgb="FFB8843D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1A5C35"/>
      <name val="Calibri"/>
      <family val="0"/>
      <charset val="1"/>
    </font>
    <font>
      <i val="true"/>
      <sz val="10"/>
      <color rgb="FF8A8A8A"/>
      <name val="Calibri"/>
      <family val="0"/>
      <charset val="1"/>
    </font>
    <font>
      <b val="true"/>
      <sz val="11"/>
      <color rgb="FF0E1116"/>
      <name val="Calibri"/>
      <family val="0"/>
      <charset val="1"/>
    </font>
    <font>
      <sz val="11"/>
      <color rgb="FF1A5C35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B8843D"/>
      <name val="Calibri"/>
      <family val="0"/>
      <charset val="1"/>
    </font>
    <font>
      <b val="true"/>
      <sz val="11"/>
      <color rgb="FF1A1F2C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i val="true"/>
      <sz val="11"/>
      <color rgb="FF4A7C5E"/>
      <name val="Calibri"/>
      <family val="0"/>
      <charset val="1"/>
    </font>
    <font>
      <b val="true"/>
      <sz val="13"/>
      <color rgb="FFB8843D"/>
      <name val="Calibri"/>
      <family val="0"/>
      <charset val="1"/>
    </font>
    <font>
      <i val="true"/>
      <sz val="11"/>
      <color rgb="FFFFFFFF"/>
      <name val="Calibri"/>
      <family val="0"/>
      <charset val="1"/>
    </font>
    <font>
      <i val="true"/>
      <sz val="10"/>
      <color rgb="FFB8843D"/>
      <name val="Calibri"/>
      <family val="0"/>
      <charset val="1"/>
    </font>
    <font>
      <sz val="12"/>
      <color rgb="FF0000FF"/>
      <name val="Calibri"/>
      <family val="0"/>
      <charset val="1"/>
    </font>
    <font>
      <b val="true"/>
      <sz val="10"/>
      <color rgb="FF1A5C35"/>
      <name val="Courier New"/>
      <family val="0"/>
      <charset val="1"/>
    </font>
    <font>
      <sz val="10"/>
      <color rgb="FF0000FF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F2C"/>
      </patternFill>
    </fill>
    <fill>
      <patternFill patternType="solid">
        <fgColor rgb="FF4A7C5E"/>
        <bgColor rgb="FF666699"/>
      </patternFill>
    </fill>
    <fill>
      <patternFill patternType="solid">
        <fgColor rgb="FFD6EDE0"/>
        <bgColor rgb="FFE8F5E9"/>
      </patternFill>
    </fill>
    <fill>
      <patternFill patternType="solid">
        <fgColor rgb="FFFAF8F3"/>
        <bgColor rgb="FFFFF8EE"/>
      </patternFill>
    </fill>
    <fill>
      <patternFill patternType="solid">
        <fgColor rgb="FFB8843D"/>
        <bgColor rgb="FF8A8A8A"/>
      </patternFill>
    </fill>
    <fill>
      <patternFill patternType="solid">
        <fgColor rgb="FFFFD966"/>
        <bgColor rgb="FFFFCC00"/>
      </patternFill>
    </fill>
    <fill>
      <patternFill patternType="solid">
        <fgColor rgb="FFE8F5E9"/>
        <bgColor rgb="FFFAF8F3"/>
      </patternFill>
    </fill>
    <fill>
      <patternFill patternType="solid">
        <fgColor rgb="FFFFF8EE"/>
        <bgColor rgb="FFFAF8F3"/>
      </patternFill>
    </fill>
    <fill>
      <patternFill patternType="solid">
        <fgColor rgb="FFFBF0DC"/>
        <bgColor rgb="FFFFF8EE"/>
      </patternFill>
    </fill>
    <fill>
      <patternFill patternType="solid">
        <fgColor rgb="FF9C4A2B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2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9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5"/>
      <rgbColor rgb="FF000080"/>
      <rgbColor rgb="FFB8843D"/>
      <rgbColor rgb="FF800080"/>
      <rgbColor rgb="FF008080"/>
      <rgbColor rgb="FFD4C9B8"/>
      <rgbColor rgb="FF8A8A8A"/>
      <rgbColor rgb="FF9999FF"/>
      <rgbColor rgb="FF993366"/>
      <rgbColor rgb="FFFFF8EE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8F3"/>
      <rgbColor rgb="FFD6EDE0"/>
      <rgbColor rgb="FFFBF0DC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C5E"/>
      <rgbColor rgb="FF0E1116"/>
      <rgbColor rgb="FF333300"/>
      <rgbColor rgb="FF9C4A2B"/>
      <rgbColor rgb="FF993366"/>
      <rgbColor rgb="FF333399"/>
      <rgbColor rgb="FF1A1F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7" min="4" style="1" width="15"/>
  </cols>
  <sheetData>
    <row r="1" customFormat="false" ht="60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9.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5.75" hidden="false" customHeight="true" outlineLevel="0" collapsed="false"/>
    <row r="5" customFormat="false" ht="31.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6" customFormat="false" ht="21.75" hidden="false" customHeight="true" outlineLevel="0" collapsed="false">
      <c r="A6" s="6" t="s">
        <v>3</v>
      </c>
      <c r="B6" s="6"/>
      <c r="C6" s="6"/>
      <c r="D6" s="6"/>
      <c r="E6" s="6"/>
      <c r="F6" s="6"/>
      <c r="G6" s="6"/>
    </row>
    <row r="7" customFormat="false" ht="21.75" hidden="false" customHeight="true" outlineLevel="0" collapsed="false">
      <c r="A7" s="7" t="s">
        <v>4</v>
      </c>
      <c r="B7" s="7"/>
      <c r="C7" s="7"/>
      <c r="D7" s="7"/>
      <c r="E7" s="7"/>
      <c r="F7" s="7"/>
      <c r="G7" s="7"/>
    </row>
    <row r="8" customFormat="false" ht="21.75" hidden="false" customHeight="true" outlineLevel="0" collapsed="false">
      <c r="A8" s="6" t="s">
        <v>5</v>
      </c>
      <c r="B8" s="6"/>
      <c r="C8" s="6"/>
      <c r="D8" s="6"/>
      <c r="E8" s="6"/>
      <c r="F8" s="6"/>
      <c r="G8" s="6"/>
    </row>
    <row r="9" customFormat="false" ht="21.75" hidden="false" customHeight="true" outlineLevel="0" collapsed="false">
      <c r="A9" s="7" t="s">
        <v>6</v>
      </c>
      <c r="B9" s="7"/>
      <c r="C9" s="7"/>
      <c r="D9" s="7"/>
      <c r="E9" s="7"/>
      <c r="F9" s="7"/>
      <c r="G9" s="7"/>
    </row>
    <row r="10" customFormat="false" ht="21.7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</row>
    <row r="12" customFormat="false" ht="19.5" hidden="false" customHeight="true" outlineLevel="0" collapsed="false"/>
    <row r="13" customFormat="false" ht="31.5" hidden="false" customHeight="true" outlineLevel="0" collapsed="false">
      <c r="A13" s="8" t="s">
        <v>8</v>
      </c>
      <c r="B13" s="8"/>
      <c r="C13" s="8"/>
      <c r="D13" s="8"/>
      <c r="E13" s="8"/>
      <c r="F13" s="8"/>
      <c r="G13" s="8"/>
    </row>
    <row r="14" customFormat="false" ht="24" hidden="false" customHeight="true" outlineLevel="0" collapsed="false">
      <c r="A14" s="9" t="s">
        <v>9</v>
      </c>
      <c r="B14" s="10" t="s">
        <v>10</v>
      </c>
      <c r="C14" s="10"/>
      <c r="D14" s="10"/>
      <c r="E14" s="10"/>
      <c r="F14" s="10"/>
      <c r="G14" s="10"/>
    </row>
    <row r="15" customFormat="false" ht="24" hidden="false" customHeight="true" outlineLevel="0" collapsed="false">
      <c r="A15" s="11" t="s">
        <v>11</v>
      </c>
      <c r="B15" s="12" t="s">
        <v>12</v>
      </c>
      <c r="C15" s="12"/>
      <c r="D15" s="12"/>
      <c r="E15" s="12"/>
      <c r="F15" s="12"/>
      <c r="G15" s="12"/>
    </row>
    <row r="16" customFormat="false" ht="24" hidden="false" customHeight="true" outlineLevel="0" collapsed="false">
      <c r="A16" s="11" t="s">
        <v>13</v>
      </c>
      <c r="B16" s="12" t="s">
        <v>14</v>
      </c>
      <c r="C16" s="12"/>
      <c r="D16" s="12"/>
      <c r="E16" s="12"/>
      <c r="F16" s="12"/>
      <c r="G16" s="12"/>
    </row>
    <row r="17" customFormat="false" ht="24" hidden="false" customHeight="true" outlineLevel="0" collapsed="false">
      <c r="A17" s="11" t="s">
        <v>15</v>
      </c>
      <c r="B17" s="12" t="s">
        <v>16</v>
      </c>
      <c r="C17" s="12"/>
      <c r="D17" s="12"/>
      <c r="E17" s="12"/>
      <c r="F17" s="12"/>
      <c r="G17" s="12"/>
    </row>
    <row r="18" customFormat="false" ht="24" hidden="false" customHeight="true" outlineLevel="0" collapsed="false">
      <c r="A18" s="11" t="s">
        <v>17</v>
      </c>
      <c r="B18" s="12" t="s">
        <v>18</v>
      </c>
      <c r="C18" s="12"/>
      <c r="D18" s="12"/>
      <c r="E18" s="12"/>
      <c r="F18" s="12"/>
      <c r="G18" s="12"/>
    </row>
    <row r="20" customFormat="false" ht="19.5" hidden="false" customHeight="true" outlineLevel="0" collapsed="false"/>
    <row r="21" customFormat="false" ht="27.75" hidden="false" customHeight="true" outlineLevel="0" collapsed="false">
      <c r="A21" s="13" t="s">
        <v>19</v>
      </c>
      <c r="B21" s="13"/>
      <c r="C21" s="13"/>
      <c r="D21" s="13"/>
      <c r="E21" s="13"/>
      <c r="F21" s="13"/>
      <c r="G21" s="13"/>
    </row>
    <row r="22" customFormat="false" ht="21.75" hidden="false" customHeight="true" outlineLevel="0" collapsed="false">
      <c r="A22" s="14"/>
      <c r="B22" s="15"/>
      <c r="C22" s="16" t="s">
        <v>20</v>
      </c>
      <c r="D22" s="16"/>
      <c r="E22" s="16"/>
      <c r="F22" s="16"/>
      <c r="G22" s="16"/>
    </row>
    <row r="23" customFormat="false" ht="21.75" hidden="false" customHeight="true" outlineLevel="0" collapsed="false">
      <c r="A23" s="14"/>
      <c r="B23" s="17"/>
      <c r="C23" s="16" t="s">
        <v>21</v>
      </c>
      <c r="D23" s="16"/>
      <c r="E23" s="16"/>
      <c r="F23" s="16"/>
      <c r="G23" s="16"/>
    </row>
    <row r="24" customFormat="false" ht="21.75" hidden="false" customHeight="true" outlineLevel="0" collapsed="false">
      <c r="A24" s="14"/>
      <c r="B24" s="18"/>
      <c r="C24" s="16" t="s">
        <v>22</v>
      </c>
      <c r="D24" s="16"/>
      <c r="E24" s="16"/>
      <c r="F24" s="16"/>
      <c r="G24" s="16"/>
    </row>
    <row r="26" customFormat="false" ht="19.5" hidden="false" customHeight="true" outlineLevel="0" collapsed="false"/>
    <row r="27" customFormat="false" ht="30" hidden="false" customHeight="true" outlineLevel="0" collapsed="false">
      <c r="A27" s="19" t="s">
        <v>23</v>
      </c>
      <c r="B27" s="19"/>
      <c r="C27" s="19"/>
      <c r="D27" s="19"/>
      <c r="E27" s="19"/>
      <c r="F27" s="19"/>
      <c r="G27" s="19"/>
    </row>
  </sheetData>
  <mergeCells count="19">
    <mergeCell ref="A1:G1"/>
    <mergeCell ref="A2:G2"/>
    <mergeCell ref="A5:G5"/>
    <mergeCell ref="A6:G6"/>
    <mergeCell ref="A7:G7"/>
    <mergeCell ref="A8:G8"/>
    <mergeCell ref="A9:G9"/>
    <mergeCell ref="A10:G10"/>
    <mergeCell ref="A13:G13"/>
    <mergeCell ref="B14:G14"/>
    <mergeCell ref="B15:G15"/>
    <mergeCell ref="B16:G16"/>
    <mergeCell ref="B17:G17"/>
    <mergeCell ref="B18:G18"/>
    <mergeCell ref="A21:G21"/>
    <mergeCell ref="C22:G22"/>
    <mergeCell ref="C23:G23"/>
    <mergeCell ref="C24:G24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6"/>
    <col collapsed="false" customWidth="true" hidden="false" outlineLevel="0" max="3" min="3" style="1" width="36"/>
    <col collapsed="false" customWidth="true" hidden="false" outlineLevel="0" max="6" min="4" style="1" width="12"/>
  </cols>
  <sheetData>
    <row r="1" customFormat="false" ht="48" hidden="false" customHeight="true" outlineLevel="0" collapsed="false">
      <c r="A1" s="20" t="s">
        <v>24</v>
      </c>
      <c r="B1" s="20"/>
      <c r="C1" s="20"/>
      <c r="D1" s="20"/>
      <c r="E1" s="20"/>
      <c r="F1" s="20"/>
    </row>
    <row r="2" customFormat="false" ht="24" hidden="false" customHeight="true" outlineLevel="0" collapsed="false">
      <c r="A2" s="21" t="s">
        <v>25</v>
      </c>
      <c r="B2" s="21"/>
      <c r="C2" s="21"/>
      <c r="D2" s="21"/>
      <c r="E2" s="21"/>
      <c r="F2" s="21"/>
    </row>
    <row r="3" customFormat="false" ht="6" hidden="false" customHeight="true" outlineLevel="0" collapsed="false">
      <c r="A3" s="4"/>
      <c r="B3" s="4"/>
      <c r="C3" s="4"/>
      <c r="D3" s="4"/>
      <c r="E3" s="4"/>
      <c r="F3" s="4"/>
    </row>
    <row r="4" customFormat="false" ht="13.5" hidden="false" customHeight="true" outlineLevel="0" collapsed="false"/>
    <row r="5" customFormat="false" ht="27.75" hidden="false" customHeight="true" outlineLevel="0" collapsed="false">
      <c r="A5" s="13" t="s">
        <v>26</v>
      </c>
      <c r="B5" s="13"/>
      <c r="C5" s="13"/>
      <c r="D5" s="13"/>
      <c r="E5" s="13"/>
      <c r="F5" s="13"/>
    </row>
    <row r="6" customFormat="false" ht="24" hidden="false" customHeight="true" outlineLevel="0" collapsed="false">
      <c r="A6" s="22" t="s">
        <v>27</v>
      </c>
      <c r="B6" s="22" t="s">
        <v>28</v>
      </c>
      <c r="C6" s="22" t="s">
        <v>29</v>
      </c>
      <c r="D6" s="22" t="s">
        <v>30</v>
      </c>
      <c r="E6" s="22" t="s">
        <v>31</v>
      </c>
    </row>
    <row r="7" customFormat="false" ht="21.75" hidden="false" customHeight="true" outlineLevel="0" collapsed="false">
      <c r="A7" s="23" t="s">
        <v>32</v>
      </c>
      <c r="B7" s="24" t="n">
        <v>12400</v>
      </c>
      <c r="C7" s="24" t="n">
        <v>14200</v>
      </c>
      <c r="D7" s="24" t="n">
        <v>13800</v>
      </c>
      <c r="F7" s="25" t="n">
        <f aca="false">B7+C7+D7</f>
        <v>40400</v>
      </c>
    </row>
    <row r="8" customFormat="false" ht="21.75" hidden="false" customHeight="true" outlineLevel="0" collapsed="false">
      <c r="A8" s="26" t="s">
        <v>33</v>
      </c>
      <c r="B8" s="24" t="n">
        <v>14600</v>
      </c>
      <c r="C8" s="24" t="n">
        <v>12800</v>
      </c>
      <c r="D8" s="24" t="n">
        <v>11200</v>
      </c>
      <c r="F8" s="25" t="n">
        <f aca="false">B8+C8+D8</f>
        <v>38600</v>
      </c>
    </row>
    <row r="9" customFormat="false" ht="21.75" hidden="false" customHeight="true" outlineLevel="0" collapsed="false">
      <c r="A9" s="23" t="s">
        <v>34</v>
      </c>
      <c r="B9" s="24" t="n">
        <v>14200</v>
      </c>
      <c r="C9" s="24" t="n">
        <v>13800</v>
      </c>
      <c r="D9" s="24" t="n">
        <v>9800</v>
      </c>
      <c r="F9" s="25" t="n">
        <f aca="false">B9+C9+D9</f>
        <v>37800</v>
      </c>
    </row>
    <row r="10" customFormat="false" ht="21.75" hidden="false" customHeight="true" outlineLevel="0" collapsed="false">
      <c r="A10" s="26" t="s">
        <v>35</v>
      </c>
      <c r="B10" s="24" t="n">
        <v>320</v>
      </c>
      <c r="C10" s="24" t="n">
        <v>290</v>
      </c>
      <c r="D10" s="24" t="n">
        <v>410</v>
      </c>
      <c r="F10" s="25" t="n">
        <f aca="false">B10+C10+D10</f>
        <v>1020</v>
      </c>
    </row>
    <row r="12" customFormat="false" ht="15.75" hidden="false" customHeight="true" outlineLevel="0" collapsed="false"/>
    <row r="13" customFormat="false" ht="27.75" hidden="false" customHeight="true" outlineLevel="0" collapsed="false">
      <c r="A13" s="27" t="s">
        <v>36</v>
      </c>
      <c r="B13" s="27"/>
      <c r="C13" s="27"/>
      <c r="D13" s="27"/>
      <c r="E13" s="27"/>
      <c r="F13" s="27"/>
    </row>
    <row r="14" customFormat="false" ht="24" hidden="false" customHeight="true" outlineLevel="0" collapsed="false">
      <c r="A14" s="28" t="s">
        <v>37</v>
      </c>
      <c r="B14" s="29" t="s">
        <v>38</v>
      </c>
      <c r="C14" s="29" t="s">
        <v>39</v>
      </c>
      <c r="D14" s="29"/>
      <c r="E14" s="29"/>
      <c r="F14" s="29"/>
    </row>
    <row r="15" customFormat="false" ht="25.5" hidden="false" customHeight="true" outlineLevel="0" collapsed="false">
      <c r="A15" s="30" t="s">
        <v>40</v>
      </c>
      <c r="B15" s="31"/>
      <c r="C15" s="32" t="s">
        <v>41</v>
      </c>
      <c r="D15" s="32"/>
      <c r="E15" s="32"/>
      <c r="F15" s="32"/>
    </row>
    <row r="16" customFormat="false" ht="25.5" hidden="false" customHeight="true" outlineLevel="0" collapsed="false">
      <c r="A16" s="33" t="s">
        <v>42</v>
      </c>
      <c r="B16" s="31"/>
      <c r="C16" s="32" t="s">
        <v>43</v>
      </c>
      <c r="D16" s="32"/>
      <c r="E16" s="32"/>
      <c r="F16" s="32"/>
    </row>
    <row r="17" customFormat="false" ht="25.5" hidden="false" customHeight="true" outlineLevel="0" collapsed="false">
      <c r="A17" s="34" t="s">
        <v>44</v>
      </c>
      <c r="B17" s="35"/>
      <c r="C17" s="32" t="s">
        <v>45</v>
      </c>
      <c r="D17" s="32"/>
      <c r="E17" s="32"/>
      <c r="F17" s="32"/>
    </row>
    <row r="18" customFormat="false" ht="25.5" hidden="false" customHeight="true" outlineLevel="0" collapsed="false">
      <c r="A18" s="33" t="s">
        <v>46</v>
      </c>
      <c r="B18" s="31"/>
      <c r="C18" s="32" t="s">
        <v>47</v>
      </c>
      <c r="D18" s="32"/>
      <c r="E18" s="32"/>
      <c r="F18" s="32"/>
    </row>
    <row r="19" customFormat="false" ht="25.5" hidden="false" customHeight="true" outlineLevel="0" collapsed="false">
      <c r="A19" s="34" t="s">
        <v>48</v>
      </c>
      <c r="B19" s="35"/>
      <c r="C19" s="32" t="s">
        <v>49</v>
      </c>
      <c r="D19" s="32"/>
      <c r="E19" s="32"/>
      <c r="F19" s="32"/>
    </row>
    <row r="20" customFormat="false" ht="25.5" hidden="false" customHeight="true" outlineLevel="0" collapsed="false">
      <c r="A20" s="33" t="s">
        <v>50</v>
      </c>
      <c r="B20" s="31"/>
      <c r="C20" s="32" t="s">
        <v>51</v>
      </c>
      <c r="D20" s="32"/>
      <c r="E20" s="32"/>
      <c r="F20" s="32"/>
    </row>
    <row r="21" customFormat="false" ht="25.5" hidden="false" customHeight="true" outlineLevel="0" collapsed="false">
      <c r="A21" s="34" t="s">
        <v>52</v>
      </c>
      <c r="B21" s="35"/>
      <c r="C21" s="32" t="s">
        <v>53</v>
      </c>
      <c r="D21" s="32"/>
      <c r="E21" s="32"/>
      <c r="F21" s="32"/>
    </row>
    <row r="22" customFormat="false" ht="25.5" hidden="false" customHeight="true" outlineLevel="0" collapsed="false">
      <c r="A22" s="34" t="s">
        <v>54</v>
      </c>
      <c r="B22" s="36"/>
      <c r="C22" s="32" t="s">
        <v>55</v>
      </c>
      <c r="D22" s="32"/>
      <c r="E22" s="32"/>
      <c r="F22" s="32"/>
    </row>
    <row r="23" customFormat="false" ht="7.5" hidden="false" customHeight="true" outlineLevel="0" collapsed="false">
      <c r="A23" s="4"/>
      <c r="B23" s="4"/>
      <c r="C23" s="4"/>
      <c r="D23" s="4"/>
      <c r="E23" s="4"/>
      <c r="F23" s="4"/>
    </row>
  </sheetData>
  <mergeCells count="13">
    <mergeCell ref="A1:F1"/>
    <mergeCell ref="A2:F2"/>
    <mergeCell ref="A5:F5"/>
    <mergeCell ref="A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4"/>
    <col collapsed="false" customWidth="true" hidden="false" outlineLevel="0" max="5" min="5" style="1" width="30"/>
    <col collapsed="false" customWidth="true" hidden="false" outlineLevel="0" max="8" min="6" style="1" width="10"/>
  </cols>
  <sheetData>
    <row r="1" customFormat="false" ht="48" hidden="false" customHeight="true" outlineLevel="0" collapsed="false">
      <c r="A1" s="20" t="s">
        <v>56</v>
      </c>
      <c r="B1" s="20"/>
      <c r="C1" s="20"/>
      <c r="D1" s="20"/>
      <c r="E1" s="20"/>
      <c r="F1" s="20"/>
      <c r="G1" s="20"/>
      <c r="H1" s="20"/>
    </row>
    <row r="2" customFormat="false" ht="24" hidden="false" customHeight="true" outlineLevel="0" collapsed="false">
      <c r="A2" s="21" t="s">
        <v>57</v>
      </c>
      <c r="B2" s="21"/>
      <c r="C2" s="21"/>
      <c r="D2" s="21"/>
      <c r="E2" s="21"/>
      <c r="F2" s="21"/>
      <c r="G2" s="21"/>
      <c r="H2" s="21"/>
    </row>
    <row r="3" customFormat="false" ht="6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3.5" hidden="false" customHeight="true" outlineLevel="0" collapsed="false"/>
    <row r="5" customFormat="false" ht="27.75" hidden="false" customHeight="true" outlineLevel="0" collapsed="false">
      <c r="A5" s="13" t="s">
        <v>58</v>
      </c>
      <c r="B5" s="13"/>
      <c r="C5" s="13"/>
      <c r="D5" s="13"/>
      <c r="E5" s="13"/>
      <c r="F5" s="13"/>
      <c r="G5" s="13"/>
      <c r="H5" s="13"/>
    </row>
    <row r="6" customFormat="false" ht="24" hidden="false" customHeight="true" outlineLevel="0" collapsed="false">
      <c r="A6" s="22" t="s">
        <v>59</v>
      </c>
      <c r="B6" s="22" t="s">
        <v>60</v>
      </c>
      <c r="C6" s="22" t="s">
        <v>61</v>
      </c>
      <c r="D6" s="22" t="s">
        <v>62</v>
      </c>
      <c r="E6" s="22" t="s">
        <v>63</v>
      </c>
    </row>
    <row r="7" customFormat="false" ht="21.75" hidden="false" customHeight="true" outlineLevel="0" collapsed="false">
      <c r="A7" s="37" t="s">
        <v>64</v>
      </c>
      <c r="B7" s="37" t="s">
        <v>65</v>
      </c>
      <c r="C7" s="24" t="n">
        <v>10</v>
      </c>
      <c r="D7" s="38" t="n">
        <v>210</v>
      </c>
      <c r="E7" s="39" t="n">
        <f aca="false">C7*D7</f>
        <v>2100</v>
      </c>
    </row>
    <row r="8" customFormat="false" ht="21.75" hidden="false" customHeight="true" outlineLevel="0" collapsed="false">
      <c r="A8" s="40" t="s">
        <v>66</v>
      </c>
      <c r="B8" s="40" t="s">
        <v>67</v>
      </c>
      <c r="C8" s="24" t="n">
        <v>10</v>
      </c>
      <c r="D8" s="38" t="n">
        <v>230</v>
      </c>
      <c r="E8" s="39" t="n">
        <f aca="false">C8*D8</f>
        <v>2300</v>
      </c>
    </row>
    <row r="9" customFormat="false" ht="21.75" hidden="false" customHeight="true" outlineLevel="0" collapsed="false">
      <c r="A9" s="37" t="s">
        <v>68</v>
      </c>
      <c r="B9" s="37" t="s">
        <v>69</v>
      </c>
      <c r="C9" s="24" t="n">
        <v>10</v>
      </c>
      <c r="D9" s="38" t="n">
        <v>250</v>
      </c>
      <c r="E9" s="39" t="n">
        <f aca="false">C9*D9</f>
        <v>2500</v>
      </c>
    </row>
    <row r="10" customFormat="false" ht="24" hidden="false" customHeight="true" outlineLevel="0" collapsed="false">
      <c r="A10" s="29" t="s">
        <v>70</v>
      </c>
      <c r="B10" s="41"/>
      <c r="C10" s="42" t="n">
        <f aca="false">SUM(C7:C9)</f>
        <v>30</v>
      </c>
      <c r="D10" s="43"/>
      <c r="E10" s="44" t="n">
        <f aca="false">SUM(E7:E9)</f>
        <v>6900</v>
      </c>
    </row>
    <row r="11" customFormat="false" ht="13.5" hidden="false" customHeight="true" outlineLevel="0" collapsed="false"/>
    <row r="12" customFormat="false" ht="25.5" hidden="false" customHeight="true" outlineLevel="0" collapsed="false">
      <c r="A12" s="45" t="s">
        <v>71</v>
      </c>
      <c r="B12" s="45"/>
      <c r="C12" s="46" t="n">
        <v>20</v>
      </c>
      <c r="D12" s="47" t="s">
        <v>72</v>
      </c>
      <c r="E12" s="47"/>
      <c r="F12" s="47"/>
      <c r="G12" s="47"/>
      <c r="H12" s="47"/>
    </row>
    <row r="13" customFormat="false" ht="15.75" hidden="false" customHeight="true" outlineLevel="0" collapsed="false"/>
    <row r="14" customFormat="false" ht="27.75" hidden="false" customHeight="true" outlineLevel="0" collapsed="false">
      <c r="A14" s="27" t="s">
        <v>73</v>
      </c>
      <c r="B14" s="27"/>
      <c r="C14" s="27"/>
      <c r="D14" s="27"/>
      <c r="E14" s="48" t="s">
        <v>74</v>
      </c>
      <c r="F14" s="48"/>
      <c r="G14" s="48"/>
      <c r="H14" s="48"/>
    </row>
    <row r="15" customFormat="false" ht="21.75" hidden="false" customHeight="true" outlineLevel="0" collapsed="false">
      <c r="A15" s="49" t="s">
        <v>75</v>
      </c>
      <c r="B15" s="49" t="s">
        <v>76</v>
      </c>
      <c r="C15" s="49" t="s">
        <v>77</v>
      </c>
      <c r="D15" s="49" t="s">
        <v>78</v>
      </c>
    </row>
    <row r="16" customFormat="false" ht="21.75" hidden="false" customHeight="true" outlineLevel="0" collapsed="false">
      <c r="A16" s="50" t="s">
        <v>79</v>
      </c>
      <c r="B16" s="24"/>
      <c r="C16" s="51" t="n">
        <f aca="false">D7</f>
        <v>210</v>
      </c>
      <c r="D16" s="38"/>
    </row>
    <row r="17" customFormat="false" ht="21.75" hidden="false" customHeight="true" outlineLevel="0" collapsed="false">
      <c r="A17" s="23" t="s">
        <v>80</v>
      </c>
      <c r="B17" s="24"/>
      <c r="C17" s="51" t="n">
        <f aca="false">D8</f>
        <v>230</v>
      </c>
      <c r="D17" s="38"/>
    </row>
    <row r="18" customFormat="false" ht="25.5" hidden="false" customHeight="true" outlineLevel="0" collapsed="false">
      <c r="A18" s="52" t="s">
        <v>81</v>
      </c>
      <c r="B18" s="53" t="n">
        <f aca="false">SUM(B16:B17)</f>
        <v>0</v>
      </c>
      <c r="C18" s="54"/>
      <c r="D18" s="55" t="n">
        <f aca="false">SUM(D16:D17)</f>
        <v>0</v>
      </c>
      <c r="E18" s="56"/>
      <c r="F18" s="56"/>
      <c r="G18" s="56"/>
      <c r="H18" s="56"/>
    </row>
    <row r="19" customFormat="false" ht="13.5" hidden="false" customHeight="true" outlineLevel="0" collapsed="false"/>
    <row r="20" customFormat="false" ht="27.75" hidden="false" customHeight="true" outlineLevel="0" collapsed="false">
      <c r="A20" s="13" t="s">
        <v>82</v>
      </c>
      <c r="B20" s="13"/>
      <c r="C20" s="13"/>
      <c r="D20" s="13"/>
      <c r="E20" s="57" t="s">
        <v>83</v>
      </c>
      <c r="F20" s="57"/>
      <c r="G20" s="57"/>
      <c r="H20" s="57"/>
    </row>
    <row r="21" customFormat="false" ht="24" hidden="false" customHeight="true" outlineLevel="0" collapsed="false">
      <c r="A21" s="58" t="s">
        <v>84</v>
      </c>
      <c r="B21" s="59" t="n">
        <f aca="false">SUM(C7:C9)</f>
        <v>30</v>
      </c>
      <c r="C21" s="18"/>
      <c r="D21" s="18"/>
      <c r="E21" s="47" t="s">
        <v>85</v>
      </c>
      <c r="F21" s="47"/>
      <c r="G21" s="47"/>
      <c r="H21" s="47"/>
    </row>
    <row r="22" customFormat="false" ht="24" hidden="false" customHeight="true" outlineLevel="0" collapsed="false">
      <c r="A22" s="23" t="s">
        <v>86</v>
      </c>
      <c r="B22" s="60" t="n">
        <f aca="false">SUM(E7:E9)</f>
        <v>6900</v>
      </c>
      <c r="C22" s="18"/>
      <c r="D22" s="18"/>
      <c r="E22" s="47" t="s">
        <v>85</v>
      </c>
      <c r="F22" s="47"/>
      <c r="G22" s="47"/>
      <c r="H22" s="47"/>
    </row>
    <row r="23" customFormat="false" ht="24" hidden="false" customHeight="true" outlineLevel="0" collapsed="false">
      <c r="A23" s="61" t="s">
        <v>87</v>
      </c>
      <c r="B23" s="62"/>
      <c r="C23" s="18"/>
      <c r="D23" s="18"/>
      <c r="E23" s="47" t="s">
        <v>88</v>
      </c>
      <c r="F23" s="47"/>
      <c r="G23" s="47"/>
      <c r="H23" s="47"/>
    </row>
    <row r="24" customFormat="false" ht="24" hidden="false" customHeight="true" outlineLevel="0" collapsed="false">
      <c r="A24" s="23" t="s">
        <v>35</v>
      </c>
      <c r="B24" s="59" t="n">
        <f aca="false">C12</f>
        <v>20</v>
      </c>
      <c r="C24" s="18"/>
      <c r="D24" s="18"/>
      <c r="E24" s="47" t="s">
        <v>89</v>
      </c>
      <c r="F24" s="47"/>
      <c r="G24" s="47"/>
      <c r="H24" s="47"/>
    </row>
    <row r="25" customFormat="false" ht="24" hidden="false" customHeight="true" outlineLevel="0" collapsed="false">
      <c r="A25" s="61" t="s">
        <v>90</v>
      </c>
      <c r="B25" s="62"/>
      <c r="C25" s="18"/>
      <c r="D25" s="18"/>
      <c r="E25" s="47" t="s">
        <v>91</v>
      </c>
      <c r="F25" s="47"/>
      <c r="G25" s="47"/>
      <c r="H25" s="47"/>
    </row>
    <row r="27" customFormat="false" ht="13.5" hidden="false" customHeight="true" outlineLevel="0" collapsed="false"/>
    <row r="28" customFormat="false" ht="27.75" hidden="false" customHeight="true" outlineLevel="0" collapsed="false">
      <c r="A28" s="63" t="s">
        <v>92</v>
      </c>
      <c r="B28" s="63"/>
      <c r="C28" s="63"/>
      <c r="D28" s="63"/>
      <c r="E28" s="63"/>
      <c r="F28" s="63"/>
      <c r="G28" s="63"/>
      <c r="H28" s="63"/>
    </row>
    <row r="29" customFormat="false" ht="21.75" hidden="false" customHeight="true" outlineLevel="0" collapsed="false">
      <c r="A29" s="29" t="s">
        <v>93</v>
      </c>
      <c r="B29" s="29" t="s">
        <v>94</v>
      </c>
      <c r="C29" s="29" t="s">
        <v>95</v>
      </c>
      <c r="D29" s="29" t="s">
        <v>96</v>
      </c>
      <c r="E29" s="29" t="s">
        <v>97</v>
      </c>
    </row>
    <row r="30" customFormat="false" ht="24" hidden="false" customHeight="true" outlineLevel="0" collapsed="false">
      <c r="A30" s="23" t="s">
        <v>98</v>
      </c>
      <c r="B30" s="51" t="n">
        <f aca="false">D18</f>
        <v>0</v>
      </c>
      <c r="C30" s="51" t="n">
        <f aca="false">B25</f>
        <v>0</v>
      </c>
      <c r="D30" s="51" t="n">
        <f aca="false">C30-B30</f>
        <v>0</v>
      </c>
      <c r="E30" s="32" t="s">
        <v>99</v>
      </c>
      <c r="F30" s="32"/>
      <c r="G30" s="32"/>
      <c r="H30" s="32"/>
    </row>
    <row r="31" customFormat="false" ht="24" hidden="false" customHeight="true" outlineLevel="0" collapsed="false">
      <c r="A31" s="26" t="s">
        <v>34</v>
      </c>
      <c r="B31" s="38"/>
      <c r="C31" s="38"/>
      <c r="D31" s="38"/>
      <c r="E31" s="64" t="s">
        <v>100</v>
      </c>
      <c r="F31" s="64"/>
      <c r="G31" s="64"/>
      <c r="H31" s="64"/>
    </row>
    <row r="32" customFormat="false" ht="24" hidden="false" customHeight="true" outlineLevel="0" collapsed="false">
      <c r="A32" s="23" t="s">
        <v>101</v>
      </c>
      <c r="B32" s="38"/>
      <c r="C32" s="38"/>
      <c r="D32" s="38"/>
      <c r="E32" s="32" t="s">
        <v>102</v>
      </c>
      <c r="F32" s="32"/>
      <c r="G32" s="32"/>
      <c r="H32" s="32"/>
    </row>
  </sheetData>
  <mergeCells count="18">
    <mergeCell ref="A1:H1"/>
    <mergeCell ref="A2:H2"/>
    <mergeCell ref="A5:H5"/>
    <mergeCell ref="A12:B12"/>
    <mergeCell ref="D12:H12"/>
    <mergeCell ref="A14:D14"/>
    <mergeCell ref="E14:H14"/>
    <mergeCell ref="A20:D20"/>
    <mergeCell ref="E20:H20"/>
    <mergeCell ref="E21:H21"/>
    <mergeCell ref="E22:H22"/>
    <mergeCell ref="E23:H23"/>
    <mergeCell ref="E24:H24"/>
    <mergeCell ref="E25:H25"/>
    <mergeCell ref="A28:H28"/>
    <mergeCell ref="E30:H30"/>
    <mergeCell ref="E31:H31"/>
    <mergeCell ref="E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20"/>
    <col collapsed="false" customWidth="true" hidden="false" outlineLevel="0" max="5" min="4" style="1" width="16"/>
    <col collapsed="false" customWidth="true" hidden="false" outlineLevel="0" max="7" min="6" style="1" width="14"/>
  </cols>
  <sheetData>
    <row r="1" customFormat="false" ht="48" hidden="false" customHeight="true" outlineLevel="0" collapsed="false">
      <c r="A1" s="20" t="s">
        <v>103</v>
      </c>
      <c r="B1" s="20"/>
      <c r="C1" s="20"/>
      <c r="D1" s="20"/>
      <c r="E1" s="20"/>
      <c r="F1" s="20"/>
      <c r="G1" s="20"/>
    </row>
    <row r="2" customFormat="false" ht="24" hidden="false" customHeight="true" outlineLevel="0" collapsed="false">
      <c r="A2" s="21" t="s">
        <v>104</v>
      </c>
      <c r="B2" s="21"/>
      <c r="C2" s="21"/>
      <c r="D2" s="21"/>
      <c r="E2" s="21"/>
      <c r="F2" s="21"/>
      <c r="G2" s="21"/>
    </row>
    <row r="3" customFormat="false" ht="6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13.5" hidden="false" customHeight="true" outlineLevel="0" collapsed="false"/>
    <row r="5" customFormat="false" ht="27.75" hidden="false" customHeight="true" outlineLevel="0" collapsed="false">
      <c r="A5" s="13" t="s">
        <v>105</v>
      </c>
      <c r="B5" s="13"/>
      <c r="C5" s="13"/>
      <c r="D5" s="13"/>
      <c r="E5" s="13"/>
      <c r="F5" s="13"/>
      <c r="G5" s="13"/>
    </row>
    <row r="6" customFormat="false" ht="24" hidden="false" customHeight="true" outlineLevel="0" collapsed="false">
      <c r="A6" s="22" t="s">
        <v>106</v>
      </c>
      <c r="B6" s="22" t="s">
        <v>107</v>
      </c>
      <c r="C6" s="22" t="s">
        <v>108</v>
      </c>
      <c r="D6" s="22" t="s">
        <v>109</v>
      </c>
    </row>
    <row r="7" customFormat="false" ht="24" hidden="false" customHeight="true" outlineLevel="0" collapsed="false">
      <c r="A7" s="23" t="s">
        <v>110</v>
      </c>
      <c r="B7" s="24" t="n">
        <v>2400</v>
      </c>
      <c r="C7" s="65"/>
      <c r="D7" s="38" t="n">
        <v>66000</v>
      </c>
      <c r="E7" s="18"/>
      <c r="F7" s="18"/>
      <c r="G7" s="18"/>
    </row>
    <row r="8" customFormat="false" ht="24" hidden="false" customHeight="true" outlineLevel="0" collapsed="false">
      <c r="A8" s="26" t="s">
        <v>111</v>
      </c>
      <c r="B8" s="24" t="n">
        <v>1600</v>
      </c>
      <c r="C8" s="65"/>
      <c r="D8" s="38" t="n">
        <v>44000</v>
      </c>
      <c r="E8" s="66"/>
      <c r="F8" s="66"/>
      <c r="G8" s="66"/>
    </row>
    <row r="9" customFormat="false" ht="24" hidden="false" customHeight="true" outlineLevel="0" collapsed="false">
      <c r="A9" s="67" t="s">
        <v>70</v>
      </c>
      <c r="B9" s="68" t="n">
        <f aca="false">SUM(B7:B8)</f>
        <v>4000</v>
      </c>
      <c r="C9" s="69" t="n">
        <f aca="false">SUM(C7:C8)</f>
        <v>0</v>
      </c>
      <c r="D9" s="44" t="n">
        <f aca="false">SUM(D7:D8)</f>
        <v>110000</v>
      </c>
      <c r="E9" s="43"/>
      <c r="F9" s="43"/>
      <c r="G9" s="43"/>
    </row>
    <row r="10" customFormat="false" ht="13.5" hidden="false" customHeight="true" outlineLevel="0" collapsed="false"/>
    <row r="11" customFormat="false" ht="27.75" hidden="false" customHeight="true" outlineLevel="0" collapsed="false">
      <c r="A11" s="27" t="s">
        <v>112</v>
      </c>
      <c r="B11" s="27"/>
      <c r="C11" s="27"/>
      <c r="D11" s="27"/>
      <c r="E11" s="27"/>
      <c r="F11" s="27"/>
      <c r="G11" s="27"/>
    </row>
    <row r="12" customFormat="false" ht="24" hidden="false" customHeight="true" outlineLevel="0" collapsed="false">
      <c r="A12" s="70" t="s">
        <v>113</v>
      </c>
      <c r="B12" s="49" t="s">
        <v>114</v>
      </c>
      <c r="C12" s="49" t="s">
        <v>115</v>
      </c>
      <c r="D12" s="49"/>
      <c r="E12" s="49"/>
      <c r="F12" s="49"/>
      <c r="G12" s="49"/>
    </row>
    <row r="13" customFormat="false" ht="21.75" hidden="false" customHeight="true" outlineLevel="0" collapsed="false">
      <c r="A13" s="50" t="s">
        <v>116</v>
      </c>
      <c r="B13" s="38" t="n">
        <v>9000</v>
      </c>
      <c r="C13" s="71" t="s">
        <v>117</v>
      </c>
      <c r="D13" s="71"/>
      <c r="E13" s="71"/>
      <c r="F13" s="71"/>
      <c r="G13" s="71"/>
    </row>
    <row r="14" customFormat="false" ht="21.75" hidden="false" customHeight="true" outlineLevel="0" collapsed="false">
      <c r="A14" s="23" t="s">
        <v>118</v>
      </c>
      <c r="B14" s="38" t="n">
        <v>4200</v>
      </c>
      <c r="C14" s="32" t="s">
        <v>117</v>
      </c>
      <c r="D14" s="32"/>
      <c r="E14" s="32"/>
      <c r="F14" s="32"/>
      <c r="G14" s="32"/>
    </row>
    <row r="15" customFormat="false" ht="21.75" hidden="false" customHeight="true" outlineLevel="0" collapsed="false">
      <c r="A15" s="50" t="s">
        <v>119</v>
      </c>
      <c r="B15" s="38" t="n">
        <v>3800</v>
      </c>
      <c r="C15" s="71" t="s">
        <v>117</v>
      </c>
      <c r="D15" s="71"/>
      <c r="E15" s="71"/>
      <c r="F15" s="71"/>
      <c r="G15" s="71"/>
    </row>
    <row r="16" customFormat="false" ht="21.75" hidden="false" customHeight="true" outlineLevel="0" collapsed="false">
      <c r="A16" s="23" t="s">
        <v>120</v>
      </c>
      <c r="B16" s="38" t="n">
        <v>3500</v>
      </c>
      <c r="C16" s="32" t="s">
        <v>121</v>
      </c>
      <c r="D16" s="32"/>
      <c r="E16" s="32"/>
      <c r="F16" s="32"/>
      <c r="G16" s="32"/>
    </row>
    <row r="17" customFormat="false" ht="21.75" hidden="false" customHeight="true" outlineLevel="0" collapsed="false">
      <c r="A17" s="50" t="s">
        <v>122</v>
      </c>
      <c r="B17" s="38" t="n">
        <v>1500</v>
      </c>
      <c r="C17" s="71" t="s">
        <v>117</v>
      </c>
      <c r="D17" s="71"/>
      <c r="E17" s="71"/>
      <c r="F17" s="71"/>
      <c r="G17" s="71"/>
    </row>
    <row r="18" customFormat="false" ht="25.5" hidden="false" customHeight="true" outlineLevel="0" collapsed="false">
      <c r="A18" s="52" t="s">
        <v>123</v>
      </c>
      <c r="B18" s="55" t="n">
        <f aca="false">SUM(B13:B17)</f>
        <v>22000</v>
      </c>
      <c r="C18" s="72" t="s">
        <v>124</v>
      </c>
      <c r="D18" s="72"/>
      <c r="E18" s="72"/>
      <c r="F18" s="72"/>
      <c r="G18" s="72"/>
    </row>
    <row r="19" customFormat="false" ht="13.5" hidden="false" customHeight="true" outlineLevel="0" collapsed="false"/>
    <row r="20" customFormat="false" ht="27.75" hidden="false" customHeight="true" outlineLevel="0" collapsed="false">
      <c r="A20" s="63" t="s">
        <v>125</v>
      </c>
      <c r="B20" s="63"/>
      <c r="C20" s="63"/>
      <c r="D20" s="63"/>
      <c r="E20" s="63"/>
      <c r="F20" s="63"/>
      <c r="G20" s="63"/>
    </row>
    <row r="21" customFormat="false" ht="21.75" hidden="false" customHeight="true" outlineLevel="0" collapsed="false">
      <c r="A21" s="29" t="s">
        <v>106</v>
      </c>
      <c r="B21" s="29" t="s">
        <v>126</v>
      </c>
      <c r="C21" s="29" t="s">
        <v>127</v>
      </c>
      <c r="D21" s="29" t="s">
        <v>128</v>
      </c>
      <c r="E21" s="29" t="s">
        <v>129</v>
      </c>
      <c r="F21" s="29" t="s">
        <v>130</v>
      </c>
      <c r="G21" s="29"/>
    </row>
    <row r="22" customFormat="false" ht="25.5" hidden="false" customHeight="true" outlineLevel="0" collapsed="false">
      <c r="A22" s="73" t="str">
        <f aca="false">A7</f>
        <v>Surf Shop (retail floor)</v>
      </c>
      <c r="B22" s="74" t="n">
        <f aca="false">C7</f>
        <v>0</v>
      </c>
      <c r="C22" s="38"/>
      <c r="D22" s="51" t="n">
        <f aca="false">D7</f>
        <v>66000</v>
      </c>
      <c r="E22" s="65"/>
      <c r="F22" s="62"/>
    </row>
    <row r="23" customFormat="false" ht="25.5" hidden="false" customHeight="true" outlineLevel="0" collapsed="false">
      <c r="A23" s="73" t="str">
        <f aca="false">A8</f>
        <v>Online Warehouse</v>
      </c>
      <c r="B23" s="74" t="n">
        <f aca="false">C8</f>
        <v>0</v>
      </c>
      <c r="C23" s="38"/>
      <c r="D23" s="51" t="n">
        <f aca="false">D8</f>
        <v>44000</v>
      </c>
      <c r="E23" s="65"/>
      <c r="F23" s="62"/>
    </row>
    <row r="24" customFormat="false" ht="25.5" hidden="false" customHeight="true" outlineLevel="0" collapsed="false">
      <c r="A24" s="67" t="s">
        <v>70</v>
      </c>
      <c r="B24" s="69" t="n">
        <f aca="false">SUM(B22:B23)</f>
        <v>0</v>
      </c>
      <c r="C24" s="44" t="n">
        <f aca="false">SUM(C22:C23)</f>
        <v>0</v>
      </c>
      <c r="D24" s="44" t="n">
        <f aca="false">SUM(D22:D23)</f>
        <v>110000</v>
      </c>
      <c r="E24" s="69" t="n">
        <f aca="false">C24/D24</f>
        <v>0</v>
      </c>
      <c r="F24" s="75" t="s">
        <v>131</v>
      </c>
      <c r="G24" s="75"/>
    </row>
    <row r="25" customFormat="false" ht="13.5" hidden="false" customHeight="true" outlineLevel="0" collapsed="false"/>
    <row r="26" customFormat="false" ht="27.75" hidden="false" customHeight="true" outlineLevel="0" collapsed="false">
      <c r="A26" s="13" t="s">
        <v>132</v>
      </c>
      <c r="B26" s="13"/>
      <c r="C26" s="13"/>
      <c r="D26" s="13"/>
      <c r="E26" s="13"/>
      <c r="F26" s="13"/>
      <c r="G26" s="13"/>
    </row>
    <row r="27" customFormat="false" ht="27.75" hidden="false" customHeight="true" outlineLevel="0" collapsed="false">
      <c r="A27" s="61" t="s">
        <v>133</v>
      </c>
      <c r="B27" s="76"/>
      <c r="C27" s="77" t="s">
        <v>134</v>
      </c>
      <c r="D27" s="77"/>
      <c r="E27" s="77"/>
      <c r="F27" s="77"/>
      <c r="G27" s="77"/>
    </row>
    <row r="28" customFormat="false" ht="27.75" hidden="false" customHeight="true" outlineLevel="0" collapsed="false">
      <c r="A28" s="61" t="s">
        <v>135</v>
      </c>
      <c r="B28" s="76"/>
      <c r="C28" s="77" t="s">
        <v>136</v>
      </c>
      <c r="D28" s="77"/>
      <c r="E28" s="77"/>
      <c r="F28" s="77"/>
      <c r="G28" s="77"/>
    </row>
  </sheetData>
  <mergeCells count="17">
    <mergeCell ref="A1:G1"/>
    <mergeCell ref="A2:G2"/>
    <mergeCell ref="A5:G5"/>
    <mergeCell ref="A11:G11"/>
    <mergeCell ref="C12:G12"/>
    <mergeCell ref="C13:G13"/>
    <mergeCell ref="C14:G14"/>
    <mergeCell ref="C15:G15"/>
    <mergeCell ref="C16:G16"/>
    <mergeCell ref="C17:G17"/>
    <mergeCell ref="C18:G18"/>
    <mergeCell ref="A20:G20"/>
    <mergeCell ref="F21:G21"/>
    <mergeCell ref="F24:G24"/>
    <mergeCell ref="A26:G26"/>
    <mergeCell ref="C27:G27"/>
    <mergeCell ref="C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0"/>
    <col collapsed="false" customWidth="true" hidden="false" outlineLevel="0" max="3" min="3" style="1" width="34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48" hidden="false" customHeight="true" outlineLevel="0" collapsed="false">
      <c r="A1" s="20" t="s">
        <v>137</v>
      </c>
      <c r="B1" s="20"/>
      <c r="C1" s="20"/>
      <c r="D1" s="20"/>
      <c r="E1" s="20"/>
    </row>
    <row r="2" customFormat="false" ht="24" hidden="false" customHeight="true" outlineLevel="0" collapsed="false">
      <c r="A2" s="21" t="s">
        <v>138</v>
      </c>
      <c r="B2" s="21"/>
      <c r="C2" s="21"/>
      <c r="D2" s="21"/>
      <c r="E2" s="21"/>
    </row>
    <row r="3" customFormat="false" ht="6" hidden="false" customHeight="true" outlineLevel="0" collapsed="false">
      <c r="A3" s="4"/>
      <c r="B3" s="4"/>
      <c r="C3" s="4"/>
      <c r="D3" s="4"/>
      <c r="E3" s="4"/>
    </row>
    <row r="5" customFormat="false" ht="31.5" hidden="false" customHeight="true" outlineLevel="0" collapsed="false">
      <c r="A5" s="5" t="s">
        <v>139</v>
      </c>
      <c r="B5" s="5"/>
      <c r="C5" s="5"/>
      <c r="D5" s="5"/>
      <c r="E5" s="5"/>
    </row>
    <row r="6" customFormat="false" ht="21.75" hidden="false" customHeight="true" outlineLevel="0" collapsed="false">
      <c r="A6" s="28" t="s">
        <v>140</v>
      </c>
      <c r="B6" s="29" t="s">
        <v>141</v>
      </c>
      <c r="C6" s="29" t="s">
        <v>142</v>
      </c>
      <c r="D6" s="29" t="s">
        <v>143</v>
      </c>
    </row>
    <row r="7" customFormat="false" ht="27.75" hidden="false" customHeight="true" outlineLevel="0" collapsed="false">
      <c r="A7" s="78" t="s">
        <v>144</v>
      </c>
      <c r="B7" s="79" t="s">
        <v>145</v>
      </c>
      <c r="C7" s="80" t="s">
        <v>146</v>
      </c>
      <c r="D7" s="81" t="s">
        <v>147</v>
      </c>
    </row>
    <row r="8" customFormat="false" ht="27.75" hidden="false" customHeight="true" outlineLevel="0" collapsed="false">
      <c r="A8" s="82" t="s">
        <v>148</v>
      </c>
      <c r="B8" s="79" t="s">
        <v>149</v>
      </c>
      <c r="C8" s="80" t="s">
        <v>150</v>
      </c>
      <c r="D8" s="83" t="s">
        <v>151</v>
      </c>
    </row>
    <row r="9" customFormat="false" ht="27.75" hidden="false" customHeight="true" outlineLevel="0" collapsed="false">
      <c r="A9" s="78" t="s">
        <v>152</v>
      </c>
      <c r="B9" s="79" t="s">
        <v>153</v>
      </c>
      <c r="C9" s="80" t="s">
        <v>154</v>
      </c>
      <c r="D9" s="81" t="s">
        <v>155</v>
      </c>
    </row>
    <row r="11" customFormat="false" ht="31.5" hidden="false" customHeight="true" outlineLevel="0" collapsed="false">
      <c r="A11" s="5" t="s">
        <v>156</v>
      </c>
      <c r="B11" s="5"/>
      <c r="C11" s="5"/>
      <c r="D11" s="5"/>
      <c r="E11" s="5"/>
    </row>
    <row r="12" customFormat="false" ht="21.75" hidden="false" customHeight="true" outlineLevel="0" collapsed="false">
      <c r="A12" s="28" t="s">
        <v>140</v>
      </c>
      <c r="B12" s="29" t="s">
        <v>141</v>
      </c>
      <c r="C12" s="29" t="s">
        <v>142</v>
      </c>
      <c r="D12" s="29" t="s">
        <v>143</v>
      </c>
    </row>
    <row r="13" customFormat="false" ht="27.75" hidden="false" customHeight="true" outlineLevel="0" collapsed="false">
      <c r="A13" s="78" t="s">
        <v>157</v>
      </c>
      <c r="B13" s="79" t="s">
        <v>158</v>
      </c>
      <c r="C13" s="80" t="s">
        <v>159</v>
      </c>
      <c r="D13" s="81" t="s">
        <v>160</v>
      </c>
    </row>
    <row r="14" customFormat="false" ht="27.75" hidden="false" customHeight="true" outlineLevel="0" collapsed="false">
      <c r="A14" s="82" t="s">
        <v>161</v>
      </c>
      <c r="B14" s="79" t="s">
        <v>162</v>
      </c>
      <c r="C14" s="80" t="s">
        <v>163</v>
      </c>
      <c r="D14" s="83" t="s">
        <v>164</v>
      </c>
    </row>
    <row r="15" customFormat="false" ht="27.75" hidden="false" customHeight="true" outlineLevel="0" collapsed="false">
      <c r="A15" s="78" t="s">
        <v>165</v>
      </c>
      <c r="B15" s="79" t="s">
        <v>166</v>
      </c>
      <c r="C15" s="80" t="s">
        <v>167</v>
      </c>
      <c r="D15" s="81" t="s">
        <v>168</v>
      </c>
    </row>
    <row r="17" customFormat="false" ht="31.5" hidden="false" customHeight="true" outlineLevel="0" collapsed="false">
      <c r="A17" s="5" t="s">
        <v>169</v>
      </c>
      <c r="B17" s="5"/>
      <c r="C17" s="5"/>
      <c r="D17" s="5"/>
      <c r="E17" s="5"/>
    </row>
    <row r="18" customFormat="false" ht="21.75" hidden="false" customHeight="true" outlineLevel="0" collapsed="false">
      <c r="A18" s="28" t="s">
        <v>140</v>
      </c>
      <c r="B18" s="29" t="s">
        <v>141</v>
      </c>
      <c r="C18" s="29" t="s">
        <v>142</v>
      </c>
      <c r="D18" s="29" t="s">
        <v>143</v>
      </c>
    </row>
    <row r="19" customFormat="false" ht="27.75" hidden="false" customHeight="true" outlineLevel="0" collapsed="false">
      <c r="A19" s="78" t="s">
        <v>87</v>
      </c>
      <c r="B19" s="79" t="s">
        <v>170</v>
      </c>
      <c r="C19" s="80" t="s">
        <v>171</v>
      </c>
      <c r="D19" s="81" t="s">
        <v>172</v>
      </c>
    </row>
    <row r="20" customFormat="false" ht="27.75" hidden="false" customHeight="true" outlineLevel="0" collapsed="false">
      <c r="A20" s="82" t="s">
        <v>173</v>
      </c>
      <c r="B20" s="79" t="s">
        <v>174</v>
      </c>
      <c r="C20" s="80" t="s">
        <v>175</v>
      </c>
      <c r="D20" s="83" t="s">
        <v>176</v>
      </c>
    </row>
    <row r="21" customFormat="false" ht="27.75" hidden="false" customHeight="true" outlineLevel="0" collapsed="false">
      <c r="A21" s="78" t="s">
        <v>177</v>
      </c>
      <c r="B21" s="79" t="s">
        <v>178</v>
      </c>
      <c r="C21" s="80" t="s">
        <v>179</v>
      </c>
      <c r="D21" s="81" t="s">
        <v>180</v>
      </c>
    </row>
    <row r="23" customFormat="false" ht="31.5" hidden="false" customHeight="true" outlineLevel="0" collapsed="false">
      <c r="A23" s="5" t="s">
        <v>15</v>
      </c>
      <c r="B23" s="5"/>
      <c r="C23" s="5"/>
      <c r="D23" s="5"/>
      <c r="E23" s="5"/>
    </row>
    <row r="24" customFormat="false" ht="21.75" hidden="false" customHeight="true" outlineLevel="0" collapsed="false">
      <c r="A24" s="28" t="s">
        <v>140</v>
      </c>
      <c r="B24" s="29" t="s">
        <v>141</v>
      </c>
      <c r="C24" s="29" t="s">
        <v>142</v>
      </c>
      <c r="D24" s="29" t="s">
        <v>143</v>
      </c>
    </row>
    <row r="25" customFormat="false" ht="27.75" hidden="false" customHeight="true" outlineLevel="0" collapsed="false">
      <c r="A25" s="78" t="s">
        <v>181</v>
      </c>
      <c r="B25" s="79" t="s">
        <v>182</v>
      </c>
      <c r="C25" s="80" t="s">
        <v>183</v>
      </c>
      <c r="D25" s="81" t="s">
        <v>184</v>
      </c>
    </row>
    <row r="26" customFormat="false" ht="27.75" hidden="false" customHeight="true" outlineLevel="0" collapsed="false">
      <c r="A26" s="82" t="s">
        <v>185</v>
      </c>
      <c r="B26" s="79" t="s">
        <v>186</v>
      </c>
      <c r="C26" s="80" t="s">
        <v>187</v>
      </c>
      <c r="D26" s="83" t="s">
        <v>188</v>
      </c>
    </row>
    <row r="27" customFormat="false" ht="27.75" hidden="false" customHeight="true" outlineLevel="0" collapsed="false">
      <c r="A27" s="78" t="s">
        <v>189</v>
      </c>
      <c r="B27" s="79" t="s">
        <v>190</v>
      </c>
      <c r="C27" s="80" t="s">
        <v>191</v>
      </c>
      <c r="D27" s="81" t="s">
        <v>192</v>
      </c>
    </row>
    <row r="29" customFormat="false" ht="27.75" hidden="false" customHeight="true" outlineLevel="0" collapsed="false">
      <c r="A29" s="84" t="s">
        <v>193</v>
      </c>
      <c r="B29" s="84"/>
      <c r="C29" s="84"/>
      <c r="D29" s="84"/>
    </row>
  </sheetData>
  <mergeCells count="7">
    <mergeCell ref="A1:E1"/>
    <mergeCell ref="A2:E2"/>
    <mergeCell ref="A5:E5"/>
    <mergeCell ref="A11:E11"/>
    <mergeCell ref="A17:E17"/>
    <mergeCell ref="A23:E23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2026-05-27T23:42:03Z</dcterms:created>
  <dc:creator>openpyxl</dc:creator>
  <dc:description/>
  <dc:language>en-US</dc:language>
  <cp:lastModifiedBy/>
  <dcterms:modified xsi:type="dcterms:W3CDTF">2026-05-27T23:42:52Z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