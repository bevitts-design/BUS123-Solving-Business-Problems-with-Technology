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Part A · Loan PMT" sheetId="2" state="visible" r:id="rId2"/>
    <sheet xmlns:r="http://schemas.openxmlformats.org/officeDocument/2006/relationships" name="Part B · Savings FV" sheetId="3" state="visible" r:id="rId3"/>
    <sheet xmlns:r="http://schemas.openxmlformats.org/officeDocument/2006/relationships" name="Part C · Annuity PV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[$$-409]#,##0.00;[RED]\-[$$-409]#,##0.00"/>
  </numFmts>
  <fonts count="24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Calibri"/>
      <b val="1"/>
      <color rgb="FFFFFFFF"/>
      <sz val="18"/>
    </font>
    <font>
      <name val="Calibri"/>
      <color rgb="FFC9A84C"/>
      <sz val="13"/>
    </font>
    <font>
      <name val="Calibri"/>
      <b val="1"/>
      <color rgb="FFFFFFFF"/>
      <sz val="12"/>
    </font>
    <font>
      <name val="Calibri"/>
      <color rgb="FF0E1116"/>
      <sz val="11"/>
    </font>
    <font>
      <name val="Calibri"/>
      <b val="1"/>
      <color rgb="FF4A7C5E"/>
      <sz val="11"/>
    </font>
    <font>
      <name val="Calibri"/>
      <color rgb="FF4A5567"/>
      <sz val="11"/>
    </font>
    <font>
      <name val="Calibri"/>
      <b val="1"/>
      <color rgb="FFFFFFFF"/>
      <sz val="15"/>
    </font>
    <font>
      <name val="Calibri"/>
      <b val="1"/>
      <color rgb="FFFFFFFF"/>
      <sz val="10"/>
    </font>
    <font>
      <name val="Calibri"/>
      <b val="1"/>
      <color rgb="FF0E1116"/>
      <sz val="11"/>
    </font>
    <font>
      <name val="Calibri"/>
      <color rgb="FF0A3D6B"/>
      <sz val="11"/>
    </font>
    <font>
      <name val="Calibri"/>
      <b val="1"/>
      <color rgb="FF1A6B3C"/>
      <sz val="11"/>
    </font>
    <font>
      <name val="Calibri"/>
      <i val="1"/>
      <color rgb="FF7A8290"/>
      <sz val="10"/>
    </font>
    <font>
      <name val="Calibri"/>
      <i val="1"/>
      <color rgb="FF1A6B3C"/>
      <sz val="11"/>
    </font>
    <font>
      <name val="Calibri"/>
      <i val="1"/>
      <color rgb="FF9C4A2B"/>
      <sz val="10"/>
    </font>
    <font>
      <name val="Calibri"/>
      <i val="1"/>
      <color rgb="FF4A7C5E"/>
      <sz val="10"/>
    </font>
    <font>
      <name val="Calibri"/>
      <color rgb="FFC9A84C"/>
      <sz val="11"/>
    </font>
    <font>
      <name val="Calibri"/>
      <color rgb="FF1A6B3C"/>
      <sz val="11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2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B8843D"/>
      </patternFill>
    </fill>
    <fill>
      <patternFill patternType="solid">
        <fgColor rgb="FF9C4A2B"/>
      </patternFill>
    </fill>
    <fill>
      <patternFill patternType="solid">
        <fgColor rgb="FF4A7C5E"/>
      </patternFill>
    </fill>
    <fill>
      <patternFill patternType="solid">
        <fgColor rgb="FF1A1A2E"/>
      </patternFill>
    </fill>
    <fill>
      <patternFill patternType="solid">
        <fgColor rgb="FFFFD966"/>
      </patternFill>
    </fill>
    <fill>
      <patternFill patternType="solid">
        <fgColor rgb="FFFFFBF0"/>
      </patternFill>
    </fill>
    <fill>
      <patternFill patternType="solid">
        <fgColor rgb="FFFFF5F0"/>
      </patternFill>
    </fill>
    <fill>
      <patternFill patternType="solid">
        <fgColor rgb="FFF0FAF4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3">
    <border/>
    <border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general" vertical="center" wrapText="1"/>
    </xf>
    <xf numFmtId="0" fontId="6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center" wrapText="1"/>
    </xf>
    <xf numFmtId="0" fontId="16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0" fontId="17" fillId="9" borderId="0" applyAlignment="1" pivotButton="0" quotePrefix="0" xfId="0">
      <alignment horizontal="general" vertical="center" wrapText="1"/>
    </xf>
    <xf numFmtId="165" fontId="14" fillId="8" borderId="1" applyAlignment="1" pivotButton="0" quotePrefix="0" xfId="0">
      <alignment horizontal="center" vertical="center"/>
    </xf>
    <xf numFmtId="0" fontId="18" fillId="10" borderId="0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center" wrapText="1"/>
    </xf>
    <xf numFmtId="0" fontId="19" fillId="2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general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 wrapText="1"/>
    </xf>
    <xf numFmtId="0" fontId="0" fillId="13" borderId="0" applyAlignment="1" pivotButton="0" quotePrefix="0" xfId="0">
      <alignment horizontal="general" vertical="bottom"/>
    </xf>
    <xf numFmtId="0" fontId="22" fillId="13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general" vertical="bottom"/>
    </xf>
    <xf numFmtId="0" fontId="22" fillId="13" borderId="2" applyAlignment="1" pivotButton="0" quotePrefix="0" xfId="0">
      <alignment horizontal="general" vertical="bottom" wrapText="1"/>
    </xf>
    <xf numFmtId="0" fontId="22" fillId="14" borderId="2" applyAlignment="1" pivotButton="0" quotePrefix="0" xfId="0">
      <alignment horizontal="general" vertical="bottom" wrapText="1"/>
    </xf>
    <xf numFmtId="0" fontId="23" fillId="14" borderId="2" applyAlignment="1" pivotButton="0" quotePrefix="0" xfId="0">
      <alignment horizontal="general" vertical="bottom" wrapText="1"/>
    </xf>
    <xf numFmtId="0" fontId="22" fillId="15" borderId="2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/>
    </xf>
    <xf numFmtId="0" fontId="21" fillId="16" borderId="0" applyAlignment="1" pivotButton="0" quotePrefix="0" xfId="0">
      <alignment horizontal="general" vertical="bottom"/>
    </xf>
    <xf numFmtId="0" fontId="21" fillId="16" borderId="2" applyAlignment="1" pivotButton="0" quotePrefix="0" xfId="0">
      <alignment horizontal="general" vertical="bottom"/>
    </xf>
    <xf numFmtId="0" fontId="21" fillId="16" borderId="2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/>
    </xf>
    <xf numFmtId="0" fontId="22" fillId="17" borderId="0" applyAlignment="1" pivotButton="0" quotePrefix="0" xfId="0">
      <alignment horizontal="general" vertical="bottom"/>
    </xf>
    <xf numFmtId="0" fontId="22" fillId="17" borderId="2" applyAlignment="1" pivotButton="0" quotePrefix="0" xfId="0">
      <alignment horizontal="general" vertical="bottom"/>
    </xf>
    <xf numFmtId="0" fontId="22" fillId="17" borderId="2" applyAlignment="1" pivotButton="0" quotePrefix="0" xfId="0">
      <alignment horizontal="general" vertical="bottom" wrapText="1"/>
    </xf>
    <xf numFmtId="0" fontId="22" fillId="18" borderId="2" applyAlignment="1" pivotButton="0" quotePrefix="0" xfId="0">
      <alignment horizontal="general" vertical="bottom" wrapText="1"/>
    </xf>
    <xf numFmtId="0" fontId="23" fillId="18" borderId="2" applyAlignment="1" pivotButton="0" quotePrefix="0" xfId="0">
      <alignment horizontal="general" vertical="bottom" wrapText="1"/>
    </xf>
    <xf numFmtId="0" fontId="22" fillId="19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general" vertical="center" wrapText="1"/>
    </xf>
    <xf numFmtId="0" fontId="6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center" wrapText="1"/>
    </xf>
    <xf numFmtId="0" fontId="16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0" fontId="17" fillId="9" borderId="0" applyAlignment="1" pivotButton="0" quotePrefix="0" xfId="0">
      <alignment horizontal="general" vertical="center" wrapText="1"/>
    </xf>
    <xf numFmtId="165" fontId="14" fillId="8" borderId="1" applyAlignment="1" pivotButton="0" quotePrefix="0" xfId="0">
      <alignment horizontal="center" vertical="center"/>
    </xf>
    <xf numFmtId="0" fontId="18" fillId="10" borderId="0" applyAlignment="1" pivotButton="0" quotePrefix="0" xfId="0">
      <alignment horizontal="general" vertical="center" wrapText="1"/>
    </xf>
    <xf numFmtId="0" fontId="21" fillId="16" borderId="2" applyAlignment="1" pivotButton="0" quotePrefix="0" xfId="0">
      <alignment horizontal="general" vertical="bottom" wrapText="1"/>
    </xf>
    <xf numFmtId="0" fontId="22" fillId="17" borderId="2" applyAlignment="1" pivotButton="0" quotePrefix="0" xfId="0">
      <alignment horizontal="general" vertical="bottom" wrapText="1"/>
    </xf>
    <xf numFmtId="0" fontId="23" fillId="18" borderId="2" applyAlignment="1" pivotButton="0" quotePrefix="0" xfId="0">
      <alignment horizontal="general" vertical="bottom" wrapText="1"/>
    </xf>
    <xf numFmtId="0" fontId="22" fillId="19" borderId="2" applyAlignment="1" pivotButton="0" quotePrefix="0" xfId="0">
      <alignment horizontal="general" vertical="bottom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0FAF4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5F0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E1116"/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ColWidth="8.6796875" defaultRowHeight="15"/>
  <cols>
    <col width="2" customWidth="1" style="50" min="1" max="1"/>
    <col width="28" customWidth="1" style="50" min="2" max="2"/>
    <col width="52" customWidth="1" style="50" min="3" max="3"/>
    <col width="2" customWidth="1" style="50" min="4" max="4"/>
  </cols>
  <sheetData>
    <row r="1" ht="6" customHeight="1" s="51"/>
    <row r="2" ht="36" customHeight="1" s="51">
      <c r="B2" s="52" t="inlineStr">
        <is>
          <t>BUS123 · MATH-M09 · L02</t>
        </is>
      </c>
    </row>
    <row r="3" ht="24" customHeight="1" s="51">
      <c r="B3" s="53" t="inlineStr">
        <is>
          <t>PMT Function &amp; Annuities</t>
        </is>
      </c>
    </row>
    <row r="4" ht="7.5" customHeight="1" s="51"/>
    <row r="5" ht="21.75" customHeight="1" s="51">
      <c r="B5" s="54" t="inlineStr">
        <is>
          <t>Learning Objectives</t>
        </is>
      </c>
    </row>
    <row r="6" ht="19.5" customHeight="1" s="51">
      <c r="B6" s="55" t="inlineStr">
        <is>
          <t xml:space="preserve">  1. Use =PMT(rate, nper, pv, 0) to calculate required periodic loan payments</t>
        </is>
      </c>
    </row>
    <row r="7" ht="19.5" customHeight="1" s="51">
      <c r="B7" s="55" t="inlineStr">
        <is>
          <t xml:space="preserve">  2. Calculate total interest paid: ABS(PMT)×nper − PV</t>
        </is>
      </c>
    </row>
    <row r="8" ht="19.5" customHeight="1" s="51">
      <c r="B8" s="55" t="inlineStr">
        <is>
          <t xml:space="preserve">  3. Use =FV(rate, nper, pmt, pv) with regular contributions to project savings</t>
        </is>
      </c>
    </row>
    <row r="9" ht="19.5" customHeight="1" s="51">
      <c r="B9" s="55" t="inlineStr">
        <is>
          <t xml:space="preserve">  4. Use =PV(rate, nper, pmt, 0) to value a stream of equal future payments</t>
        </is>
      </c>
    </row>
    <row r="10" ht="19.5" customHeight="1" s="51">
      <c r="B10" s="55" t="inlineStr">
        <is>
          <t xml:space="preserve">  5. Apply correct sign to pmt: negative for payments out, positive for payments received</t>
        </is>
      </c>
    </row>
    <row r="11" ht="7.5" customHeight="1" s="51"/>
    <row r="12" ht="21.75" customHeight="1" s="51">
      <c r="B12" s="56" t="inlineStr">
        <is>
          <t>Tabs in This Workbook</t>
        </is>
      </c>
    </row>
    <row r="13" ht="21.75" customHeight="1" s="51">
      <c r="B13" s="57" t="inlineStr">
        <is>
          <t>Part A · Loan PMT</t>
        </is>
      </c>
      <c r="C13" s="58" t="inlineStr">
        <is>
          <t>Mortgage analysis — monthly payment, total paid, total interest.</t>
        </is>
      </c>
    </row>
    <row r="14" ht="21.75" customHeight="1" s="51">
      <c r="B14" s="57" t="inlineStr">
        <is>
          <t>Part B · Savings FV</t>
        </is>
      </c>
      <c r="C14" s="58" t="inlineStr">
        <is>
          <t>Retirement savings — monthly contributions to a future goal.</t>
        </is>
      </c>
    </row>
    <row r="15" ht="21.75" customHeight="1" s="51">
      <c r="B15" s="57" t="inlineStr">
        <is>
          <t>Part C · Annuity PV</t>
        </is>
      </c>
      <c r="C15" s="58" t="inlineStr">
        <is>
          <t>Value a monthly payment stream in today's dollars.</t>
        </is>
      </c>
    </row>
    <row r="16" ht="21.75" customHeight="1" s="51">
      <c r="B16" s="57" t="inlineStr">
        <is>
          <t>FormulaReferenceCard</t>
        </is>
      </c>
      <c r="C16" s="58" t="inlineStr">
        <is>
          <t>All PMT, FV, and PV formulas for this lesson.</t>
        </is>
      </c>
    </row>
  </sheetData>
  <mergeCells count="9">
    <mergeCell ref="B6:C6"/>
    <mergeCell ref="B2:C2"/>
    <mergeCell ref="B7:C7"/>
    <mergeCell ref="B3:C3"/>
    <mergeCell ref="B5:C5"/>
    <mergeCell ref="B10:C10"/>
    <mergeCell ref="B9:C9"/>
    <mergeCell ref="B8:C8"/>
    <mergeCell ref="B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7C5E"/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ColWidth="8.6796875" defaultRowHeight="15"/>
  <cols>
    <col width="2" customWidth="1" style="50" min="1" max="1"/>
    <col width="24" customWidth="1" style="50" min="2" max="2"/>
    <col width="18" customWidth="1" style="50" min="3" max="3"/>
    <col width="16" customWidth="1" style="50" min="4" max="4"/>
    <col width="14" customWidth="1" style="50" min="5" max="5"/>
    <col width="20" customWidth="1" style="50" min="6" max="6"/>
    <col width="24" customWidth="1" style="50" min="7" max="7"/>
  </cols>
  <sheetData>
    <row r="1" ht="6" customHeight="1" s="51"/>
    <row r="2" ht="30" customHeight="1" s="51">
      <c r="B2" s="59" t="inlineStr">
        <is>
          <t>Meridian Advisory Group · Loan Payment Analysis</t>
        </is>
      </c>
    </row>
    <row r="3" ht="9.75" customHeight="1" s="51"/>
    <row r="4" ht="21.75" customHeight="1" s="51">
      <c r="B4" s="60" t="inlineStr">
        <is>
          <t>Section 1 — Monthly Payment   =PMT(rate/12, years×12, pv, 0)</t>
        </is>
      </c>
    </row>
    <row r="5" ht="19.5" customHeight="1" s="51">
      <c r="B5" s="61" t="inlineStr">
        <is>
          <t>Loan</t>
        </is>
      </c>
      <c r="C5" s="61" t="inlineStr">
        <is>
          <t>Principal (PV)</t>
        </is>
      </c>
      <c r="D5" s="61" t="inlineStr">
        <is>
          <t>Annual Rate</t>
        </is>
      </c>
      <c r="E5" s="61" t="inlineStr">
        <is>
          <t>Years</t>
        </is>
      </c>
      <c r="F5" s="61" t="inlineStr">
        <is>
          <t>Monthly PMT</t>
        </is>
      </c>
      <c r="G5" s="61" t="inlineStr">
        <is>
          <t>Notes</t>
        </is>
      </c>
    </row>
    <row r="6" ht="21.75" customHeight="1" s="51">
      <c r="B6" s="62" t="n">
        <v>6</v>
      </c>
      <c r="C6" s="63" t="n"/>
      <c r="D6" s="63" t="n"/>
      <c r="E6" s="63" t="n"/>
      <c r="F6" s="64">
        <f>IFERROR(PMT(D6/12,E6*12,C6,0),"")</f>
        <v/>
      </c>
      <c r="G6" s="65" t="inlineStr">
        <is>
          <t>Mortgage A</t>
        </is>
      </c>
    </row>
    <row r="7" ht="21.75" customHeight="1" s="51">
      <c r="B7" s="62" t="n">
        <v>7</v>
      </c>
      <c r="C7" s="63" t="n"/>
      <c r="D7" s="63" t="n"/>
      <c r="E7" s="63" t="n"/>
      <c r="F7" s="64">
        <f>IFERROR(PMT(D7/12,E7*12,C7,0),"")</f>
        <v/>
      </c>
      <c r="G7" s="65" t="inlineStr">
        <is>
          <t>Auto Loan B</t>
        </is>
      </c>
    </row>
    <row r="8" ht="21.75" customHeight="1" s="51">
      <c r="B8" s="62" t="n">
        <v>8</v>
      </c>
      <c r="C8" s="63" t="n"/>
      <c r="D8" s="63" t="n"/>
      <c r="E8" s="63" t="n"/>
      <c r="F8" s="64">
        <f>IFERROR(PMT(D8/12,E8*12,C8,0),"")</f>
        <v/>
      </c>
      <c r="G8" s="65" t="inlineStr">
        <is>
          <t>Business Loan C</t>
        </is>
      </c>
    </row>
    <row r="9" ht="9.75" customHeight="1" s="51"/>
    <row r="10" ht="21.75" customHeight="1" s="51">
      <c r="B10" s="54" t="inlineStr">
        <is>
          <t>Section 2 — Total Cost Analysis</t>
        </is>
      </c>
    </row>
    <row r="11" ht="19.5" customHeight="1" s="51">
      <c r="B11" s="61" t="inlineStr">
        <is>
          <t>Loan</t>
        </is>
      </c>
      <c r="C11" s="61" t="inlineStr">
        <is>
          <t>Monthly PMT</t>
        </is>
      </c>
      <c r="D11" s="61" t="inlineStr">
        <is>
          <t>Total Payments</t>
        </is>
      </c>
      <c r="E11" s="61" t="inlineStr">
        <is>
          <t>Total Paid</t>
        </is>
      </c>
      <c r="F11" s="61" t="inlineStr">
        <is>
          <t>Total Interest</t>
        </is>
      </c>
      <c r="G11" s="61" t="inlineStr">
        <is>
          <t>% of Original</t>
        </is>
      </c>
    </row>
    <row r="12" ht="21.75" customHeight="1" s="51">
      <c r="B12" s="62" t="inlineStr">
        <is>
          <t>Loan A</t>
        </is>
      </c>
      <c r="C12" s="66">
        <f>IFERROR(ABS(F6),"")</f>
        <v/>
      </c>
      <c r="D12" s="66">
        <f>IFERROR(E6*12,"")</f>
        <v/>
      </c>
      <c r="E12" s="64">
        <f>IFERROR(C12*D12,"")</f>
        <v/>
      </c>
      <c r="F12" s="64">
        <f>IFERROR(E12-C6,"")</f>
        <v/>
      </c>
      <c r="G12" s="67">
        <f>IFERROR(F12/C6,"")</f>
        <v/>
      </c>
    </row>
    <row r="13" ht="21.75" customHeight="1" s="51">
      <c r="B13" s="62" t="inlineStr">
        <is>
          <t>Loan B</t>
        </is>
      </c>
      <c r="C13" s="66">
        <f>IFERROR(ABS(F7),"")</f>
        <v/>
      </c>
      <c r="D13" s="66">
        <f>IFERROR(E7*12,"")</f>
        <v/>
      </c>
      <c r="E13" s="64">
        <f>IFERROR(C13*D13,"")</f>
        <v/>
      </c>
      <c r="F13" s="64">
        <f>IFERROR(E13-C7,"")</f>
        <v/>
      </c>
      <c r="G13" s="67">
        <f>IFERROR(F13/C7,"")</f>
        <v/>
      </c>
    </row>
    <row r="14" ht="21.75" customHeight="1" s="51">
      <c r="B14" s="62" t="inlineStr">
        <is>
          <t>Loan C</t>
        </is>
      </c>
      <c r="C14" s="66">
        <f>IFERROR(ABS(F8),"")</f>
        <v/>
      </c>
      <c r="D14" s="66">
        <f>IFERROR(E8*12,"")</f>
        <v/>
      </c>
      <c r="E14" s="64">
        <f>IFERROR(C14*D14,"")</f>
        <v/>
      </c>
      <c r="F14" s="64">
        <f>IFERROR(E14-C8,"")</f>
        <v/>
      </c>
      <c r="G14" s="67">
        <f>IFERROR(F14/C8,"")</f>
        <v/>
      </c>
    </row>
    <row r="15" ht="7.5" customHeight="1" s="51"/>
    <row r="16" ht="21.75" customHeight="1" s="51">
      <c r="B16" s="68" t="inlineStr">
        <is>
          <t xml:space="preserve">  ⚠  PMT returns a negative number — this is correct. The analysis rows use ABS(PMT). Read monthly payment as absolute value when advising clients.</t>
        </is>
      </c>
    </row>
  </sheetData>
  <mergeCells count="4">
    <mergeCell ref="B2:G2"/>
    <mergeCell ref="B4:G4"/>
    <mergeCell ref="B10:G10"/>
    <mergeCell ref="B16:G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C4A2B"/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ColWidth="8.6796875" defaultRowHeight="15"/>
  <cols>
    <col width="2" customWidth="1" style="50" min="1" max="1"/>
    <col width="28" customWidth="1" style="50" min="2" max="2"/>
    <col width="18" customWidth="1" style="50" min="3" max="3"/>
    <col width="16" customWidth="1" style="50" min="4" max="4"/>
    <col width="22" customWidth="1" style="50" min="5" max="5"/>
    <col width="26" customWidth="1" style="50" min="6" max="6"/>
  </cols>
  <sheetData>
    <row r="1" ht="6" customHeight="1" s="51"/>
    <row r="2" ht="30" customHeight="1" s="51">
      <c r="B2" s="59" t="inlineStr">
        <is>
          <t>Meridian Advisory Group · Retirement Savings Model</t>
        </is>
      </c>
    </row>
    <row r="3" ht="9.75" customHeight="1" s="51"/>
    <row r="4" ht="21.75" customHeight="1" s="51">
      <c r="B4" s="56" t="inlineStr">
        <is>
          <t>Section 1 — Monthly Savings Goal   =FV(rate/12, years×12, −pmt, −pv)</t>
        </is>
      </c>
    </row>
    <row r="5" ht="19.5" customHeight="1" s="51">
      <c r="B5" s="61" t="inlineStr">
        <is>
          <t>Client</t>
        </is>
      </c>
      <c r="C5" s="61" t="inlineStr">
        <is>
          <t>Monthly Contribution (pmt)</t>
        </is>
      </c>
      <c r="D5" s="61" t="inlineStr">
        <is>
          <t>Annual Rate</t>
        </is>
      </c>
      <c r="E5" s="61" t="inlineStr">
        <is>
          <t>Years</t>
        </is>
      </c>
      <c r="F5" s="61" t="inlineStr">
        <is>
          <t>Account Value at Goal</t>
        </is>
      </c>
    </row>
    <row r="6" ht="21.75" customHeight="1" s="51">
      <c r="B6" s="62" t="n">
        <v>6</v>
      </c>
      <c r="C6" s="63" t="n"/>
      <c r="D6" s="63" t="n"/>
      <c r="E6" s="63" t="n"/>
      <c r="F6" s="69">
        <f>IFERROR(FV(D6/12,E6*12,-C6,0),"")</f>
        <v/>
      </c>
    </row>
    <row r="7" ht="21.75" customHeight="1" s="51">
      <c r="B7" s="62" t="n">
        <v>7</v>
      </c>
      <c r="C7" s="63" t="n"/>
      <c r="D7" s="63" t="n"/>
      <c r="E7" s="63" t="n"/>
      <c r="F7" s="69">
        <f>IFERROR(FV(D7/12,E7*12,-C7,0),"")</f>
        <v/>
      </c>
    </row>
    <row r="8" ht="21.75" customHeight="1" s="51">
      <c r="B8" s="62" t="n">
        <v>8</v>
      </c>
      <c r="C8" s="63" t="n"/>
      <c r="D8" s="63" t="n"/>
      <c r="E8" s="63" t="n"/>
      <c r="F8" s="69">
        <f>IFERROR(FV(D8/12,E8*12,-C8,0),"")</f>
        <v/>
      </c>
    </row>
    <row r="9" ht="9.75" customHeight="1" s="51"/>
    <row r="10" ht="21.75" customHeight="1" s="51">
      <c r="B10" s="54" t="inlineStr">
        <is>
          <t>Section 2 — What Monthly Amount Is Needed?   =PMT(rate/12, years×12, 0, fv)</t>
        </is>
      </c>
    </row>
    <row r="11" ht="19.5" customHeight="1" s="51">
      <c r="B11" s="61" t="inlineStr">
        <is>
          <t>Goal</t>
        </is>
      </c>
      <c r="C11" s="61" t="inlineStr">
        <is>
          <t>Savings Target (FV)</t>
        </is>
      </c>
      <c r="D11" s="61" t="inlineStr">
        <is>
          <t>Annual Rate</t>
        </is>
      </c>
      <c r="E11" s="61" t="inlineStr">
        <is>
          <t>Years</t>
        </is>
      </c>
      <c r="F11" s="61" t="inlineStr">
        <is>
          <t>Required Monthly PMT</t>
        </is>
      </c>
    </row>
    <row r="12" ht="21.75" customHeight="1" s="51">
      <c r="B12" s="62" t="inlineStr">
        <is>
          <t>Goal 1</t>
        </is>
      </c>
      <c r="C12" s="63" t="n"/>
      <c r="D12" s="63" t="n"/>
      <c r="E12" s="63" t="n"/>
      <c r="F12" s="64">
        <f>IFERROR(PMT(D12/12,E12*12,0,C12),"")</f>
        <v/>
      </c>
    </row>
    <row r="13" ht="21.75" customHeight="1" s="51">
      <c r="B13" s="62" t="inlineStr">
        <is>
          <t>Goal 2</t>
        </is>
      </c>
      <c r="C13" s="63" t="n"/>
      <c r="D13" s="63" t="n"/>
      <c r="E13" s="63" t="n"/>
      <c r="F13" s="64">
        <f>IFERROR(PMT(D13/12,E13*12,0,C13),"")</f>
        <v/>
      </c>
    </row>
    <row r="14" ht="7.5" customHeight="1" s="51"/>
    <row r="15" ht="21.75" customHeight="1" s="51">
      <c r="B15" s="70" t="inlineStr">
        <is>
          <t xml:space="preserve">  Hint for Section 2: to solve for required PMT, use =PMT() with pv=0 and fv=target amount. The result will be negative — your required monthly deposit.</t>
        </is>
      </c>
    </row>
  </sheetData>
  <mergeCells count="4">
    <mergeCell ref="B2:F2"/>
    <mergeCell ref="B4:F4"/>
    <mergeCell ref="B15:F15"/>
    <mergeCell ref="B10:F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B8843D"/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ColWidth="8.6796875" defaultRowHeight="15"/>
  <cols>
    <col width="2" customWidth="1" style="50" min="1" max="1"/>
    <col width="28" customWidth="1" style="50" min="2" max="2"/>
    <col width="18" customWidth="1" style="50" min="3" max="3"/>
    <col width="16" customWidth="1" style="50" min="4" max="4"/>
    <col width="22" customWidth="1" style="50" min="5" max="5"/>
    <col width="26" customWidth="1" style="50" min="6" max="6"/>
  </cols>
  <sheetData>
    <row r="1" ht="6" customHeight="1" s="51"/>
    <row r="2" ht="30" customHeight="1" s="51">
      <c r="B2" s="59" t="inlineStr">
        <is>
          <t>Meridian Advisory Group · Annuity Valuation</t>
        </is>
      </c>
    </row>
    <row r="3" ht="9.75" customHeight="1" s="51"/>
    <row r="4" ht="21.75" customHeight="1" s="51">
      <c r="B4" s="60" t="inlineStr">
        <is>
          <t>Present Value of a Payment Stream   =PV(rate/12, years×12, pmt, 0)</t>
        </is>
      </c>
    </row>
    <row r="5" ht="19.5" customHeight="1" s="51">
      <c r="B5" s="61" t="inlineStr">
        <is>
          <t>Stream</t>
        </is>
      </c>
      <c r="C5" s="61" t="inlineStr">
        <is>
          <t>Monthly Payment (pmt)</t>
        </is>
      </c>
      <c r="D5" s="61" t="inlineStr">
        <is>
          <t>Discount Rate</t>
        </is>
      </c>
      <c r="E5" s="61" t="inlineStr">
        <is>
          <t>Years</t>
        </is>
      </c>
      <c r="F5" s="61" t="inlineStr">
        <is>
          <t>Present Value Today</t>
        </is>
      </c>
    </row>
    <row r="6" ht="21.75" customHeight="1" s="51">
      <c r="B6" s="62" t="n">
        <v>6</v>
      </c>
      <c r="C6" s="63" t="n"/>
      <c r="D6" s="63" t="n"/>
      <c r="E6" s="63" t="n"/>
      <c r="F6" s="69">
        <f>IFERROR(PV(D6/12,E6*12,C6,0),"")</f>
        <v/>
      </c>
    </row>
    <row r="7" ht="21.75" customHeight="1" s="51">
      <c r="B7" s="62" t="n">
        <v>7</v>
      </c>
      <c r="C7" s="63" t="n"/>
      <c r="D7" s="63" t="n"/>
      <c r="E7" s="63" t="n"/>
      <c r="F7" s="69">
        <f>IFERROR(PV(D7/12,E7*12,C7,0),"")</f>
        <v/>
      </c>
    </row>
    <row r="8" ht="21.75" customHeight="1" s="51">
      <c r="B8" s="62" t="n">
        <v>8</v>
      </c>
      <c r="C8" s="63" t="n"/>
      <c r="D8" s="63" t="n"/>
      <c r="E8" s="63" t="n"/>
      <c r="F8" s="69">
        <f>IFERROR(PV(D8/12,E8*12,C8,0),"")</f>
        <v/>
      </c>
    </row>
    <row r="9" ht="9.75" customHeight="1" s="51"/>
    <row r="10" ht="21.75" customHeight="1" s="51">
      <c r="B10" s="54" t="inlineStr">
        <is>
          <t>Decision Analysis — Buy or Wait?</t>
        </is>
      </c>
    </row>
    <row r="11" ht="19.5" customHeight="1" s="51">
      <c r="B11" s="61" t="inlineStr">
        <is>
          <t>Stream</t>
        </is>
      </c>
      <c r="C11" s="61" t="inlineStr">
        <is>
          <t>PV of Stream</t>
        </is>
      </c>
      <c r="D11" s="61" t="inlineStr">
        <is>
          <t>Offer Price</t>
        </is>
      </c>
      <c r="E11" s="61" t="inlineStr">
        <is>
          <t>Decision</t>
        </is>
      </c>
      <c r="F11" s="61" t="inlineStr">
        <is>
          <t>Reasoning</t>
        </is>
      </c>
    </row>
    <row r="12" ht="21.75" customHeight="1" s="51">
      <c r="B12" s="62" t="inlineStr">
        <is>
          <t>Stream A</t>
        </is>
      </c>
      <c r="C12" s="66">
        <f>IFERROR(ABS(F6),"")</f>
        <v/>
      </c>
      <c r="D12" s="63" t="n"/>
      <c r="E12" s="64">
        <f>IFERROR(IF(C12&gt;D12,"Worth More — Hold","Worth Less — Accept"),"")</f>
        <v/>
      </c>
      <c r="F12" s="65" t="inlineStr">
        <is>
          <t>Enter an offer price in column D</t>
        </is>
      </c>
    </row>
    <row r="13" ht="21.75" customHeight="1" s="51">
      <c r="B13" s="62" t="inlineStr">
        <is>
          <t>Stream B</t>
        </is>
      </c>
      <c r="C13" s="66">
        <f>IFERROR(ABS(F7),"")</f>
        <v/>
      </c>
      <c r="D13" s="63" t="n"/>
      <c r="E13" s="64">
        <f>IFERROR(IF(C13&gt;D13,"Worth More — Hold","Worth Less — Accept"),"")</f>
        <v/>
      </c>
      <c r="F13" s="65" t="inlineStr">
        <is>
          <t>Enter an offer price in column D</t>
        </is>
      </c>
    </row>
    <row r="14" ht="21.75" customHeight="1" s="51">
      <c r="B14" s="62" t="inlineStr">
        <is>
          <t>Stream C</t>
        </is>
      </c>
      <c r="C14" s="66">
        <f>IFERROR(ABS(F8),"")</f>
        <v/>
      </c>
      <c r="D14" s="63" t="n"/>
      <c r="E14" s="64">
        <f>IFERROR(IF(C14&gt;D14,"Worth More — Hold","Worth Less — Accept"),"")</f>
        <v/>
      </c>
      <c r="F14" s="65" t="inlineStr">
        <is>
          <t>Enter an offer price in column D</t>
        </is>
      </c>
    </row>
    <row r="15" ht="7.5" customHeight="1" s="51"/>
    <row r="16" ht="21.75" customHeight="1" s="51">
      <c r="B16" s="65" t="inlineStr">
        <is>
          <t xml:space="preserve">  Note: =PV() returns a negative (outflow = cost to acquire the stream). Column C uses ABS() to convert to positive for comparison with the offer price.</t>
        </is>
      </c>
    </row>
  </sheetData>
  <mergeCells count="4">
    <mergeCell ref="B2:F2"/>
    <mergeCell ref="B4:F4"/>
    <mergeCell ref="B10:F10"/>
    <mergeCell ref="B16:F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ColWidth="8.6796875" defaultRowHeight="15"/>
  <cols>
    <col width="21.11000061035156" customWidth="1" style="50" min="1" max="1"/>
    <col width="25.55999946594238" customWidth="1" style="50" min="2" max="2"/>
    <col width="34.43999862670898" customWidth="1" style="50" min="3" max="3"/>
    <col width="33.33000183105469" customWidth="1" style="50" min="4" max="4"/>
    <col width="26" customWidth="1" style="50" min="5" max="5"/>
  </cols>
  <sheetData>
    <row r="1" ht="31.5" customHeight="1" s="51">
      <c r="A1" s="71" t="inlineStr">
        <is>
          <t>Concept</t>
        </is>
      </c>
      <c r="B1" s="71" t="inlineStr">
        <is>
          <t>Excel Pattern</t>
        </is>
      </c>
      <c r="C1" s="71" t="inlineStr">
        <is>
          <t>Plain-English Meaning</t>
        </is>
      </c>
      <c r="D1" s="71" t="inlineStr">
        <is>
          <t>Watch Out For</t>
        </is>
      </c>
    </row>
    <row r="2" ht="31.5" customHeight="1" s="51">
      <c r="A2" s="72" t="inlineStr">
        <is>
          <t>Monthly loan payment</t>
        </is>
      </c>
      <c r="B2" s="73" t="inlineStr">
        <is>
          <t>=PMT(rate/12,years*12,pv,0)</t>
        </is>
      </c>
      <c r="C2" s="72" t="inlineStr">
        <is>
          <t>Calculates the required monthly loan payment.</t>
        </is>
      </c>
      <c r="D2" s="74" t="inlineStr">
        <is>
          <t>Result is usually negative because payment is an outflow.</t>
        </is>
      </c>
      <c r="E2" s="50" t="n"/>
    </row>
    <row r="3" ht="31.5" customHeight="1" s="51">
      <c r="A3" s="72" t="inlineStr">
        <is>
          <t>Total paid</t>
        </is>
      </c>
      <c r="B3" s="73" t="inlineStr">
        <is>
          <t>=ABS(PMT)*Nper</t>
        </is>
      </c>
      <c r="C3" s="72" t="inlineStr">
        <is>
          <t>Multiplies payment by the number of periods.</t>
        </is>
      </c>
      <c r="D3" s="74" t="inlineStr">
        <is>
          <t>Use ABS so the comparison is positive.</t>
        </is>
      </c>
      <c r="E3" s="50" t="n"/>
    </row>
    <row r="4" ht="31.5" customHeight="1" s="51">
      <c r="A4" s="72" t="inlineStr">
        <is>
          <t>Total interest</t>
        </is>
      </c>
      <c r="B4" s="73" t="inlineStr">
        <is>
          <t>=TotalPaid-PV</t>
        </is>
      </c>
      <c r="C4" s="72" t="inlineStr">
        <is>
          <t>Shows borrowing cost above the original loan amount.</t>
        </is>
      </c>
      <c r="D4" s="74" t="inlineStr">
        <is>
          <t>Use the original PV, not the future balance.</t>
        </is>
      </c>
    </row>
    <row r="5" ht="31.5" customHeight="1" s="51">
      <c r="A5" s="72" t="inlineStr">
        <is>
          <t>Savings required payment</t>
        </is>
      </c>
      <c r="B5" s="73" t="inlineStr">
        <is>
          <t>=PMT(rate/12,years*12,0,fv)</t>
        </is>
      </c>
      <c r="C5" s="72" t="inlineStr">
        <is>
          <t>Finds the monthly deposit needed to reach a goal.</t>
        </is>
      </c>
      <c r="D5" s="74" t="inlineStr">
        <is>
          <t>Use fv as the goal and pv as zero if starting from zero.</t>
        </is>
      </c>
      <c r="E5" s="50" t="n"/>
    </row>
    <row r="6" ht="31.5" customHeight="1" s="51">
      <c r="A6" s="72" t="inlineStr">
        <is>
          <t>Future value with payments</t>
        </is>
      </c>
      <c r="B6" s="73" t="inlineStr">
        <is>
          <t>=FV(rate/12,years*12,-pmt,-pv)</t>
        </is>
      </c>
      <c r="C6" s="72" t="inlineStr">
        <is>
          <t>Projects savings with repeated deposits.</t>
        </is>
      </c>
      <c r="D6" s="74" t="inlineStr">
        <is>
          <t>Payments and starting balance are outflows.</t>
        </is>
      </c>
      <c r="E6" s="50" t="n"/>
    </row>
    <row r="7" ht="31.5" customHeight="1" s="51">
      <c r="A7" s="72" t="inlineStr">
        <is>
          <t>Annuity present value</t>
        </is>
      </c>
      <c r="B7" s="73" t="inlineStr">
        <is>
          <t>=PV(rate/12,years*12,pmt,0)</t>
        </is>
      </c>
      <c r="C7" s="72" t="inlineStr">
        <is>
          <t>Values a stream of equal payments today.</t>
        </is>
      </c>
      <c r="D7" s="74" t="inlineStr">
        <is>
          <t>Use the sign convention consistently.</t>
        </is>
      </c>
      <c r="E7" s="50" t="n"/>
    </row>
    <row r="8" ht="19.5" customHeight="1" s="51">
      <c r="B8" s="50" t="n"/>
      <c r="C8" s="50" t="n"/>
      <c r="D8" s="50" t="n"/>
      <c r="E8" s="50" t="n"/>
    </row>
    <row r="9" ht="19.5" customHeight="1" s="51">
      <c r="B9" s="50" t="n"/>
      <c r="C9" s="50" t="n"/>
      <c r="D9" s="50" t="n"/>
      <c r="E9" s="50" t="n"/>
    </row>
    <row r="10" ht="19.5" customHeight="1" s="51">
      <c r="B10" s="50" t="n"/>
      <c r="C10" s="50" t="n"/>
      <c r="D10" s="50" t="n"/>
      <c r="E10" s="50" t="n"/>
    </row>
    <row r="11" ht="7.5" customHeight="1" s="51"/>
    <row r="12" ht="21.75" customHeight="1" s="51">
      <c r="B12" s="50" t="n"/>
      <c r="C12" s="50" t="n"/>
      <c r="D12" s="50" t="n"/>
      <c r="E12" s="50" t="n"/>
    </row>
    <row r="13" ht="18" customHeight="1" s="51">
      <c r="B13" s="50" t="n"/>
      <c r="C13" s="50" t="n"/>
      <c r="D13" s="50" t="n"/>
      <c r="E13" s="50" t="n"/>
    </row>
    <row r="14" ht="19.5" customHeight="1" s="51">
      <c r="B14" s="50" t="n"/>
      <c r="C14" s="50" t="n"/>
      <c r="D14" s="50" t="n"/>
      <c r="E14" s="50" t="n"/>
    </row>
    <row r="15" ht="19.5" customHeight="1" s="51">
      <c r="B15" s="50" t="n"/>
      <c r="C15" s="50" t="n"/>
      <c r="D15" s="50" t="n"/>
      <c r="E15" s="50" t="n"/>
    </row>
    <row r="16" ht="19.5" customHeight="1" s="51">
      <c r="B16" s="50" t="n"/>
      <c r="C16" s="50" t="n"/>
      <c r="D16" s="50" t="n"/>
      <c r="E16" s="50" t="n"/>
    </row>
    <row r="17" ht="7.5" customHeight="1" s="51"/>
    <row r="18" ht="21.75" customHeight="1" s="51">
      <c r="B18" s="50" t="n"/>
      <c r="C18" s="50" t="n"/>
      <c r="D18" s="50" t="n"/>
      <c r="E18" s="50" t="n"/>
    </row>
    <row r="19" ht="18" customHeight="1" s="51">
      <c r="B19" s="50" t="n"/>
      <c r="C19" s="50" t="n"/>
      <c r="D19" s="50" t="n"/>
      <c r="E19" s="50" t="n"/>
    </row>
    <row r="20" ht="19.5" customHeight="1" s="51">
      <c r="B20" s="50" t="n"/>
      <c r="C20" s="50" t="n"/>
      <c r="D20" s="50" t="n"/>
      <c r="E20" s="50" t="n"/>
    </row>
    <row r="21" ht="19.5" customHeight="1" s="51">
      <c r="B21" s="50" t="n"/>
      <c r="C21" s="50" t="n"/>
      <c r="D21" s="50" t="n"/>
      <c r="E21" s="50" t="n"/>
    </row>
    <row r="22" ht="19.5" customHeight="1" s="51">
      <c r="B22" s="50" t="n"/>
      <c r="C22" s="50" t="n"/>
      <c r="D22" s="50" t="n"/>
      <c r="E22" s="50" t="n"/>
    </row>
    <row r="23" ht="19.5" customHeight="1" s="51">
      <c r="B23" s="50" t="n"/>
      <c r="C23" s="50" t="n"/>
      <c r="D23" s="50" t="n"/>
      <c r="E23" s="50" t="n"/>
    </row>
    <row r="24" ht="7.5" customHeight="1" s="5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