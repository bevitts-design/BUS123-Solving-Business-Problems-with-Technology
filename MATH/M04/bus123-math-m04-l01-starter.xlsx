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0a2f0d78074a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7af9b6c84c2c4ef1"/>
    <x:sheet xmlns:r="http://schemas.openxmlformats.org/officeDocument/2006/relationships" name="Live You Try It" sheetId="2" r:id="Rc86a44164caf44a6"/>
    <x:sheet xmlns:r="http://schemas.openxmlformats.org/officeDocument/2006/relationships" name="Class Challenge" sheetId="3" r:id="R79a4582894a64164"/>
    <x:sheet xmlns:r="http://schemas.openxmlformats.org/officeDocument/2006/relationships" name="FormulaReferenceCard" sheetId="4" r:id="R521c3346877341c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164" formatCode="$#,##0.00"/>
    <x:numFmt numFmtId="165" formatCode="$#,##0"/>
    <x:numFmt numFmtId="166" formatCode="0.0%"/>
  </x:numFmts>
  <x:fonts count="11">
    <x:font>
      <x:sz val="11"/>
      <x:color theme="1"/>
      <x:name val="Calibri"/>
    </x:font>
    <x:font>
      <x:b/>
      <x:sz val="18"/>
      <x:color rgb="FFFFFFFF"/>
      <x:name val="Aptos Display"/>
    </x:font>
    <x:font>
      <x:i/>
      <x:sz val="12"/>
      <x:color rgb="FF1A1F2C"/>
      <x:name val="Aptos"/>
    </x:font>
    <x:font>
      <x:sz val="11"/>
      <x:color rgb="FF4A5567"/>
      <x:name val="Aptos"/>
    </x:font>
    <x:font>
      <x:sz val="11"/>
      <x:color rgb="FF1A1F2C"/>
      <x:name val="Aptos"/>
    </x:font>
    <x:font>
      <x:b/>
      <x:color rgb="FFFFFFFF"/>
      <x:name val="Aptos"/>
    </x:font>
    <x:font>
      <x:b/>
      <x:color rgb="FF4A7C5E"/>
      <x:name val="Aptos"/>
    </x:font>
    <x:font>
      <x:b/>
      <x:color rgb="FF355773"/>
      <x:name val="Consolas"/>
    </x:font>
    <x:font>
      <x:b/>
      <x:sz val="11"/>
      <x:color rgb="FFB8843D"/>
      <x:name val="Calibri"/>
    </x:font>
    <x:font>
      <x:sz val="11"/>
      <x:color rgb="FF1A1F2C"/>
      <x:name val="Calibri"/>
    </x:font>
    <x:font>
      <x:b/>
      <x:sz val="11"/>
      <x:color rgb="FF355773"/>
      <x:name val="Calibri"/>
    </x:font>
  </x:fonts>
  <x:fills count="17">
    <x:fill>
      <x:patternFill patternType="none"/>
    </x:fill>
    <x:fill>
      <x:patternFill patternType="gray125"/>
    </x:fill>
    <x:fill>
      <x:patternFill patternType="solid">
        <x:fgColor rgb="FF0E1116"/>
      </x:patternFill>
    </x:fill>
    <x:fill>
      <x:patternFill patternType="solid">
        <x:fgColor rgb="FFFAF8F3"/>
      </x:patternFill>
    </x:fill>
    <x:fill>
      <x:patternFill patternType="solid">
        <x:fgColor rgb="FFF2EEE5"/>
      </x:patternFill>
    </x:fill>
    <x:fill>
      <x:patternFill patternType="solid">
        <x:fgColor rgb="FF355773"/>
      </x:patternFill>
    </x:fill>
    <x:fill>
      <x:patternFill patternType="solid">
        <x:fgColor rgb="FFFFF3C4"/>
      </x:patternFill>
    </x:fill>
    <x:fill>
      <x:patternFill patternType="solid">
        <x:fgColor rgb="FFDCEBFF"/>
      </x:patternFill>
    </x:fill>
    <x:fill>
      <x:patternFill patternType="solid">
        <x:fgColor rgb="FFEAF3EC"/>
      </x:patternFill>
    </x:fill>
    <x:fill>
      <x:patternFill patternType="solid">
        <x:fgColor rgb="FF0E1116"/>
      </x:patternFill>
    </x:fill>
    <x:fill>
      <x:patternFill patternType="solid">
        <x:fgColor rgb="FFFFFFFF"/>
      </x:patternFill>
    </x:fill>
    <x:fill>
      <x:patternFill patternType="solid">
        <x:fgColor rgb="FFEAF3EC"/>
      </x:patternFill>
    </x:fill>
    <x:fill>
      <x:patternFill patternType="solid">
        <x:fgColor rgb="FFF2EEE5"/>
      </x:patternFill>
    </x:fill>
    <x:fill>
      <x:patternFill patternType="solid">
        <x:fgColor rgb="FF0E1116"/>
      </x:patternFill>
    </x:fill>
    <x:fill>
      <x:patternFill patternType="solid">
        <x:fgColor rgb="FFFFFFFF"/>
      </x:patternFill>
    </x:fill>
    <x:fill>
      <x:patternFill patternType="solid">
        <x:fgColor rgb="FFEAF3EC"/>
      </x:patternFill>
    </x:fill>
    <x:fill>
      <x:patternFill patternType="solid">
        <x:fgColor rgb="FFF2EEE5"/>
      </x:patternFill>
    </x:fill>
  </x:fills>
  <x:borders count="9">
    <x:border/>
    <x:border>
      <x:top style="thin">
        <x:color rgb="FFE5E1D6"/>
      </x:top>
      <x:bottom style="thin">
        <x:color rgb="FFE5E1D6"/>
      </x:bottom>
    </x:border>
    <x:border>
      <x:bottom style="thin">
        <x:color rgb="FFE5E1D6"/>
      </x:bottom>
    </x:border>
    <x:border>
      <x:bottom style="thin">
        <x:color rgb="FFE5E1D6"/>
      </x:bottom>
    </x:border>
    <x:border>
      <x:bottom style="thin">
        <x:color rgb="FFE5E1D6"/>
      </x:bottom>
    </x:border>
    <x:border>
      <x:left style="medium">
        <x:color rgb="FFB8843D"/>
      </x:left>
      <x:bottom style="thin">
        <x:color rgb="FFE5E1D6"/>
      </x:bottom>
    </x:border>
    <x:border>
      <x:left style="medium">
        <x:color rgb="FF4A7C5E"/>
      </x:left>
      <x:bottom style="thin">
        <x:color rgb="FFE5E1D6"/>
      </x:bottom>
    </x:border>
    <x:border/>
    <x:border>
      <x:left style="thin">
        <x:color rgb="FFE5E1D6"/>
      </x:left>
      <x:right style="thin">
        <x:color rgb="FFE5E1D6"/>
      </x:right>
      <x:top style="thin">
        <x:color rgb="FFE5E1D6"/>
      </x:top>
      <x:bottom style="thin">
        <x:color rgb="FFE5E1D6"/>
      </x:bottom>
    </x:border>
  </x:borders>
  <x:cellStyleXfs count="1">
    <x:xf numFmtId="0" fontId="0" fillId="0" borderId="7"/>
  </x:cellStyleXfs>
  <x:cellXfs count="51">
    <x:xf numFmtId="0" fontId="0" fillId="0" borderId="0" xfId="0"/>
    <x:xf numFmtId="0" fontId="4" fillId="2" borderId="0" xfId="0" applyAlignment="1">
      <x:alignment vertical="top" wrapText="1"/>
    </x:xf>
    <x:xf numFmtId="0" fontId="4" fillId="0" borderId="0" xfId="0" applyAlignment="1">
      <x:alignment vertical="top" wrapText="1"/>
    </x:xf>
    <x:xf numFmtId="0" fontId="4" fillId="3" borderId="0" xfId="0" applyAlignment="1">
      <x:alignment vertical="top" wrapText="1"/>
    </x:xf>
    <x:xf numFmtId="0" fontId="4" fillId="4" borderId="0" xfId="0" applyAlignment="1">
      <x:alignment vertical="top" wrapText="1"/>
    </x:xf>
    <x:xf numFmtId="0" fontId="5" fillId="5" borderId="1" xfId="0" applyAlignment="1">
      <x:alignment horizontal="center" vertical="center" wrapText="1"/>
    </x:xf>
    <x:xf numFmtId="0" fontId="4" fillId="0" borderId="2" xfId="0" applyAlignment="1">
      <x:alignment vertical="top" wrapText="1"/>
    </x:xf>
    <x:xf numFmtId="0" fontId="4" fillId="0" borderId="3" xfId="0" applyAlignment="1">
      <x:alignment vertical="top" wrapText="1"/>
    </x:xf>
    <x:xf numFmtId="0" fontId="0" fillId="0" borderId="4" xfId="0"/>
    <x:xf numFmtId="0" fontId="6" fillId="4" borderId="2" xfId="0" applyAlignment="1">
      <x:alignment vertical="top" wrapText="1"/>
    </x:xf>
    <x:xf numFmtId="0" fontId="0" fillId="0" borderId="2" xfId="0" applyAlignment="1">
      <x:alignment vertical="top" wrapText="1"/>
    </x:xf>
    <x:xf numFmtId="0" fontId="4" fillId="5" borderId="1" xfId="0" applyAlignment="1">
      <x:alignment vertical="top" wrapText="1"/>
    </x:xf>
    <x:xf numFmtId="164" fontId="4" fillId="6" borderId="5" xfId="0" applyAlignment="1">
      <x:alignment vertical="top" wrapText="1"/>
    </x:xf>
    <x:xf numFmtId="9" fontId="4" fillId="6" borderId="5" xfId="0" applyAlignment="1">
      <x:alignment vertical="top" wrapText="1"/>
    </x:xf>
    <x:xf numFmtId="164" fontId="4" fillId="7" borderId="6" xfId="0" applyAlignment="1">
      <x:alignment vertical="top" wrapText="1"/>
    </x:xf>
    <x:xf numFmtId="0" fontId="4" fillId="8" borderId="6" xfId="0" applyAlignment="1">
      <x:alignment vertical="top" wrapText="1"/>
    </x:xf>
    <x:xf numFmtId="165" fontId="4" fillId="6" borderId="5" xfId="0" applyAlignment="1">
      <x:alignment vertical="top" wrapText="1"/>
    </x:xf>
    <x:xf numFmtId="164" fontId="0" fillId="7" borderId="6" xfId="0"/>
    <x:xf numFmtId="0" fontId="0" fillId="8" borderId="6" xfId="0"/>
    <x:xf numFmtId="1" fontId="0" fillId="7" borderId="6" xfId="0"/>
    <x:xf numFmtId="1" fontId="4" fillId="7" borderId="6" xfId="0" applyAlignment="1">
      <x:alignment vertical="top" wrapText="1"/>
    </x:xf>
    <x:xf numFmtId="0" fontId="7" fillId="8" borderId="2" xfId="0" applyAlignment="1">
      <x:alignment vertical="top" wrapText="1"/>
    </x:xf>
    <x:xf numFmtId="0" fontId="0" fillId="0" borderId="3" xfId="0" applyAlignment="1">
      <x:alignment vertical="top" wrapText="1"/>
    </x:xf>
    <x:xf numFmtId="166" fontId="4" fillId="7" borderId="6" xfId="0" applyAlignment="1">
      <x:alignment vertical="top" wrapText="1"/>
    </x:xf>
    <x:xf numFmtId="0" fontId="0" fillId="9" borderId="0" xfId="0"/>
    <x:xf numFmtId="0" fontId="8" fillId="9" borderId="0" xfId="0"/>
    <x:xf numFmtId="0" fontId="8" fillId="9" borderId="0" xfId="0" applyAlignment="1">
      <x:alignment wrapText="1"/>
    </x:xf>
    <x:xf numFmtId="0" fontId="0" fillId="10" borderId="0" xfId="0"/>
    <x:xf numFmtId="0" fontId="9" fillId="10" borderId="0" xfId="0"/>
    <x:xf numFmtId="0" fontId="9" fillId="10" borderId="8" xfId="0"/>
    <x:xf numFmtId="0" fontId="9" fillId="10" borderId="8" xfId="0" applyAlignment="1">
      <x:alignment wrapText="1"/>
    </x:xf>
    <x:xf numFmtId="0" fontId="9" fillId="11" borderId="8" xfId="0" applyAlignment="1">
      <x:alignment wrapText="1"/>
    </x:xf>
    <x:xf numFmtId="0" fontId="10" fillId="11" borderId="8" xfId="0" applyAlignment="1">
      <x:alignment wrapText="1"/>
    </x:xf>
    <x:xf numFmtId="0" fontId="9" fillId="12" borderId="8" xfId="0" applyAlignment="1">
      <x:alignment wrapText="1"/>
    </x:xf>
    <x:xf numFmtId="0" fontId="0" fillId="13" borderId="0" xfId="0"/>
    <x:xf numFmtId="0" fontId="8" fillId="13" borderId="0" xfId="0"/>
    <x:xf numFmtId="0" fontId="8" fillId="13" borderId="8" xfId="0"/>
    <x:xf numFmtId="0" fontId="8" fillId="13" borderId="8" xfId="0" applyAlignment="1">
      <x:alignment wrapText="1"/>
    </x:xf>
    <x:xf numFmtId="0" fontId="0" fillId="14" borderId="0" xfId="0"/>
    <x:xf numFmtId="0" fontId="9" fillId="14" borderId="0" xfId="0"/>
    <x:xf numFmtId="0" fontId="9" fillId="14" borderId="8" xfId="0"/>
    <x:xf numFmtId="0" fontId="9" fillId="14" borderId="8" xfId="0" applyAlignment="1">
      <x:alignment wrapText="1"/>
    </x:xf>
    <x:xf numFmtId="0" fontId="9" fillId="15" borderId="8" xfId="0" applyAlignment="1">
      <x:alignment wrapText="1"/>
    </x:xf>
    <x:xf numFmtId="0" fontId="10" fillId="15" borderId="8" xfId="0" applyAlignment="1">
      <x:alignment wrapText="1"/>
    </x:xf>
    <x:xf numFmtId="0" fontId="9" fillId="16" borderId="8" xfId="0" applyAlignment="1">
      <x:alignment wrapText="1"/>
    </x:xf>
    <x:xf numFmtId="0" fontId="4" fillId="2" borderId="7" xfId="0" applyAlignment="1">
      <x:alignment vertical="top" wrapText="1"/>
    </x:xf>
    <x:xf numFmtId="0" fontId="0" fillId="0" borderId="7" xfId="0"/>
    <x:xf numFmtId="0" fontId="4" fillId="3" borderId="7" xfId="0" applyAlignment="1">
      <x:alignment vertical="top" wrapText="1"/>
    </x:xf>
    <x:xf numFmtId="0" fontId="4" fillId="4" borderId="7" xfId="0" applyAlignment="1">
      <x:alignment vertical="top" wrapText="1"/>
    </x:xf>
    <x:xf numFmtId="0" fontId="4" fillId="0" borderId="4" xfId="0" applyAlignment="1">
      <x:alignment vertical="top" wrapText="1"/>
    </x:xf>
    <x:xf numFmtId="0" fontId="0" fillId="0" borderId="4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4c7d7bb2404c6c" /><Relationship Type="http://schemas.openxmlformats.org/officeDocument/2006/relationships/theme" Target="/xl/theme/theme1.xml" Id="Rd54285d9ebc046d9" /><Relationship Type="http://schemas.openxmlformats.org/officeDocument/2006/relationships/sharedStrings" Target="/xl/sharedStrings.xml" Id="R6b3e92ace6134ee4" /><Relationship Type="http://schemas.openxmlformats.org/officeDocument/2006/relationships/worksheet" Target="/xl/worksheets/sheet1.xml" Id="R7af9b6c84c2c4ef1" /><Relationship Type="http://schemas.openxmlformats.org/officeDocument/2006/relationships/worksheet" Target="/xl/worksheets/sheet2.xml" Id="Rc86a44164caf44a6" /><Relationship Type="http://schemas.openxmlformats.org/officeDocument/2006/relationships/worksheet" Target="/xl/worksheets/sheet3.xml" Id="R79a4582894a64164" /><Relationship Type="http://schemas.openxmlformats.org/officeDocument/2006/relationships/worksheet" Target="/xl/worksheets/sheet4.xml" Id="R521c3346877341ca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42" customWidth="1"/>
    <x:col min="3" max="3" width="18" customWidth="1"/>
    <x:col min="4" max="4" width="22" customWidth="1"/>
    <x:col min="5" max="5" width="34" customWidth="1"/>
    <x:col min="6" max="6" width="34" customWidth="1"/>
  </x:cols>
  <x:sheetData>
    <x:row r="1" ht="30" customHeight="1">
      <x:c r="A1" s="45" t="inlineStr">
        <x:is>
          <x:t xml:space="preserve">Anchor &amp; Oak Pricing Lab</x:t>
        </x:is>
      </x:c>
      <x:c r="B1" s="46" t="n"/>
      <x:c r="C1" s="46" t="n"/>
      <x:c r="D1" s="46" t="n"/>
      <x:c r="E1" s="46" t="n"/>
      <x:c r="F1" s="46" t="n"/>
    </x:row>
    <x:row r="2" ht="24" customHeight="1">
      <x:c r="A2" s="47" t="inlineStr">
        <x:is>
          <x:t xml:space="preserve">BUS123 MATH M04 L01 - Markups, Markdowns, and Break-Even</x:t>
        </x:is>
      </x:c>
      <x:c r="B2" s="46" t="n"/>
      <x:c r="C2" s="46" t="n"/>
      <x:c r="D2" s="46" t="n"/>
      <x:c r="E2" s="46" t="n"/>
      <x:c r="F2" s="46" t="n"/>
    </x:row>
    <x:row r="3" ht="42" customHeight="1">
      <x:c r="A3" s="48" t="inlineStr">
        <x:is>
          <x:t xml:space="preserve">Live You Try It is self-graded with hints and feedback. Class Challenge is the graded or next-level activity.</x:t>
        </x:is>
      </x:c>
      <x:c r="B3" s="46" t="n"/>
      <x:c r="C3" s="46" t="n"/>
      <x:c r="D3" s="46" t="n"/>
      <x:c r="E3" s="46" t="n"/>
      <x:c r="F3" s="46" t="n"/>
    </x:row>
    <x:row r="4" ht="28" customHeight="1">
      <x:c r="A4" s="5" t="inlineStr">
        <x:is>
          <x:t xml:space="preserve">Step</x:t>
        </x:is>
      </x:c>
      <x:c r="B4" s="5" t="inlineStr">
        <x:is>
          <x:t xml:space="preserve">Student move</x:t>
        </x:is>
      </x:c>
      <x:c r="C4" s="5" t="inlineStr">
        <x:is>
          <x:t xml:space="preserve"/>
        </x:is>
      </x:c>
      <x:c r="D4" s="5" t="inlineStr">
        <x:is>
          <x:t xml:space="preserve"/>
        </x:is>
      </x:c>
      <x:c r="E4" s="5" t="inlineStr">
        <x:is>
          <x:t xml:space="preserve"/>
        </x:is>
      </x:c>
      <x:c r="F4" s="5" t="inlineStr">
        <x:is>
          <x:t xml:space="preserve"/>
        </x:is>
      </x:c>
    </x:row>
    <x:row r="5" ht="36" customHeight="1">
      <x:c r="A5" s="6" t="inlineStr">
        <x:is>
          <x:t xml:space="preserve">What to do first</x:t>
        </x:is>
      </x:c>
      <x:c r="B5" s="49" t="inlineStr">
        <x:is>
          <x:t xml:space="preserve">Open the Live You Try It tab during the slide pauses. Use the exact numbers from the worked examples.</x:t>
        </x:is>
      </x:c>
      <x:c r="C5" s="8" t="n"/>
      <x:c r="D5" s="8" t="n"/>
      <x:c r="E5" s="8" t="n"/>
      <x:c r="F5" s="8" t="n"/>
    </x:row>
    <x:row r="6" ht="36" customHeight="1">
      <x:c r="A6" s="6" t="inlineStr">
        <x:is>
          <x:t xml:space="preserve">Self-grade live practice</x:t>
        </x:is>
      </x:c>
      <x:c r="B6" s="49" t="inlineStr">
        <x:is>
          <x:t xml:space="preserve">Use the hint and feedback cells to check your formula logic before moving on.</x:t>
        </x:is>
      </x:c>
      <x:c r="C6" s="8" t="n"/>
      <x:c r="D6" s="8" t="n"/>
      <x:c r="E6" s="8" t="n"/>
      <x:c r="F6" s="8" t="n"/>
    </x:row>
    <x:row r="7" ht="36" customHeight="1">
      <x:c r="A7" s="6" t="inlineStr">
        <x:is>
          <x:t xml:space="preserve">Then level up</x:t>
        </x:is>
      </x:c>
      <x:c r="B7" s="49" t="inlineStr">
        <x:is>
          <x:t xml:space="preserve">Use the Class Challenge tab for harder scenarios that combine markup, markdown, and break-even.</x:t>
        </x:is>
      </x:c>
      <x:c r="C7" s="8" t="n"/>
      <x:c r="D7" s="8" t="n"/>
      <x:c r="E7" s="8" t="n"/>
      <x:c r="F7" s="8" t="n"/>
    </x:row>
    <x:row r="8" ht="36" customHeight="1">
      <x:c r="A8" s="6" t="inlineStr">
        <x:is>
          <x:t xml:space="preserve">Remember</x:t>
        </x:is>
      </x:c>
      <x:c r="B8" s="49" t="inlineStr">
        <x:is>
          <x:t xml:space="preserve">Name the base first: cost, original selling price, or contribution margin.</x:t>
        </x:is>
      </x:c>
      <x:c r="C8" s="8" t="n"/>
      <x:c r="D8" s="8" t="n"/>
      <x:c r="E8" s="8" t="n"/>
      <x:c r="F8" s="8" t="n"/>
    </x:row>
    <x:row r="10" ht="36" customHeight="1">
      <x:c r="A10" s="9" t="inlineStr">
        <x:is>
          <x:t xml:space="preserve">Learning Targets</x:t>
        </x:is>
      </x:c>
      <x:c r="B10" s="10" t="n"/>
      <x:c r="C10" s="10" t="n"/>
      <x:c r="D10" s="10" t="n"/>
      <x:c r="E10" s="10" t="n"/>
      <x:c r="F10" s="10" t="n"/>
    </x:row>
    <x:row r="11" ht="36" customHeight="1">
      <x:c r="A11" s="10" t="inlineStr">
        <x:is>
          <x:t xml:space="preserve">I can</x:t>
        </x:is>
      </x:c>
      <x:c r="B11" s="50" t="inlineStr">
        <x:is>
          <x:t xml:space="preserve">Calculate markup based on cost and selling price.</x:t>
        </x:is>
      </x:c>
      <x:c r="C11" s="8" t="n"/>
      <x:c r="D11" s="8" t="n"/>
      <x:c r="E11" s="8" t="n"/>
      <x:c r="F11" s="8" t="n"/>
    </x:row>
    <x:row r="12" ht="36" customHeight="1">
      <x:c r="A12" s="10" t="inlineStr">
        <x:is>
          <x:t xml:space="preserve">I can</x:t>
        </x:is>
      </x:c>
      <x:c r="B12" s="50" t="inlineStr">
        <x:is>
          <x:t xml:space="preserve">Calculate markdowns from original selling price.</x:t>
        </x:is>
      </x:c>
      <x:c r="C12" s="8" t="n"/>
      <x:c r="D12" s="8" t="n"/>
      <x:c r="E12" s="8" t="n"/>
      <x:c r="F12" s="8" t="n"/>
    </x:row>
    <x:row r="13" ht="36" customHeight="1">
      <x:c r="A13" s="10" t="inlineStr">
        <x:is>
          <x:t xml:space="preserve">I can</x:t>
        </x:is>
      </x:c>
      <x:c r="B13" s="50" t="inlineStr">
        <x:is>
          <x:t xml:space="preserve">Use contribution margin to estimate break-even units.</x:t>
        </x:is>
      </x:c>
      <x:c r="C13" s="8" t="n"/>
      <x:c r="D13" s="8" t="n"/>
      <x:c r="E13" s="8" t="n"/>
      <x:c r="F13" s="8" t="n"/>
    </x:row>
    <x:row r="14" ht="36" customHeight="1">
      <x:c r="A14" s="10" t="inlineStr">
        <x:is>
          <x:t xml:space="preserve">I can</x:t>
        </x:is>
      </x:c>
      <x:c r="B14" s="50" t="inlineStr">
        <x:is>
          <x:t xml:space="preserve">Explain how pricing assumptions affect an event decision.</x:t>
        </x:is>
      </x:c>
      <x:c r="C14" s="8" t="n"/>
      <x:c r="D14" s="8" t="n"/>
      <x:c r="E14" s="8" t="n"/>
      <x:c r="F14" s="8" t="n"/>
    </x:row>
  </x:sheetData>
  <x:mergeCells>
    <x:mergeCell ref="A2:F2"/>
    <x:mergeCell ref="B12:F12"/>
    <x:mergeCell ref="B7:F7"/>
    <x:mergeCell ref="B6:F6"/>
    <x:mergeCell ref="A1:F1"/>
    <x:mergeCell ref="B11:F11"/>
    <x:mergeCell ref="B5:F5"/>
    <x:mergeCell ref="B14:F14"/>
    <x:mergeCell ref="A3:F3"/>
    <x:mergeCell ref="B8:F8"/>
    <x:mergeCell ref="B13:F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42" customWidth="1"/>
    <x:col min="3" max="3" width="18" customWidth="1"/>
    <x:col min="4" max="4" width="22" customWidth="1"/>
    <x:col min="5" max="5" width="34" customWidth="1"/>
    <x:col min="6" max="6" width="34" customWidth="1"/>
  </x:cols>
  <x:sheetData>
    <x:row r="1" ht="30" customHeight="1">
      <x:c r="A1" s="45" t="inlineStr">
        <x:is>
          <x:t xml:space="preserve">Live You Try It</x:t>
        </x:is>
      </x:c>
      <x:c r="B1" s="46" t="n"/>
      <x:c r="C1" s="46" t="n"/>
      <x:c r="D1" s="46" t="n"/>
      <x:c r="E1" s="46" t="n"/>
      <x:c r="F1" s="46" t="n"/>
    </x:row>
    <x:row r="2" ht="24" customHeight="1">
      <x:c r="A2" s="47" t="inlineStr">
        <x:is>
          <x:t xml:space="preserve">Self-graded practice using the exact numbers from the slides</x:t>
        </x:is>
      </x:c>
      <x:c r="B2" s="46" t="n"/>
      <x:c r="C2" s="46" t="n"/>
      <x:c r="D2" s="46" t="n"/>
      <x:c r="E2" s="46" t="n"/>
      <x:c r="F2" s="46" t="n"/>
    </x:row>
    <x:row r="3" ht="42" customHeight="1">
      <x:c r="A3" s="48" t="inlineStr">
        <x:is>
          <x:t xml:space="preserve">Enter yellow inputs, build blue formulas, then read the green feedback. These cells are for learning, not private grading.</x:t>
        </x:is>
      </x:c>
      <x:c r="B3" s="46" t="n"/>
      <x:c r="C3" s="46" t="n"/>
      <x:c r="D3" s="46" t="n"/>
      <x:c r="E3" s="46" t="n"/>
      <x:c r="F3" s="46" t="n"/>
    </x:row>
    <x:row r="4" ht="28" customHeight="1">
      <x:c r="A4" s="11" t="inlineStr">
        <x:is>
          <x:t xml:space="preserve">Pause</x:t>
        </x:is>
      </x:c>
      <x:c r="B4" s="11" t="inlineStr">
        <x:is>
          <x:t xml:space="preserve">What to model</x:t>
        </x:is>
      </x:c>
      <x:c r="C4" s="11" t="inlineStr">
        <x:is>
          <x:t xml:space="preserve">Input / Formula</x:t>
        </x:is>
      </x:c>
      <x:c r="D4" s="11" t="inlineStr">
        <x:is>
          <x:t xml:space="preserve">Your result</x:t>
        </x:is>
      </x:c>
      <x:c r="E4" s="11" t="inlineStr">
        <x:is>
          <x:t xml:space="preserve">Hint</x:t>
        </x:is>
      </x:c>
      <x:c r="F4" s="11" t="inlineStr">
        <x:is>
          <x:t xml:space="preserve">Feedback</x:t>
        </x:is>
      </x:c>
    </x:row>
    <x:row r="5" ht="36" customHeight="1">
      <x:c r="A5" s="6" t="inlineStr">
        <x:is>
          <x:t xml:space="preserve">Markup</x:t>
        </x:is>
      </x:c>
      <x:c r="B5" s="6" t="inlineStr">
        <x:is>
          <x:t xml:space="preserve">Cost from slide</x:t>
        </x:is>
      </x:c>
      <x:c r="C5" s="12" t="n">
        <x:v>18</x:v>
      </x:c>
      <x:c r="D5" s="6" t="n"/>
      <x:c r="E5" s="6" t="str">
        <x:v>Use the tasting box cost from the worked example.</x:v>
      </x:c>
      <x:c r="F5" s="6" t="n"/>
    </x:row>
    <x:row r="6" ht="36" customHeight="1">
      <x:c r="A6" s="6" t="inlineStr">
        <x:is>
          <x:t xml:space="preserve">Markup</x:t>
        </x:is>
      </x:c>
      <x:c r="B6" s="6" t="inlineStr">
        <x:is>
          <x:t xml:space="preserve">Markup rate from slide</x:t>
        </x:is>
      </x:c>
      <x:c r="C6" s="13" t="n">
        <x:v>0.45</x:v>
      </x:c>
      <x:c r="D6" s="6" t="n"/>
      <x:c r="E6" s="6" t="inlineStr">
        <x:is>
          <x:t xml:space="preserve">Enter 45% as a percent.</x:t>
        </x:is>
      </x:c>
      <x:c r="F6" s="6" t="n"/>
    </x:row>
    <x:row r="7" ht="36" customHeight="1">
      <x:c r="A7" s="6" t="inlineStr">
        <x:is>
          <x:t xml:space="preserve">Markup</x:t>
        </x:is>
      </x:c>
      <x:c r="B7" s="6" t="inlineStr">
        <x:is>
          <x:t xml:space="preserve">Selling price</x:t>
        </x:is>
      </x:c>
      <x:c r="C7" s="6" t="n"/>
      <x:c r="D7" s="14" t="n"/>
      <x:c r="E7" s="6" t="inlineStr">
        <x:is>
          <x:t xml:space="preserve">Cost x (1 + Markup Rate)</x:t>
        </x:is>
      </x:c>
      <x:c r="F7" s="15" t="str">
        <x:f>IF(ABS(D7-26.1)&lt;0.01,"Correct: markup builds from $18.00 to $26.10.","Check the base: use cost, then multiply by 1 + markup rate.")</x:f>
        <x:v>Check the base: use cost, then multiply by 1 + markup rate.</x:v>
      </x:c>
    </x:row>
    <x:row r="8" ht="36" customHeight="1">
      <x:c r="A8" s="6" t="inlineStr">
        <x:is>
          <x:t xml:space="preserve">Markdown</x:t>
        </x:is>
      </x:c>
      <x:c r="B8" s="6" t="inlineStr">
        <x:is>
          <x:t xml:space="preserve">Original price from slide</x:t>
        </x:is>
      </x:c>
      <x:c r="C8" s="6" t="n">
        <x:v>52</x:v>
      </x:c>
      <x:c r="D8" s="6" t="n"/>
      <x:c r="E8" s="6" t="inlineStr">
        <x:is>
          <x:t xml:space="preserve">Use the original selling price before the discount.</x:t>
        </x:is>
      </x:c>
      <x:c r="F8" s="6" t="n"/>
    </x:row>
    <x:row r="9" ht="36" customHeight="1">
      <x:c r="A9" s="6" t="inlineStr">
        <x:is>
          <x:t xml:space="preserve">Markdown</x:t>
        </x:is>
      </x:c>
      <x:c r="B9" s="6" t="inlineStr">
        <x:is>
          <x:t xml:space="preserve">Markdown rate from slide</x:t>
        </x:is>
      </x:c>
      <x:c r="C9" s="12" t="n">
        <x:v>0.2</x:v>
      </x:c>
      <x:c r="D9" s="6" t="n"/>
      <x:c r="E9" s="6" t="inlineStr">
        <x:is>
          <x:t xml:space="preserve">Enter 20% as a percent.</x:t>
        </x:is>
      </x:c>
      <x:c r="F9" s="6" t="n"/>
    </x:row>
    <x:row r="10" ht="36" customHeight="1">
      <x:c r="A10" s="6" t="inlineStr">
        <x:is>
          <x:t xml:space="preserve">Markdown</x:t>
        </x:is>
      </x:c>
      <x:c r="B10" s="6" t="inlineStr">
        <x:is>
          <x:t xml:space="preserve">Sale price</x:t>
        </x:is>
      </x:c>
      <x:c r="C10" s="13" t="n"/>
      <x:c r="D10" s="6" t="n"/>
      <x:c r="E10" s="6" t="inlineStr">
        <x:is>
          <x:t xml:space="preserve">Original Price x (1 - Markdown Rate)</x:t>
        </x:is>
      </x:c>
      <x:c r="F10" s="6" t="str">
        <x:f>IF(ABS(D10-41.6)&lt;0.01,"Correct: the markdown price is $41.60.","Check the base: markdown starts from original price, not cost.")</x:f>
        <x:v>Check the base: markdown starts from original price, not cost.</x:v>
      </x:c>
    </x:row>
    <x:row r="11" ht="36" customHeight="1">
      <x:c r="A11" s="6" t="inlineStr">
        <x:is>
          <x:t xml:space="preserve">Break-even</x:t>
        </x:is>
      </x:c>
      <x:c r="B11" s="6" t="inlineStr">
        <x:is>
          <x:t xml:space="preserve">Fixed costs from slide</x:t>
        </x:is>
      </x:c>
      <x:c r="C11" s="6" t="n">
        <x:v>3600</x:v>
      </x:c>
      <x:c r="D11" s="14" t="n"/>
      <x:c r="E11" s="6" t="inlineStr">
        <x:is>
          <x:t xml:space="preserve">Fixed costs stay the same across guests.</x:t>
        </x:is>
      </x:c>
      <x:c r="F11" s="15" t="n"/>
    </x:row>
    <x:row r="12" ht="36" customHeight="1">
      <x:c r="A12" s="6" t="inlineStr">
        <x:is>
          <x:t xml:space="preserve">Break-even</x:t>
        </x:is>
      </x:c>
      <x:c r="B12" s="6" t="inlineStr">
        <x:is>
          <x:t xml:space="preserve">Selling price from slide</x:t>
        </x:is>
      </x:c>
      <x:c r="C12" s="6" t="n">
        <x:v>48</x:v>
      </x:c>
      <x:c r="D12" s="6" t="n"/>
      <x:c r="E12" s="6" t="inlineStr">
        <x:is>
          <x:t xml:space="preserve">Ticket price per guest.</x:t>
        </x:is>
      </x:c>
      <x:c r="F12" s="6" t="n"/>
    </x:row>
    <x:row r="13" ht="36" customHeight="1">
      <x:c r="A13" s="6" t="inlineStr">
        <x:is>
          <x:t xml:space="preserve">Break-even</x:t>
        </x:is>
      </x:c>
      <x:c r="B13" s="6" t="inlineStr">
        <x:is>
          <x:t xml:space="preserve">Variable cost from slide</x:t>
        </x:is>
      </x:c>
      <x:c r="C13" s="16" t="n">
        <x:v>27</x:v>
      </x:c>
      <x:c r="D13" s="6" t="n"/>
      <x:c r="E13" s="6" t="inlineStr">
        <x:is>
          <x:t xml:space="preserve">Cost that moves with each guest.</x:t>
        </x:is>
      </x:c>
      <x:c r="F13" s="6" t="n"/>
    </x:row>
    <x:row r="14" ht="36" customHeight="1">
      <x:c r="A14" s="6" t="inlineStr">
        <x:is>
          <x:t xml:space="preserve">Break-even</x:t>
        </x:is>
      </x:c>
      <x:c r="B14" s="6" t="inlineStr">
        <x:is>
          <x:t xml:space="preserve">Contribution margin</x:t>
        </x:is>
      </x:c>
      <x:c r="C14" s="16" t="n"/>
      <x:c r="D14" s="6" t="n"/>
      <x:c r="E14" s="6" t="inlineStr">
        <x:is>
          <x:t xml:space="preserve">Selling price - variable cost</x:t>
        </x:is>
      </x:c>
      <x:c r="F14" s="6" t="str">
        <x:f>IF(ABS(D14-21)&lt;0.01,"Correct: each guest contributes $21 before fixed costs.","Calculate contribution margin before break-even.")</x:f>
        <x:v>Calculate contribution margin before break-even.</x:v>
      </x:c>
    </x:row>
    <x:row r="15" ht="36" customHeight="1">
      <x:c r="A15" s="6" t="inlineStr">
        <x:is>
          <x:t xml:space="preserve">Break-even</x:t>
        </x:is>
      </x:c>
      <x:c r="B15" s="6" t="inlineStr">
        <x:is>
          <x:t xml:space="preserve">Break-even guests</x:t>
        </x:is>
      </x:c>
      <x:c r="C15" s="16" t="n"/>
      <x:c r="D15" s="6" t="n"/>
      <x:c r="E15" s="6" t="inlineStr">
        <x:is>
          <x:t xml:space="preserve">Fixed costs ÷ contribution margin; round up.</x:t>
        </x:is>
      </x:c>
      <x:c r="F15" s="6" t="str">
        <x:f>IF(D15=172,"Correct: Anchor &amp; Oak needs 172 guests to break even.","Round up because the event cannot sell part of a guest.")</x:f>
        <x:v>Round up because the event cannot sell part of a guest.</x:v>
      </x:c>
    </x:row>
    <x:row r="16">
      <x:c r="D16" s="17" t="n"/>
      <x:c r="F16" s="18" t="n"/>
    </x:row>
    <x:row r="17">
      <x:c r="D17" s="19" t="n"/>
      <x:c r="F17" s="18" t="n"/>
    </x:row>
  </x:sheetData>
  <x:mergeCells>
    <x:mergeCell ref="A3:F3"/>
    <x:mergeCell ref="A2:F2"/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customWidth="1"/>
    <x:col min="2" max="2" width="46" customWidth="1"/>
    <x:col min="3" max="3" width="30" customWidth="1"/>
    <x:col min="4" max="4" width="18" customWidth="1"/>
    <x:col min="5" max="5" width="38" customWidth="1"/>
    <x:col min="6" max="6" width="30" customWidth="1"/>
  </x:cols>
  <x:sheetData>
    <x:row r="1" ht="30" customHeight="1">
      <x:c r="A1" s="45" t="inlineStr">
        <x:is>
          <x:t xml:space="preserve">Class Challenge</x:t>
        </x:is>
      </x:c>
      <x:c r="B1" s="46" t="n"/>
      <x:c r="C1" s="46" t="n"/>
      <x:c r="D1" s="46" t="n"/>
      <x:c r="E1" s="46" t="n"/>
      <x:c r="F1" s="46" t="n"/>
    </x:row>
    <x:row r="2" ht="24" customHeight="1">
      <x:c r="A2" s="47" t="inlineStr">
        <x:is>
          <x:t xml:space="preserve">Next-level pricing scenarios for Anchor &amp; Oak Events</x:t>
        </x:is>
      </x:c>
      <x:c r="B2" s="46" t="n"/>
      <x:c r="C2" s="46" t="n"/>
      <x:c r="D2" s="46" t="n"/>
      <x:c r="E2" s="46" t="n"/>
      <x:c r="F2" s="46" t="n"/>
    </x:row>
    <x:row r="3" ht="42" customHeight="1">
      <x:c r="A3" s="48" t="inlineStr">
        <x:is>
          <x:t xml:space="preserve">These formulas combine ideas from the lesson. Use the Live You Try It tab as a model, then explain the business meaning in your own words.</x:t>
        </x:is>
      </x:c>
      <x:c r="B3" s="46" t="n"/>
      <x:c r="C3" s="46" t="n"/>
      <x:c r="D3" s="46" t="n"/>
      <x:c r="E3" s="46" t="n"/>
      <x:c r="F3" s="46" t="n"/>
    </x:row>
    <x:row r="4" ht="30" customHeight="1">
      <x:c r="A4" s="5" t="inlineStr">
        <x:is>
          <x:t xml:space="preserve">Scenario</x:t>
        </x:is>
      </x:c>
      <x:c r="B4" s="5" t="inlineStr">
        <x:is>
          <x:t xml:space="preserve">Given facts</x:t>
        </x:is>
      </x:c>
      <x:c r="C4" s="5" t="inlineStr">
        <x:is>
          <x:t xml:space="preserve">Formula to build</x:t>
        </x:is>
      </x:c>
      <x:c r="D4" s="5" t="inlineStr">
        <x:is>
          <x:t xml:space="preserve">Your answer</x:t>
        </x:is>
      </x:c>
      <x:c r="E4" s="5" t="inlineStr">
        <x:is>
          <x:t xml:space="preserve">Explain the business meaning</x:t>
        </x:is>
      </x:c>
      <x:c r="F4" s="5" t="inlineStr">
        <x:is>
          <x:t xml:space="preserve">Instructor check</x:t>
        </x:is>
      </x:c>
    </x:row>
    <x:row r="5" ht="48" customHeight="1">
      <x:c r="A5" s="6" t="inlineStr">
        <x:is>
          <x:t xml:space="preserve">Waste-adjusted package price</x:t>
        </x:is>
      </x:c>
      <x:c r="B5" s="6" t="inlineStr">
        <x:is>
          <x:t xml:space="preserve">Use $18 cost, 45% markup, 120 produced packages, and 15% expected waste.</x:t>
        </x:is>
      </x:c>
      <x:c r="C5" s="6" t="inlineStr">
        <x:is>
          <x:t xml:space="preserve">Required price per sellable package</x:t>
        </x:is>
      </x:c>
      <x:c r="D5" s="14" t="n"/>
      <x:c r="E5" s="6" t="inlineStr">
        <x:is>
          <x:t xml:space="preserve">Why is this price higher than $26.10?</x:t>
        </x:is>
      </x:c>
      <x:c r="F5" s="15" t="e">
        <x:f>IF(ISFORMULA(D5),"Formula present","Build this as an Excel formula")</x:f>
        <x:v>#VALUE!</x:v>
      </x:c>
    </x:row>
    <x:row r="6" ht="48" customHeight="1">
      <x:c r="A6" s="6" t="inlineStr">
        <x:is>
          <x:t xml:space="preserve">Discounted break-even</x:t>
        </x:is>
      </x:c>
      <x:c r="B6" s="6" t="inlineStr">
        <x:is>
          <x:t xml:space="preserve">Use the $52 original price, 20% markdown, $3,600 fixed cost, and $27 variable cost.</x:t>
        </x:is>
      </x:c>
      <x:c r="C6" s="6" t="inlineStr">
        <x:is>
          <x:t xml:space="preserve">Guests needed after the markdown</x:t>
        </x:is>
      </x:c>
      <x:c r="D6" s="20" t="n"/>
      <x:c r="E6" s="6" t="inlineStr">
        <x:is>
          <x:t xml:space="preserve">What risk does the discount create?</x:t>
        </x:is>
      </x:c>
      <x:c r="F6" s="15" t="e">
        <x:f>IF(ISFORMULA(D6),"Formula present","Build this as an Excel formula")</x:f>
        <x:v>#VALUE!</x:v>
      </x:c>
    </x:row>
    <x:row r="7" ht="48" customHeight="1">
      <x:c r="A7" s="6" t="inlineStr">
        <x:is>
          <x:t xml:space="preserve">Profit target at regular price</x:t>
        </x:is>
      </x:c>
      <x:c r="B7" s="6" t="inlineStr">
        <x:is>
          <x:t xml:space="preserve">Use $3,600 fixed cost, $48 ticket price, $27 variable cost, and a $1,500 profit target.</x:t>
        </x:is>
      </x:c>
      <x:c r="C7" s="6" t="inlineStr">
        <x:is>
          <x:t xml:space="preserve">Guests needed for target profit</x:t>
        </x:is>
      </x:c>
      <x:c r="D7" s="20" t="n"/>
      <x:c r="E7" s="6" t="inlineStr">
        <x:is>
          <x:t xml:space="preserve">How is this different from break-even?</x:t>
        </x:is>
      </x:c>
      <x:c r="F7" s="15" t="e">
        <x:f>IF(ISFORMULA(D7),"Formula present","Build this as an Excel formula")</x:f>
        <x:v>#VALUE!</x:v>
      </x:c>
    </x:row>
    <x:row r="8" ht="48" customHeight="1">
      <x:c r="A8" s="6" t="inlineStr">
        <x:is>
          <x:t xml:space="preserve">Profit target after markdown</x:t>
        </x:is>
      </x:c>
      <x:c r="B8" s="6" t="inlineStr">
        <x:is>
          <x:t xml:space="preserve">Use the $41.60 markdown price, $3,600 fixed cost, $27 variable cost, and a $1,500 profit target.</x:t>
        </x:is>
      </x:c>
      <x:c r="C8" s="6" t="inlineStr">
        <x:is>
          <x:t xml:space="preserve">Guests needed after discount</x:t>
        </x:is>
      </x:c>
      <x:c r="D8" s="20" t="n"/>
      <x:c r="E8" s="6" t="inlineStr">
        <x:is>
          <x:t xml:space="preserve">Would you recommend the discount? Why?</x:t>
        </x:is>
      </x:c>
      <x:c r="F8" s="15" t="e">
        <x:f>IF(ISFORMULA(D8),"Formula present","Build this as an Excel formula")</x:f>
        <x:v>#VALUE!</x:v>
      </x:c>
    </x:row>
    <x:row r="9" ht="48" customHeight="1">
      <x:c r="A9" s="6" t="inlineStr">
        <x:is>
          <x:t xml:space="preserve">Regular contribution margin</x:t>
        </x:is>
      </x:c>
      <x:c r="B9" s="6" t="inlineStr">
        <x:is>
          <x:t xml:space="preserve">Ticket price is $48 and variable cost is $27 per guest.</x:t>
        </x:is>
      </x:c>
      <x:c r="C9" s="6" t="inlineStr">
        <x:is>
          <x:t xml:space="preserve">Contribution margin per guest</x:t>
        </x:is>
      </x:c>
      <x:c r="D9" s="14" t="n"/>
      <x:c r="E9" s="6" t="inlineStr">
        <x:is>
          <x:t xml:space="preserve">What does this number help pay for?</x:t>
        </x:is>
      </x:c>
      <x:c r="F9" s="15" t="e">
        <x:f>IF(ISFORMULA(D9),"Formula present","Build this as an Excel formula")</x:f>
        <x:v>#VALUE!</x:v>
      </x:c>
    </x:row>
    <x:row r="10" ht="48" customHeight="1">
      <x:c r="A10" s="6" t="inlineStr">
        <x:is>
          <x:t xml:space="preserve">Markdown contribution margin</x:t>
        </x:is>
      </x:c>
      <x:c r="B10" s="6" t="inlineStr">
        <x:is>
          <x:t xml:space="preserve">Original price is $52, markdown is 20%, and variable cost is $27 per guest.</x:t>
        </x:is>
      </x:c>
      <x:c r="C10" s="6" t="inlineStr">
        <x:is>
          <x:t xml:space="preserve">Contribution margin after markdown</x:t>
        </x:is>
      </x:c>
      <x:c r="D10" s="14" t="n"/>
      <x:c r="E10" s="6" t="inlineStr">
        <x:is>
          <x:t xml:space="preserve">Why is this lower than the regular contribution margin?</x:t>
        </x:is>
      </x:c>
      <x:c r="F10" s="15" t="e">
        <x:f>IF(ISFORMULA(D10),"Formula present","Build this as an Excel formula")</x:f>
        <x:v>#VALUE!</x:v>
      </x:c>
    </x:row>
    <x:row r="11" ht="48" customHeight="1">
      <x:c r="A11" s="6" t="inlineStr">
        <x:is>
          <x:t xml:space="preserve">Guest cushion above break-even</x:t>
        </x:is>
      </x:c>
      <x:c r="B11" s="6" t="inlineStr">
        <x:is>
          <x:t xml:space="preserve">Use 200 expected guests, $3,600 fixed cost, $48 ticket price, and $27 variable cost.</x:t>
        </x:is>
      </x:c>
      <x:c r="C11" s="6" t="inlineStr">
        <x:is>
          <x:t xml:space="preserve">Guests above break-even</x:t>
        </x:is>
      </x:c>
      <x:c r="D11" s="20" t="n"/>
      <x:c r="E11" s="6" t="inlineStr">
        <x:is>
          <x:t xml:space="preserve">What does the cushion tell Anchor &amp; Oak?</x:t>
        </x:is>
      </x:c>
      <x:c r="F11" s="15" t="e">
        <x:f>IF(ISFORMULA(D11),"Formula present","Build this as an Excel formula")</x:f>
        <x:v>#VALUE!</x:v>
      </x:c>
    </x:row>
    <x:row r="12" ht="48" customHeight="1">
      <x:c r="A12" s="6" t="inlineStr">
        <x:is>
          <x:t xml:space="preserve">Regular-price profit at 200 guests</x:t>
        </x:is>
      </x:c>
      <x:c r="B12" s="6" t="inlineStr">
        <x:is>
          <x:t xml:space="preserve">Use 200 guests, $48 ticket price, $27 variable cost, and $3,600 fixed cost.</x:t>
        </x:is>
      </x:c>
      <x:c r="C12" s="6" t="inlineStr">
        <x:is>
          <x:t xml:space="preserve">Projected profit</x:t>
        </x:is>
      </x:c>
      <x:c r="D12" s="14" t="n"/>
      <x:c r="E12" s="6" t="inlineStr">
        <x:is>
          <x:t xml:space="preserve">Is the event past break-even?</x:t>
        </x:is>
      </x:c>
      <x:c r="F12" s="15" t="e">
        <x:f>IF(ISFORMULA(D12),"Formula present","Build this as an Excel formula")</x:f>
        <x:v>#VALUE!</x:v>
      </x:c>
    </x:row>
    <x:row r="13" ht="48" customHeight="1">
      <x:c r="A13" s="6" t="inlineStr">
        <x:is>
          <x:t xml:space="preserve">Markdown profit at 200 guests</x:t>
        </x:is>
      </x:c>
      <x:c r="B13" s="6" t="inlineStr">
        <x:is>
          <x:t xml:space="preserve">Use 200 guests, $52 original price, 20% markdown, $27 variable cost, and $3,600 fixed cost.</x:t>
        </x:is>
      </x:c>
      <x:c r="C13" s="6" t="inlineStr">
        <x:is>
          <x:t xml:space="preserve">Projected profit after discount</x:t>
        </x:is>
      </x:c>
      <x:c r="D13" s="14" t="n"/>
      <x:c r="E13" s="6" t="inlineStr">
        <x:is>
          <x:t xml:space="preserve">Does the markdown still cover fixed cost?</x:t>
        </x:is>
      </x:c>
      <x:c r="F13" s="15" t="e">
        <x:f>IF(ISFORMULA(D13),"Formula present","Build this as an Excel formula")</x:f>
        <x:v>#VALUE!</x:v>
      </x:c>
    </x:row>
    <x:row r="14" ht="48" customHeight="1">
      <x:c r="A14" s="6" t="inlineStr">
        <x:is>
          <x:t xml:space="preserve">Minimum ticket for 150 guests</x:t>
        </x:is>
      </x:c>
      <x:c r="B14" s="6" t="inlineStr">
        <x:is>
          <x:t xml:space="preserve">Use 150 expected guests, $3,600 fixed cost, and $27 variable cost per guest.</x:t>
        </x:is>
      </x:c>
      <x:c r="C14" s="6" t="inlineStr">
        <x:is>
          <x:t xml:space="preserve">Minimum break-even ticket price</x:t>
        </x:is>
      </x:c>
      <x:c r="D14" s="14" t="n"/>
      <x:c r="E14" s="6" t="inlineStr">
        <x:is>
          <x:t xml:space="preserve">Why does lower attendance require a higher ticket?</x:t>
        </x:is>
      </x:c>
      <x:c r="F14" s="15" t="e">
        <x:f>IF(ISFORMULA(D14),"Formula present","Build this as an Excel formula")</x:f>
        <x:v>#VALUE!</x:v>
      </x:c>
    </x:row>
    <x:row r="15" ht="48" customHeight="1">
      <x:c r="A15" s="6" t="inlineStr">
        <x:is>
          <x:t xml:space="preserve">Minimum ticket for target profit</x:t>
        </x:is>
      </x:c>
      <x:c r="B15" s="6" t="inlineStr">
        <x:is>
          <x:t xml:space="preserve">Use 150 guests, $3,600 fixed cost, $27 variable cost, and $1,500 target profit.</x:t>
        </x:is>
      </x:c>
      <x:c r="C15" s="6" t="inlineStr">
        <x:is>
          <x:t xml:space="preserve">Ticket price needed for target profit</x:t>
        </x:is>
      </x:c>
      <x:c r="D15" s="14" t="n"/>
      <x:c r="E15" s="6" t="inlineStr">
        <x:is>
          <x:t xml:space="preserve">Why is this higher than break-even price?</x:t>
        </x:is>
      </x:c>
      <x:c r="F15" s="15" t="e">
        <x:f>IF(ISFORMULA(D15),"Formula present","Build this as an Excel formula")</x:f>
        <x:v>#VALUE!</x:v>
      </x:c>
    </x:row>
    <x:row r="16" ht="48" customHeight="1">
      <x:c r="A16" s="6" t="inlineStr">
        <x:is>
          <x:t xml:space="preserve">Markup rate needed for $30 price</x:t>
        </x:is>
      </x:c>
      <x:c r="B16" s="6" t="inlineStr">
        <x:is>
          <x:t xml:space="preserve">A package costs $18 and Anchor &amp; Oak wants to charge $30.</x:t>
        </x:is>
      </x:c>
      <x:c r="C16" s="6" t="inlineStr">
        <x:is>
          <x:t xml:space="preserve">Markup rate on cost</x:t>
        </x:is>
      </x:c>
      <x:c r="D16" s="23" t="n"/>
      <x:c r="E16" s="6" t="inlineStr">
        <x:is>
          <x:t xml:space="preserve">How does this compare with the 45% slide markup?</x:t>
        </x:is>
      </x:c>
      <x:c r="F16" s="15" t="e">
        <x:f>IF(ISFORMULA(D16),"Formula present","Build this as an Excel formula")</x:f>
        <x:v>#VALUE!</x:v>
      </x:c>
    </x:row>
    <x:row r="17" ht="48" customHeight="1">
      <x:c r="A17" s="6" t="inlineStr">
        <x:is>
          <x:t xml:space="preserve">Markdown dollar amount</x:t>
        </x:is>
      </x:c>
      <x:c r="B17" s="6" t="inlineStr">
        <x:is>
          <x:t xml:space="preserve">Original price is $52 and sale price after markdown is $41.60.</x:t>
        </x:is>
      </x:c>
      <x:c r="C17" s="6" t="inlineStr">
        <x:is>
          <x:t xml:space="preserve">Dollar markdown</x:t>
        </x:is>
      </x:c>
      <x:c r="D17" s="14" t="n"/>
      <x:c r="E17" s="6" t="inlineStr">
        <x:is>
          <x:t xml:space="preserve">Why should students name the original-price base?</x:t>
        </x:is>
      </x:c>
      <x:c r="F17" s="15" t="e">
        <x:f>IF(ISFORMULA(D17),"Formula present","Build this as an Excel formula")</x:f>
        <x:v>#VALUE!</x:v>
      </x:c>
    </x:row>
    <x:row r="18" ht="48" customHeight="1">
      <x:c r="A18" s="6" t="inlineStr">
        <x:is>
          <x:t xml:space="preserve">Revenue at break-even</x:t>
        </x:is>
      </x:c>
      <x:c r="B18" s="6" t="inlineStr">
        <x:is>
          <x:t xml:space="preserve">Use $3,600 fixed cost, $48 ticket price, and $27 variable cost.</x:t>
        </x:is>
      </x:c>
      <x:c r="C18" s="6" t="inlineStr">
        <x:is>
          <x:t xml:space="preserve">Break-even revenue</x:t>
        </x:is>
      </x:c>
      <x:c r="D18" s="14" t="n"/>
      <x:c r="E18" s="6" t="inlineStr">
        <x:is>
          <x:t xml:space="preserve">Why is revenue different from profit?</x:t>
        </x:is>
      </x:c>
      <x:c r="F18" s="15" t="e">
        <x:f>IF(ISFORMULA(D18),"Formula present","Build this as an Excel formula")</x:f>
        <x:v>#VALUE!</x:v>
      </x:c>
    </x:row>
    <x:row r="19" ht="48" customHeight="1">
      <x:c r="A19" s="6" t="inlineStr">
        <x:is>
          <x:t xml:space="preserve">Extra guests for target profit</x:t>
        </x:is>
      </x:c>
      <x:c r="B19" s="6" t="inlineStr">
        <x:is>
          <x:t xml:space="preserve">Use $3,600 fixed cost, $48 ticket price, $27 variable cost, and $1,500 target profit.</x:t>
        </x:is>
      </x:c>
      <x:c r="C19" s="6" t="inlineStr">
        <x:is>
          <x:t xml:space="preserve">Additional guests beyond break-even</x:t>
        </x:is>
      </x:c>
      <x:c r="D19" s="20" t="n"/>
      <x:c r="E19" s="6" t="inlineStr">
        <x:is>
          <x:t xml:space="preserve">What does this say about the target profit?</x:t>
        </x:is>
      </x:c>
      <x:c r="F19" s="15" t="e">
        <x:f>IF(ISFORMULA(D19),"Formula present","Build this as an Excel formula")</x:f>
        <x:v>#VALUE!</x:v>
      </x:c>
    </x:row>
  </x:sheetData>
  <x:mergeCells>
    <x:mergeCell ref="A3:F3"/>
    <x:mergeCell ref="A2:F2"/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1.110000610351562" customWidth="1"/>
    <x:col min="2" max="2" width="25.559999465942383" customWidth="1"/>
    <x:col min="3" max="3" width="34.439998626708984" customWidth="1"/>
    <x:col min="4" max="4" width="33.33000183105469" customWidth="1"/>
    <x:col min="5" max="5" width="34" customWidth="1"/>
    <x:col min="6" max="6" width="34" customWidth="1"/>
  </x:cols>
  <x:sheetData>
    <x:row r="1" ht="31.5" customHeight="1">
      <x:c r="A1" s="37" t="inlineStr">
        <x:is>
          <x:t xml:space="preserve">Concept</x:t>
        </x:is>
      </x:c>
      <x:c r="B1" s="37" t="inlineStr">
        <x:is>
          <x:t xml:space="preserve">Excel Pattern</x:t>
        </x:is>
      </x:c>
      <x:c r="C1" s="37" t="inlineStr">
        <x:is>
          <x:t xml:space="preserve">Plain-English Meaning</x:t>
        </x:is>
      </x:c>
      <x:c r="D1" s="37" t="inlineStr">
        <x:is>
          <x:t xml:space="preserve">Watch Out For</x:t>
        </x:is>
      </x:c>
    </x:row>
    <x:row r="2" ht="31.5" customHeight="1">
      <x:c r="A2" s="41" t="inlineStr">
        <x:is>
          <x:t xml:space="preserve">Markup on cost</x:t>
        </x:is>
      </x:c>
      <x:c r="B2" s="43" t="inlineStr">
        <x:is>
          <x:t xml:space="preserve">=Cost*(1+MarkupRate)</x:t>
        </x:is>
      </x:c>
      <x:c r="C2" s="41" t="inlineStr">
        <x:is>
          <x:t xml:space="preserve">Cost plus a percentage of cost.</x:t>
        </x:is>
      </x:c>
      <x:c r="D2" s="44" t="inlineStr">
        <x:is>
          <x:t xml:space="preserve">The base is cost, not selling price.</x:t>
        </x:is>
      </x:c>
    </x:row>
    <x:row r="3" ht="31.5" customHeight="1">
      <x:c r="A3" s="41" t="inlineStr">
        <x:is>
          <x:t xml:space="preserve">Markdown</x:t>
        </x:is>
      </x:c>
      <x:c r="B3" s="43" t="inlineStr">
        <x:is>
          <x:t xml:space="preserve">=OriginalPrice*(1-MarkdownRate)</x:t>
        </x:is>
      </x:c>
      <x:c r="C3" s="41" t="inlineStr">
        <x:is>
          <x:t xml:space="preserve">Price after a reduction.</x:t>
        </x:is>
      </x:c>
      <x:c r="D3" s="44" t="inlineStr">
        <x:is>
          <x:t xml:space="preserve">Subtract the markdown rate from 1 first.</x:t>
        </x:is>
      </x:c>
    </x:row>
    <x:row r="4" ht="31.5" customHeight="1">
      <x:c r="A4" s="41" t="inlineStr">
        <x:is>
          <x:t xml:space="preserve">Contribution margin</x:t>
        </x:is>
      </x:c>
      <x:c r="B4" s="43" t="inlineStr">
        <x:is>
          <x:t xml:space="preserve">=SellingPrice-VariableCost</x:t>
        </x:is>
      </x:c>
      <x:c r="C4" s="41" t="inlineStr">
        <x:is>
          <x:t xml:space="preserve">Amount each unit contributes before fixed costs.</x:t>
        </x:is>
      </x:c>
      <x:c r="D4" s="44" t="inlineStr">
        <x:is>
          <x:t xml:space="preserve">Use per-unit values.</x:t>
        </x:is>
      </x:c>
    </x:row>
    <x:row r="5" ht="31.5" customHeight="1">
      <x:c r="A5" s="41" t="inlineStr">
        <x:is>
          <x:t xml:space="preserve">Break-even units</x:t>
        </x:is>
      </x:c>
      <x:c r="B5" s="43" t="inlineStr">
        <x:is>
          <x:t xml:space="preserve">=ROUNDUP(FixedCosts/ContributionMargin,0)</x:t>
        </x:is>
      </x:c>
      <x:c r="C5" s="41" t="inlineStr">
        <x:is>
          <x:t xml:space="preserve">Whole units needed to cover fixed costs.</x:t>
        </x:is>
      </x:c>
      <x:c r="D5" s="44" t="inlineStr">
        <x:is>
          <x:t xml:space="preserve">Round up because partial units do not cover costs.</x:t>
        </x:is>
      </x:c>
    </x:row>
    <x:row r="6" ht="31.5" customHeight="1">
      <x:c r="A6" s="41" t="inlineStr">
        <x:is>
          <x:t xml:space="preserve">Target-profit units</x:t>
        </x:is>
      </x:c>
      <x:c r="B6" s="43" t="inlineStr">
        <x:is>
          <x:t xml:space="preserve">=ROUNDUP((FixedCosts+TargetProfit)/ContributionMargin,0)</x:t>
        </x:is>
      </x:c>
      <x:c r="C6" s="41" t="inlineStr">
        <x:is>
          <x:t xml:space="preserve">Whole units needed to cover fixed costs and target profit.</x:t>
        </x:is>
      </x:c>
      <x:c r="D6" s="44" t="inlineStr">
        <x:is>
          <x:t xml:space="preserve">Add target profit before dividing.</x:t>
        </x:is>
      </x:c>
    </x:row>
    <x:row r="7" ht="36" customHeight="1"/>
    <x:row r="8" ht="36" customHeight="1"/>
    <x:row r="9" ht="36" customHeight="1"/>
  </x:sheetData>
  <x:pageMargins left="0.7" right="0.7" top="0.75" bottom="0.75" header="0.3" footer="0.3"/>
</x:worksheet>
</file>