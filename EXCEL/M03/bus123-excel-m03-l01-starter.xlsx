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EXCEL/M03/"/>
    </mc:Choice>
  </mc:AlternateContent>
  <xr:revisionPtr revIDLastSave="0" documentId="13_ncr:1_{2004DF8B-CB85-3A40-84F1-9268F6A9E91B}" xr6:coauthVersionLast="47" xr6:coauthVersionMax="47" xr10:uidLastSave="{00000000-0000-0000-0000-000000000000}"/>
  <bookViews>
    <workbookView xWindow="0" yWindow="580" windowWidth="22100" windowHeight="14880" tabRatio="500" activeTab="4" xr2:uid="{00000000-000D-0000-FFFF-FFFF00000000}"/>
  </bookViews>
  <sheets>
    <sheet name="START HERE" sheetId="1" r:id="rId1"/>
    <sheet name="Raw Data" sheetId="2" r:id="rId2"/>
    <sheet name="Event Revenue Analysis" sheetId="3" r:id="rId3"/>
    <sheet name="Challenge" sheetId="4" r:id="rId4"/>
    <sheet name="FormulaReferenceC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3" i="4" l="1"/>
  <c r="F22" i="4"/>
  <c r="F21" i="4"/>
  <c r="F20" i="4"/>
  <c r="F19" i="4"/>
  <c r="F18" i="4"/>
  <c r="F17" i="4"/>
  <c r="F16" i="4"/>
  <c r="F15" i="4"/>
  <c r="F14" i="4"/>
  <c r="F13" i="4"/>
  <c r="F12" i="4"/>
  <c r="G28" i="3"/>
  <c r="E28" i="3"/>
  <c r="G27" i="3"/>
  <c r="E27" i="3"/>
  <c r="G26" i="3"/>
  <c r="E26" i="3"/>
  <c r="G25" i="3"/>
  <c r="E25" i="3"/>
  <c r="G24" i="3"/>
  <c r="E24" i="3"/>
  <c r="G23" i="3"/>
  <c r="E23" i="3"/>
  <c r="G18" i="3"/>
  <c r="G17" i="3"/>
  <c r="G16" i="3"/>
  <c r="G15" i="3"/>
  <c r="G14" i="3"/>
  <c r="G13" i="3"/>
  <c r="G12" i="3"/>
  <c r="G11" i="3"/>
  <c r="G10" i="3"/>
  <c r="G9" i="3"/>
  <c r="G8" i="3"/>
  <c r="G7" i="3"/>
</calcChain>
</file>

<file path=xl/sharedStrings.xml><?xml version="1.0" encoding="utf-8"?>
<sst xmlns="http://schemas.openxmlformats.org/spreadsheetml/2006/main" count="156" uniqueCount="117">
  <si>
    <t>BUS123 · Solving Business Problems with Technology</t>
  </si>
  <si>
    <t>Learning Objectives</t>
  </si>
  <si>
    <t>✓  I can write SUM, AVERAGE, MAX, MIN, COUNT, and COUNTA formulas.</t>
  </si>
  <si>
    <t>✓  I can connect data from one tab to another using cell references.</t>
  </si>
  <si>
    <t>✓  I can apply number formatting to make data readable.</t>
  </si>
  <si>
    <t>✓  I can interpret aggregate results in a business context.</t>
  </si>
  <si>
    <t>Color Guide</t>
  </si>
  <si>
    <t>Yellow cells = YOUR input — type your answer here</t>
  </si>
  <si>
    <t>Green feedback = Correct answer</t>
  </si>
  <si>
    <t>Red feedback = Try again</t>
  </si>
  <si>
    <t>White cells = Pre-filled data — do not edit</t>
  </si>
  <si>
    <t>Tab Map — Work in order →</t>
  </si>
  <si>
    <t>START HERE</t>
  </si>
  <si>
    <t>You are here — read before starting</t>
  </si>
  <si>
    <t>Raw Data</t>
  </si>
  <si>
    <t>Unformatted source data — do not edit</t>
  </si>
  <si>
    <t>Event Revenue Analysis</t>
  </si>
  <si>
    <t>Main activity — complete all 3 parts</t>
  </si>
  <si>
    <t>Challenge</t>
  </si>
  <si>
    <t>Stretch problems — try if you finish early</t>
  </si>
  <si>
    <t>FormulaReferenceCard</t>
  </si>
  <si>
    <t>Function reference — keep this open while working</t>
  </si>
  <si>
    <t>Case Study Company: Anchor &amp; Oak Events</t>
  </si>
  <si>
    <t>Anchor &amp; Oak Events is a boutique event planning company. They track revenue by event type (Weddings, Corporate, Private) across 12 months. Your job: analyze their revenue data using Excel aggregate functions.</t>
  </si>
  <si>
    <t>Anchor &amp; Oak Events — Revenue Export (Raw / Unformatted)</t>
  </si>
  <si>
    <t>⚠️  This is a raw data export. Lowercase headers, no currency symbols, no formatting. Do NOT edit this tab. Reference it from the analysis tab using cell references.</t>
  </si>
  <si>
    <t>month</t>
  </si>
  <si>
    <t>weddings</t>
  </si>
  <si>
    <t>corporate</t>
  </si>
  <si>
    <t>private</t>
  </si>
  <si>
    <t>total_revenue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</si>
  <si>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</si>
  <si>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</si>
  <si>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</si>
  <si>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</si>
  <si>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</si>
  <si>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</si>
  <si>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</si>
  <si>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</si>
  <si>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</si>
  <si>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</si>
  <si>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</si>
  <si>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</si>
  <si>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budget_target_monthly</t>
  </si>
  <si>
    <t>Event Revenue Analysis — Anchor &amp; Oak Events</t>
  </si>
  <si>
    <t>PART 1 — Build the Data Table (connect to Raw Data)</t>
  </si>
  <si>
    <t>In each yellow cell, write a formula that references the Raw Data tab. Example: ='Raw Data'!B5   |   Then add headers and apply currency format ($) to revenue columns.</t>
  </si>
  <si>
    <t>Month</t>
  </si>
  <si>
    <t>Weddings ($)</t>
  </si>
  <si>
    <t>Corporate ($)</t>
  </si>
  <si>
    <t>Private ($)</t>
  </si>
  <si>
    <t>Total Revenue ($)</t>
  </si>
  <si>
    <t>Feedback</t>
  </si>
  <si>
    <t>PART 2 — Aggregate Functions (write formulas in yellow cells)</t>
  </si>
  <si>
    <t>Use aggregate functions to summarize the Total Revenue column (F7:F18). Write each formula in the yellow cell — do not type the number directly.</t>
  </si>
  <si>
    <t>Calculation</t>
  </si>
  <si>
    <t>Function</t>
  </si>
  <si>
    <t>Your Formula</t>
  </si>
  <si>
    <t>Result</t>
  </si>
  <si>
    <t>Total Revenue (All Months)</t>
  </si>
  <si>
    <t>SUM</t>
  </si>
  <si>
    <t>Average Monthly Revenue</t>
  </si>
  <si>
    <t>AVERAGE</t>
  </si>
  <si>
    <t>Best Month (Highest)</t>
  </si>
  <si>
    <t>MAX</t>
  </si>
  <si>
    <t>Slowest Month (Lowest)</t>
  </si>
  <si>
    <t>MIN</t>
  </si>
  <si>
    <t>Months with Data (numbers)</t>
  </si>
  <si>
    <t>COUNT</t>
  </si>
  <si>
    <t>Months with Any Entry</t>
  </si>
  <si>
    <t>COUNTA</t>
  </si>
  <si>
    <t>PART 3 — Interpretation Questions (type your answers in yellow cells)</t>
  </si>
  <si>
    <t>Use your results from Part 2 to answer these business questions. Write your answer in the yellow cell — short phrases or numbers are fine.</t>
  </si>
  <si>
    <t>Q1:  Which month had the highest total revenue?</t>
  </si>
  <si>
    <t>Q2:  What is the difference between the best and slowest months? (write a formula)</t>
  </si>
  <si>
    <t>Q3:  How many months exceeded the $22,000 average? (use COUNTIF or count manually)</t>
  </si>
  <si>
    <t>Q4:  What does the AVERAGE tell Anchor &amp; Oak about their typical month?</t>
  </si>
  <si>
    <t>Challenge — Anchor &amp; Oak Events</t>
  </si>
  <si>
    <t>Stretch Problems — try these if you finish the main activity early</t>
  </si>
  <si>
    <t>PART A — Revenue by Event Type (SUM each column)</t>
  </si>
  <si>
    <t>Write a SUM formula for each event type (Weddings, Corporate, Private). Reference the Event Revenue Analysis tab using ='Event Revenue Analysis'!column. Copy your formula across all three columns using relative references.</t>
  </si>
  <si>
    <t>Event Type Total</t>
  </si>
  <si>
    <t>Notes</t>
  </si>
  <si>
    <t>Annual Total</t>
  </si>
  <si>
    <t>Write =SUM('Event Revenue Analysis'!C7:C18) for Weddings, then copy right</t>
  </si>
  <si>
    <t>PART B — Budget Variance with Absolute Reference ($55,000 target)</t>
  </si>
  <si>
    <t>The budget target ($55,000/month) is stored in cell H28 on this tab. Write a variance formula in column D using an absolute reference: =C12-$H$28. Copy the formula down all 12 rows. Then write an IF formula in column E to flag Above/Below budget.</t>
  </si>
  <si>
    <t>Variance vs Budget</t>
  </si>
  <si>
    <t>Above / Below?</t>
  </si>
  <si>
    <t>Budget Target →</t>
  </si>
  <si>
    <t>Keep this tab open while working. These are the functions you need.</t>
  </si>
  <si>
    <t>Syntax &amp; What It Does</t>
  </si>
  <si>
    <t>Example</t>
  </si>
  <si>
    <t xml:space="preserve"> =SUM(range)  →  Adds all numbers in a range</t>
  </si>
  <si>
    <t xml:space="preserve"> =SUM(F7:F18)  →  total of 12 months</t>
  </si>
  <si>
    <t xml:space="preserve"> =AVERAGE(range)  →  Calculates the mean</t>
  </si>
  <si>
    <t xml:space="preserve"> =AVERAGE(F7:F18)  →  average monthly revenue</t>
  </si>
  <si>
    <t xml:space="preserve"> =MAX(range)  →  Returns the largest value</t>
  </si>
  <si>
    <t xml:space="preserve"> =MAX(F7:F18)  →  best month</t>
  </si>
  <si>
    <t xml:space="preserve"> =MIN(range)  →  Returns the smallest value</t>
  </si>
  <si>
    <t xml:space="preserve"> =MIN(F7:F18)  →  slowest month</t>
  </si>
  <si>
    <t xml:space="preserve"> =COUNT(range)  →  Counts cells containing numbers</t>
  </si>
  <si>
    <t xml:space="preserve"> =COUNT(F7:F18)  →  months with revenue entered</t>
  </si>
  <si>
    <t xml:space="preserve"> =COUNTA(range)  →  Counts all non-empty cells (text or numbers)</t>
  </si>
  <si>
    <t xml:space="preserve"> =COUNTA(B7:B18)  →  months with any entry</t>
  </si>
  <si>
    <t>Cross-Tab Reference — How to Link Data Between Tabs</t>
  </si>
  <si>
    <t>Link to another tab:</t>
  </si>
  <si>
    <t xml:space="preserve"> ='tab name'!celladdress</t>
  </si>
  <si>
    <t xml:space="preserve"> ='Raw Data'!B5  →  brings in January Weddings revenue</t>
  </si>
  <si>
    <t>Absolute reference:</t>
  </si>
  <si>
    <t xml:space="preserve"> =$column$row  →  locks the cell when copied</t>
  </si>
  <si>
    <t xml:space="preserve"> =$H$28  →  always references the budget target</t>
  </si>
  <si>
    <t>Relative reference:</t>
  </si>
  <si>
    <t xml:space="preserve"> =column row  →  adjusts when copied down/across</t>
  </si>
  <si>
    <t xml:space="preserve"> =C12-$H$28  →  C changes per row, H28 stays fixed</t>
  </si>
  <si>
    <t>EXCEL-M03-L01 · Aggregate Functions &amp; Data Analysis</t>
  </si>
  <si>
    <t>Formula Reference Card — EXCEL-M03-L01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</si>
</sst>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21" x14ac:knownFonts="1">
    <font>
      <sz val="11"/>
      <color theme="1"/>
      <name val="Calibri"/>
      <family val="2"/>
      <charset val="1"/>
    </font>
    <font>
      <b/>
      <sz val="14"/>
      <color rgb="FFD4A052"/>
      <name val="Calibri"/>
      <family val="2"/>
    </font>
    <font>
      <b/>
      <sz val="12"/>
      <color rgb="FFDDE8F0"/>
      <name val="Calibri"/>
      <family val="2"/>
    </font>
    <font>
      <b/>
      <sz val="11"/>
      <color rgb="FFFFFFFF"/>
      <name val="Calibri"/>
      <family val="2"/>
    </font>
    <font>
      <sz val="11"/>
      <color rgb="FF1A6B3C"/>
      <name val="Calibri"/>
      <family val="2"/>
    </font>
    <font>
      <b/>
      <sz val="11"/>
      <color rgb="FF1A1A2E"/>
      <name val="Calibri"/>
      <family val="2"/>
    </font>
    <font>
      <sz val="11"/>
      <color rgb="FF1A1A2E"/>
      <name val="Calibri"/>
      <family val="2"/>
    </font>
    <font>
      <sz val="11"/>
      <color rgb="FFB71C1C"/>
      <name val="Calibri"/>
      <family val="2"/>
    </font>
    <font>
      <b/>
      <sz val="10"/>
      <color rgb="FFD4A052"/>
      <name val="Calibri"/>
      <family val="2"/>
    </font>
    <font>
      <b/>
      <sz val="12"/>
      <color rgb="FFD4A052"/>
      <name val="Calibri"/>
      <family val="2"/>
    </font>
    <font>
      <i/>
      <sz val="11"/>
      <color rgb="FF1A1A2E"/>
      <name val="Calibri"/>
      <family val="2"/>
    </font>
    <font>
      <b/>
      <sz val="10"/>
      <color rgb="FFFFFFFF"/>
      <name val="Calibri"/>
      <family val="2"/>
    </font>
    <font>
      <sz val="11"/>
      <color rgb="FF1A1A2E"/>
      <name val="Courier New"/>
      <family val="1"/>
    </font>
    <font>
      <b/>
      <sz val="13"/>
      <color rgb="FFD4A052"/>
      <name val="Calibri"/>
      <family val="2"/>
    </font>
    <font>
      <b/>
      <sz val="11"/>
      <color rgb="FFDDE8F0"/>
      <name val="Calibri"/>
      <family val="2"/>
    </font>
    <font>
      <sz val="10"/>
      <color rgb="FF1A1A2E"/>
      <name val="Calibri"/>
      <family val="2"/>
    </font>
    <font>
      <b/>
      <sz val="12"/>
      <color rgb="FF1A1A2E"/>
      <name val="Courier New"/>
      <family val="1"/>
    </font>
    <font>
      <b/>
      <sz val="12"/>
      <color rgb="FFD4A052"/>
      <name val="Courier New"/>
      <family val="1"/>
    </font>
    <font>
      <sz val="10"/>
      <color rgb="FF1A1A2E"/>
      <name val="Courier New"/>
      <family val="1"/>
    </font>
    <font>
      <i/>
      <sz val="10"/>
      <color rgb="FF1A6B3C"/>
      <name val="Calibri"/>
      <family val="2"/>
    </font>
    <font>
      <b/>
      <sz val="10"/>
      <color rgb="FF1A1A2E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0C1A2E"/>
        <bgColor rgb="FF1A1A2E"/>
      </patternFill>
    </fill>
    <fill>
      <patternFill patternType="solid">
        <fgColor rgb="FF1B2E48"/>
        <bgColor rgb="FF1A1A2E"/>
      </patternFill>
    </fill>
    <fill>
      <patternFill patternType="solid">
        <fgColor rgb="FF7AAB8C"/>
        <bgColor rgb="FFAAAAAA"/>
      </patternFill>
    </fill>
    <fill>
      <patternFill patternType="solid">
        <fgColor rgb="FFE8F5E9"/>
        <bgColor rgb="FFF0F7F4"/>
      </patternFill>
    </fill>
    <fill>
      <patternFill patternType="solid">
        <fgColor rgb="FFD4A052"/>
        <bgColor rgb="FFAAAAAA"/>
      </patternFill>
    </fill>
    <fill>
      <patternFill patternType="solid">
        <fgColor rgb="FFFFD966"/>
        <bgColor rgb="FFFFCC00"/>
      </patternFill>
    </fill>
    <fill>
      <patternFill patternType="solid">
        <fgColor rgb="FFFDECEA"/>
        <bgColor rgb="FFFDF3F0"/>
      </patternFill>
    </fill>
    <fill>
      <patternFill patternType="solid">
        <fgColor rgb="FFFFFFFF"/>
        <bgColor rgb="FFFFFBF0"/>
      </patternFill>
    </fill>
    <fill>
      <patternFill patternType="solid">
        <fgColor rgb="FFBE6B4A"/>
        <bgColor rgb="FFD4A052"/>
      </patternFill>
    </fill>
    <fill>
      <patternFill patternType="solid">
        <fgColor rgb="FFFFF3CD"/>
        <bgColor rgb="FFFDECEA"/>
      </patternFill>
    </fill>
    <fill>
      <patternFill patternType="solid">
        <fgColor rgb="FF3D3D3D"/>
        <bgColor rgb="FF1B2E48"/>
      </patternFill>
    </fill>
    <fill>
      <patternFill patternType="solid">
        <fgColor rgb="FFF5F5F5"/>
        <bgColor rgb="FFF0F7F4"/>
      </patternFill>
    </fill>
    <fill>
      <patternFill patternType="solid">
        <fgColor rgb="FFF0F7F4"/>
        <bgColor rgb="FFF5F5F5"/>
      </patternFill>
    </fill>
    <fill>
      <patternFill patternType="solid">
        <fgColor rgb="FFFFFBF0"/>
        <bgColor rgb="FFFFFFFF"/>
      </patternFill>
    </fill>
    <fill>
      <patternFill patternType="solid">
        <fgColor rgb="FFFDF3F0"/>
        <bgColor rgb="FFF5F5F5"/>
      </patternFill>
    </fill>
  </fills>
  <borders count="5">
    <border>
      <left/>
      <right/>
      <top/>
      <bottom/>
      <diagonal/>
    </border>
    <border>
      <left style="thin">
        <color rgb="FFD4A052"/>
      </left>
      <right/>
      <top style="thin">
        <color rgb="FFD4A052"/>
      </top>
      <bottom style="thin">
        <color rgb="FFD4A052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4A052"/>
      </left>
      <right style="thin">
        <color rgb="FFD4A052"/>
      </right>
      <top style="thin">
        <color rgb="FFD4A052"/>
      </top>
      <bottom style="thin">
        <color rgb="FFD4A052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3" borderId="3" xfId="0" applyFont="1" applyFill="1" applyBorder="1" applyAlignment="1">
      <alignment horizontal="center" vertical="center" wrapText="1"/>
    </xf>
    <xf numFmtId="0" fontId="11" fillId="12" borderId="3" xfId="0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left" vertical="center" wrapText="1"/>
    </xf>
    <xf numFmtId="0" fontId="5" fillId="9" borderId="3" xfId="0" applyFont="1" applyFill="1" applyBorder="1" applyAlignment="1">
      <alignment horizontal="center" vertical="center" wrapText="1"/>
    </xf>
    <xf numFmtId="164" fontId="6" fillId="9" borderId="3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65" fontId="16" fillId="7" borderId="4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8" fillId="13" borderId="3" xfId="0" applyFont="1" applyFill="1" applyBorder="1" applyAlignment="1">
      <alignment horizontal="left" vertical="center" wrapText="1"/>
    </xf>
    <xf numFmtId="0" fontId="19" fillId="5" borderId="3" xfId="0" applyFont="1" applyFill="1" applyBorder="1" applyAlignment="1">
      <alignment horizontal="left" vertical="center" wrapText="1"/>
    </xf>
    <xf numFmtId="0" fontId="20" fillId="13" borderId="3" xfId="0" applyFont="1" applyFill="1" applyBorder="1" applyAlignment="1">
      <alignment horizontal="left" vertical="center" wrapText="1"/>
    </xf>
    <xf numFmtId="0" fontId="18" fillId="9" borderId="3" xfId="0" applyFont="1" applyFill="1" applyBorder="1" applyAlignment="1">
      <alignment horizontal="left" vertical="center" wrapText="1"/>
    </xf>
    <xf numFmtId="0" fontId="6" fillId="9" borderId="3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7" fillId="8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left" vertical="center" wrapText="1"/>
    </xf>
    <xf numFmtId="0" fontId="12" fillId="13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5" fillId="13" borderId="2" xfId="0" applyFont="1" applyFill="1" applyBorder="1" applyAlignment="1">
      <alignment horizontal="left" vertical="center" wrapText="1"/>
    </xf>
    <xf numFmtId="0" fontId="10" fillId="15" borderId="2" xfId="0" applyFont="1" applyFill="1" applyBorder="1" applyAlignment="1">
      <alignment horizontal="left" vertical="center" wrapText="1"/>
    </xf>
    <xf numFmtId="0" fontId="10" fillId="16" borderId="2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808000"/>
      <rgbColor rgb="FF800080"/>
      <rgbColor rgb="FF008080"/>
      <rgbColor rgb="FFF5F5F5"/>
      <rgbColor rgb="FF7AAB8C"/>
      <rgbColor rgb="FF9999FF"/>
      <rgbColor rgb="FF993366"/>
      <rgbColor rgb="FFFFF3CD"/>
      <rgbColor rgb="FFE8F5E9"/>
      <rgbColor rgb="FF660066"/>
      <rgbColor rgb="FFBE6B4A"/>
      <rgbColor rgb="FF0066CC"/>
      <rgbColor rgb="FFFDEC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8F0"/>
      <rgbColor rgb="FFF0F7F4"/>
      <rgbColor rgb="FFFFFBF0"/>
      <rgbColor rgb="FFFDF3F0"/>
      <rgbColor rgb="FFFF99CC"/>
      <rgbColor rgb="FFCC99FF"/>
      <rgbColor rgb="FFFFD966"/>
      <rgbColor rgb="FF3366FF"/>
      <rgbColor rgb="FF33CCCC"/>
      <rgbColor rgb="FF99CC00"/>
      <rgbColor rgb="FFFFCC00"/>
      <rgbColor rgb="FFD4A052"/>
      <rgbColor rgb="FFFF6600"/>
      <rgbColor rgb="FF666699"/>
      <rgbColor rgb="FFAAAAAA"/>
      <rgbColor rgb="FF1B2E48"/>
      <rgbColor rgb="FF339966"/>
      <rgbColor rgb="FF0C1A2E"/>
      <rgbColor rgb="FF1A1A2E"/>
      <rgbColor rgb="FFB71C1C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24"/>
  <sheetViews>
    <sheetView zoomScaleNormal="100" workbookViewId="0">
      <selection activeCell="F12" sqref="F12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3" width="42" customWidth="1"/>
    <col min="4" max="4" width="22" customWidth="1"/>
    <col min="5" max="5" width="3" customWidth="1"/>
  </cols>
  <sheetData>
    <row r="1" spans="2:4" ht="27.75" customHeight="1" x14ac:dyDescent="0.2">
      <c r="B1" s="25" t="s">
        <v>0</v>
      </c>
      <c r="C1" s="25"/>
      <c r="D1" s="25"/>
    </row>
    <row r="2" spans="2:4" ht="24" customHeight="1" x14ac:dyDescent="0.2">
      <c r="B2" s="26" t="s">
        <v>115</v>
      </c>
      <c r="C2" s="26"/>
      <c r="D2" s="26"/>
    </row>
    <row r="3" spans="2:4" ht="7.5" customHeight="1" x14ac:dyDescent="0.2"/>
    <row r="4" spans="2:4" ht="19.5" customHeight="1" x14ac:dyDescent="0.2">
      <c r="B4" s="18" t="s">
        <v>1</v>
      </c>
      <c r="C4" s="18"/>
      <c r="D4" s="18"/>
    </row>
    <row r="5" spans="2:4" ht="18" customHeight="1" x14ac:dyDescent="0.2">
      <c r="B5" s="22" t="s">
        <v>2</v>
      </c>
      <c r="C5" s="22"/>
      <c r="D5" s="22"/>
    </row>
    <row r="6" spans="2:4" ht="18" customHeight="1" x14ac:dyDescent="0.2">
      <c r="B6" s="22" t="s">
        <v>3</v>
      </c>
      <c r="C6" s="22"/>
      <c r="D6" s="22"/>
    </row>
    <row r="7" spans="2:4" ht="18" customHeight="1" x14ac:dyDescent="0.2">
      <c r="B7" s="22" t="s">
        <v>4</v>
      </c>
      <c r="C7" s="22"/>
      <c r="D7" s="22"/>
    </row>
    <row r="8" spans="2:4" ht="18" customHeight="1" x14ac:dyDescent="0.2">
      <c r="B8" s="22" t="s">
        <v>5</v>
      </c>
      <c r="C8" s="22"/>
      <c r="D8" s="22"/>
    </row>
    <row r="9" spans="2:4" ht="7.5" customHeight="1" x14ac:dyDescent="0.2"/>
    <row r="10" spans="2:4" ht="19.5" customHeight="1" x14ac:dyDescent="0.2">
      <c r="B10" s="23" t="s">
        <v>6</v>
      </c>
      <c r="C10" s="23"/>
      <c r="D10" s="23"/>
    </row>
    <row r="11" spans="2:4" ht="18" customHeight="1" x14ac:dyDescent="0.2">
      <c r="B11" s="24" t="s">
        <v>7</v>
      </c>
      <c r="C11" s="24"/>
      <c r="D11" s="24"/>
    </row>
    <row r="12" spans="2:4" ht="18" customHeight="1" x14ac:dyDescent="0.2">
      <c r="B12" s="22" t="s">
        <v>8</v>
      </c>
      <c r="C12" s="22"/>
      <c r="D12" s="22"/>
    </row>
    <row r="13" spans="2:4" ht="18" customHeight="1" x14ac:dyDescent="0.2">
      <c r="B13" s="20" t="s">
        <v>9</v>
      </c>
      <c r="C13" s="20"/>
      <c r="D13" s="20"/>
    </row>
    <row r="14" spans="2:4" ht="18" customHeight="1" x14ac:dyDescent="0.2">
      <c r="B14" s="19" t="s">
        <v>10</v>
      </c>
      <c r="C14" s="19"/>
      <c r="D14" s="19"/>
    </row>
    <row r="15" spans="2:4" ht="7.5" customHeight="1" x14ac:dyDescent="0.2"/>
    <row r="16" spans="2:4" ht="19.5" customHeight="1" x14ac:dyDescent="0.2">
      <c r="B16" s="21" t="s">
        <v>11</v>
      </c>
      <c r="C16" s="21"/>
      <c r="D16" s="21"/>
    </row>
    <row r="17" spans="2:4" ht="18" customHeight="1" x14ac:dyDescent="0.2">
      <c r="B17" s="1" t="s">
        <v>12</v>
      </c>
      <c r="C17" s="17" t="s">
        <v>13</v>
      </c>
      <c r="D17" s="17"/>
    </row>
    <row r="18" spans="2:4" ht="18" customHeight="1" x14ac:dyDescent="0.2">
      <c r="B18" s="1" t="s">
        <v>14</v>
      </c>
      <c r="C18" s="17" t="s">
        <v>15</v>
      </c>
      <c r="D18" s="17"/>
    </row>
    <row r="19" spans="2:4" ht="18" customHeight="1" x14ac:dyDescent="0.2">
      <c r="B19" s="1" t="s">
        <v>16</v>
      </c>
      <c r="C19" s="17" t="s">
        <v>17</v>
      </c>
      <c r="D19" s="17"/>
    </row>
    <row r="20" spans="2:4" ht="18" customHeight="1" x14ac:dyDescent="0.2">
      <c r="B20" s="1" t="s">
        <v>18</v>
      </c>
      <c r="C20" s="17" t="s">
        <v>19</v>
      </c>
      <c r="D20" s="17"/>
    </row>
    <row r="21" spans="2:4" ht="18" customHeight="1" x14ac:dyDescent="0.2">
      <c r="B21" s="1" t="s">
        <v>20</v>
      </c>
      <c r="C21" s="17" t="s">
        <v>21</v>
      </c>
      <c r="D21" s="17"/>
    </row>
    <row r="22" spans="2:4" ht="7.5" customHeight="1" x14ac:dyDescent="0.2"/>
    <row r="23" spans="2:4" ht="19.5" customHeight="1" x14ac:dyDescent="0.2">
      <c r="B23" s="18" t="s">
        <v>22</v>
      </c>
      <c r="C23" s="18"/>
      <c r="D23" s="18"/>
    </row>
    <row r="24" spans="2:4" ht="36" customHeight="1" x14ac:dyDescent="0.2">
      <c r="B24" s="19" t="s">
        <v>23</v>
      </c>
      <c r="C24" s="19"/>
      <c r="D24" s="19"/>
    </row>
  </sheetData>
  <mergeCells count="20">
    <mergeCell ref="B1:D1"/>
    <mergeCell ref="B2:D2"/>
    <mergeCell ref="B4:D4"/>
    <mergeCell ref="B5:D5"/>
    <mergeCell ref="B6:D6"/>
    <mergeCell ref="B7:D7"/>
    <mergeCell ref="B8:D8"/>
    <mergeCell ref="B10:D10"/>
    <mergeCell ref="B11:D11"/>
    <mergeCell ref="B12:D12"/>
    <mergeCell ref="B13:D13"/>
    <mergeCell ref="B14:D14"/>
    <mergeCell ref="B16:D16"/>
    <mergeCell ref="C17:D17"/>
    <mergeCell ref="C18:D18"/>
    <mergeCell ref="C19:D19"/>
    <mergeCell ref="C20:D20"/>
    <mergeCell ref="C21:D21"/>
    <mergeCell ref="B23:D23"/>
    <mergeCell ref="B24:D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18"/>
  <sheetViews>
    <sheetView zoomScaleNormal="100" workbookViewId="0"/>
  </sheetViews>
  <sheetFormatPr baseColWidth="10" defaultColWidth="8.6640625" defaultRowHeight="15" x14ac:dyDescent="0.2"/>
  <cols>
    <col min="1" max="1" width="3" customWidth="1"/>
    <col min="2" max="2" width="12" customWidth="1"/>
    <col min="3" max="6" width="14" customWidth="1"/>
    <col min="7" max="7" width="3" customWidth="1"/>
  </cols>
  <sheetData>
    <row r="1" spans="2:6" ht="24" customHeight="1" x14ac:dyDescent="0.2">
      <c r="B1" s="27" t="s">
        <v>24</v>
      </c>
      <c r="C1" s="27"/>
      <c r="D1" s="27"/>
      <c r="E1" s="27"/>
      <c r="F1" s="27"/>
    </row>
    <row r="2" spans="2:6" ht="27.75" customHeight="1" x14ac:dyDescent="0.2">
      <c r="B2" s="28" t="s">
        <v>25</v>
      </c>
      <c r="C2" s="28"/>
      <c r="D2" s="28"/>
      <c r="E2" s="28"/>
      <c r="F2" s="28"/>
    </row>
    <row r="3" spans="2:6" ht="7.5" customHeight="1" x14ac:dyDescent="0.2"/>
    <row r="4" spans="2:6" ht="19.5" customHeight="1" x14ac:dyDescent="0.2">
      <c r="B4" s="2" t="s">
        <v>26</v>
      </c>
      <c r="C4" s="2" t="s">
        <v>27</v>
      </c>
      <c r="D4" s="2" t="s">
        <v>28</v>
      </c>
      <c r="E4" s="2" t="s">
        <v>29</v>
      </c>
      <c r="F4" s="2" t="s">
        <v>30</v>
      </c>
    </row>
    <row r="5" spans="2:6" ht="18" customHeight="1" x14ac:dyDescent="0.2">
      <c r="B5" s="3" t="s">
        <v>31</v>
      </c>
      <c r="C5" s="4">
        <v>18500</v>
      </c>
      <c r="D5" s="4">
        <v>12000</v>
      </c>
      <c r="E5" s="4">
        <v>5200</v>
      </c>
      <c r="F5" s="4">
        <v>35700</v>
      </c>
    </row>
    <row r="6" spans="2:6" ht="18" customHeight="1" x14ac:dyDescent="0.2">
      <c r="B6" s="3" t="s">
        <v>32</v>
      </c>
      <c r="C6" s="4">
        <v>9800</v>
      </c>
      <c r="D6" s="4">
        <v>8500</v>
      </c>
      <c r="E6" s="4">
        <v>3100</v>
      </c>
      <c r="F6" s="4">
        <v>21400</v>
      </c>
    </row>
    <row r="7" spans="2:6" ht="18" customHeight="1" x14ac:dyDescent="0.2">
      <c r="B7" s="3" t="s">
        <v>33</v>
      </c>
      <c r="C7" s="4">
        <v>14200</v>
      </c>
      <c r="D7" s="4">
        <v>10500</v>
      </c>
      <c r="E7" s="4">
        <v>4800</v>
      </c>
      <c r="F7" s="4">
        <v>29500</v>
      </c>
    </row>
    <row r="8" spans="2:6" ht="18" customHeight="1" x14ac:dyDescent="0.2">
      <c r="B8" s="3" t="s">
        <v>34</v>
      </c>
      <c r="C8" s="4">
        <v>22100</v>
      </c>
      <c r="D8" s="4">
        <v>15000</v>
      </c>
      <c r="E8" s="4">
        <v>6200</v>
      </c>
      <c r="F8" s="4">
        <v>43300</v>
      </c>
    </row>
    <row r="9" spans="2:6" ht="18" customHeight="1" x14ac:dyDescent="0.2">
      <c r="B9" s="3" t="s">
        <v>35</v>
      </c>
      <c r="C9" s="4">
        <v>28500</v>
      </c>
      <c r="D9" s="4">
        <v>18000</v>
      </c>
      <c r="E9" s="4">
        <v>8100</v>
      </c>
      <c r="F9" s="4">
        <v>54600</v>
      </c>
    </row>
    <row r="10" spans="2:6" ht="18" customHeight="1" x14ac:dyDescent="0.2">
      <c r="B10" s="3" t="s">
        <v>36</v>
      </c>
      <c r="C10" s="4">
        <v>35200</v>
      </c>
      <c r="D10" s="4">
        <v>22500</v>
      </c>
      <c r="E10" s="4">
        <v>9500</v>
      </c>
      <c r="F10" s="4">
        <v>67200</v>
      </c>
    </row>
    <row r="11" spans="2:6" ht="18" customHeight="1" x14ac:dyDescent="0.2">
      <c r="B11" s="3" t="s">
        <v>37</v>
      </c>
      <c r="C11" s="4">
        <v>31800</v>
      </c>
      <c r="D11" s="4">
        <v>19000</v>
      </c>
      <c r="E11" s="4">
        <v>8800</v>
      </c>
      <c r="F11" s="4">
        <v>59600</v>
      </c>
    </row>
    <row r="12" spans="2:6" ht="18" customHeight="1" x14ac:dyDescent="0.2">
      <c r="B12" s="3" t="s">
        <v>38</v>
      </c>
      <c r="C12" s="4">
        <v>38500</v>
      </c>
      <c r="D12" s="4">
        <v>24000</v>
      </c>
      <c r="E12" s="4">
        <v>10200</v>
      </c>
      <c r="F12" s="4">
        <v>72700</v>
      </c>
    </row>
    <row r="13" spans="2:6" ht="18" customHeight="1" x14ac:dyDescent="0.2">
      <c r="B13" s="3" t="s">
        <v>39</v>
      </c>
      <c r="C13" s="4">
        <v>26400</v>
      </c>
      <c r="D13" s="4">
        <v>17500</v>
      </c>
      <c r="E13" s="4">
        <v>7300</v>
      </c>
      <c r="F13" s="4">
        <v>51200</v>
      </c>
    </row>
    <row r="14" spans="2:6" ht="18" customHeight="1" x14ac:dyDescent="0.2">
      <c r="B14" s="3" t="s">
        <v>40</v>
      </c>
      <c r="C14" s="4">
        <v>19800</v>
      </c>
      <c r="D14" s="4">
        <v>13000</v>
      </c>
      <c r="E14" s="4">
        <v>5800</v>
      </c>
      <c r="F14" s="4">
        <v>38600</v>
      </c>
    </row>
    <row r="15" spans="2:6" ht="18" customHeight="1" x14ac:dyDescent="0.2">
      <c r="B15" s="3" t="s">
        <v>41</v>
      </c>
      <c r="C15" s="4">
        <v>12500</v>
      </c>
      <c r="D15" s="4">
        <v>9200</v>
      </c>
      <c r="E15" s="4">
        <v>4100</v>
      </c>
      <c r="F15" s="4">
        <v>25800</v>
      </c>
    </row>
    <row r="16" spans="2:6" ht="18" customHeight="1" x14ac:dyDescent="0.2">
      <c r="B16" s="3" t="s">
        <v>42</v>
      </c>
      <c r="C16" s="4">
        <v>16800</v>
      </c>
      <c r="D16" s="4">
        <v>11500</v>
      </c>
      <c r="E16" s="4">
        <v>5500</v>
      </c>
      <c r="F16" s="4">
        <v>33800</v>
      </c>
    </row>
    <row r="17" spans="2:5" ht="7.5" customHeight="1" x14ac:dyDescent="0.2"/>
    <row r="18" spans="2:5" ht="18" customHeight="1" x14ac:dyDescent="0.2">
      <c r="B18" s="29" t="s">
        <v>43</v>
      </c>
      <c r="C18" s="29"/>
      <c r="D18" s="29"/>
      <c r="E18" s="4">
        <v>55000</v>
      </c>
    </row>
  </sheetData>
  <mergeCells count="3">
    <mergeCell ref="B1:F1"/>
    <mergeCell ref="B2:F2"/>
    <mergeCell ref="B18:D1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9"/>
  <sheetViews>
    <sheetView zoomScaleNormal="100" workbookViewId="0">
      <selection activeCell="B3" sqref="B3"/>
    </sheetView>
  </sheetViews>
  <sheetFormatPr baseColWidth="10" defaultColWidth="8.6640625" defaultRowHeight="15" x14ac:dyDescent="0.2"/>
  <cols>
    <col min="1" max="1" width="3" customWidth="1"/>
    <col min="2" max="2" width="18" customWidth="1"/>
    <col min="3" max="6" width="14" customWidth="1"/>
    <col min="7" max="7" width="20" customWidth="1"/>
    <col min="8" max="8" width="3" customWidth="1"/>
  </cols>
  <sheetData>
    <row r="1" spans="2:7" ht="25.5" customHeight="1" x14ac:dyDescent="0.2">
      <c r="B1" s="34" t="s">
        <v>44</v>
      </c>
      <c r="C1" s="34"/>
      <c r="D1" s="34"/>
      <c r="E1" s="34"/>
      <c r="F1" s="34"/>
      <c r="G1" s="34"/>
    </row>
    <row r="2" spans="2:7" ht="19.5" customHeight="1" x14ac:dyDescent="0.2">
      <c r="B2" s="35" t="s">
        <v>115</v>
      </c>
      <c r="C2" s="35"/>
      <c r="D2" s="35"/>
      <c r="E2" s="35"/>
      <c r="F2" s="35"/>
      <c r="G2" s="35"/>
    </row>
    <row r="3" spans="2:7" ht="7.5" customHeight="1" x14ac:dyDescent="0.2"/>
    <row r="4" spans="2:7" ht="19.5" customHeight="1" x14ac:dyDescent="0.2">
      <c r="B4" s="18" t="s">
        <v>45</v>
      </c>
      <c r="C4" s="18"/>
      <c r="D4" s="18"/>
      <c r="E4" s="18"/>
      <c r="F4" s="18"/>
      <c r="G4" s="18"/>
    </row>
    <row r="5" spans="2:7" ht="27.75" customHeight="1" x14ac:dyDescent="0.2">
      <c r="B5" s="36" t="s">
        <v>46</v>
      </c>
      <c r="C5" s="36"/>
      <c r="D5" s="36"/>
      <c r="E5" s="36"/>
      <c r="F5" s="36"/>
      <c r="G5" s="36"/>
    </row>
    <row r="6" spans="2:7" ht="19.5" customHeight="1" x14ac:dyDescent="0.2">
      <c r="B6" s="5" t="s">
        <v>47</v>
      </c>
      <c r="C6" s="5" t="s">
        <v>48</v>
      </c>
      <c r="D6" s="5" t="s">
        <v>49</v>
      </c>
      <c r="E6" s="5" t="s">
        <v>50</v>
      </c>
      <c r="F6" s="5" t="s">
        <v>51</v>
      </c>
      <c r="G6" s="5" t="s">
        <v>52</v>
      </c>
    </row>
    <row r="7" spans="2:7" ht="18" customHeight="1" x14ac:dyDescent="0.2">
      <c r="B7" s="3" t="s">
        <v>31</v>
      </c>
      <c r="C7" s="6"/>
      <c r="D7" s="6"/>
      <c r="E7" s="6"/>
      <c r="F7" s="6"/>
      <c r="G7" s="7" t="str">
        <f>IF(OR(C7="",D7="",E7="",F7=""),"⬅ Enter all values first",IF(AND(ABS(C7-'Raw Data'!C5)&lt;1,ABS(D7-'Raw Data'!D5)&lt;1,ABS(E7-'Raw Data'!E5)&lt;1),"✅ Data linked correctly","❌ Check your Raw Data references"))</f>
        <v>⬅ Enter all values first</v>
      </c>
    </row>
    <row r="8" spans="2:7" ht="18" customHeight="1" x14ac:dyDescent="0.2">
      <c r="B8" s="3" t="s">
        <v>32</v>
      </c>
      <c r="C8" s="6"/>
      <c r="D8" s="6"/>
      <c r="E8" s="6"/>
      <c r="F8" s="6"/>
      <c r="G8" s="7" t="str">
        <f>IF(OR(C8="",D8="",E8="",F8=""),"⬅ Enter all values first",IF(AND(ABS(C8-'Raw Data'!C6)&lt;1,ABS(D8-'Raw Data'!D6)&lt;1,ABS(E8-'Raw Data'!E6)&lt;1),"✅ Data linked correctly","❌ Check your Raw Data references"))</f>
        <v>⬅ Enter all values first</v>
      </c>
    </row>
    <row r="9" spans="2:7" ht="18" customHeight="1" x14ac:dyDescent="0.2">
      <c r="B9" s="3" t="s">
        <v>33</v>
      </c>
      <c r="C9" s="6"/>
      <c r="D9" s="6"/>
      <c r="E9" s="6"/>
      <c r="F9" s="6"/>
      <c r="G9" s="7" t="str">
        <f>IF(OR(C9="",D9="",E9="",F9=""),"⬅ Enter all values first",IF(AND(ABS(C9-'Raw Data'!C7)&lt;1,ABS(D9-'Raw Data'!D7)&lt;1,ABS(E9-'Raw Data'!E7)&lt;1),"✅ Data linked correctly","❌ Check your Raw Data references"))</f>
        <v>⬅ Enter all values first</v>
      </c>
    </row>
    <row r="10" spans="2:7" ht="18" customHeight="1" x14ac:dyDescent="0.2">
      <c r="B10" s="3" t="s">
        <v>34</v>
      </c>
      <c r="C10" s="6"/>
      <c r="D10" s="6"/>
      <c r="E10" s="6"/>
      <c r="F10" s="6"/>
      <c r="G10" s="7" t="str">
        <f>IF(OR(C10="",D10="",E10="",F10=""),"⬅ Enter all values first",IF(AND(ABS(C10-'Raw Data'!C8)&lt;1,ABS(D10-'Raw Data'!D8)&lt;1,ABS(E10-'Raw Data'!E8)&lt;1),"✅ Data linked correctly","❌ Check your Raw Data references"))</f>
        <v>⬅ Enter all values first</v>
      </c>
    </row>
    <row r="11" spans="2:7" ht="18" customHeight="1" x14ac:dyDescent="0.2">
      <c r="B11" s="3" t="s">
        <v>35</v>
      </c>
      <c r="C11" s="6"/>
      <c r="D11" s="6"/>
      <c r="E11" s="6"/>
      <c r="F11" s="6"/>
      <c r="G11" s="7" t="str">
        <f>IF(OR(C11="",D11="",E11="",F11=""),"⬅ Enter all values first",IF(AND(ABS(C11-'Raw Data'!C9)&lt;1,ABS(D11-'Raw Data'!D9)&lt;1,ABS(E11-'Raw Data'!E9)&lt;1),"✅ Data linked correctly","❌ Check your Raw Data references"))</f>
        <v>⬅ Enter all values first</v>
      </c>
    </row>
    <row r="12" spans="2:7" ht="18" customHeight="1" x14ac:dyDescent="0.2">
      <c r="B12" s="3" t="s">
        <v>36</v>
      </c>
      <c r="C12" s="6"/>
      <c r="D12" s="6"/>
      <c r="E12" s="6"/>
      <c r="F12" s="6"/>
      <c r="G12" s="7" t="str">
        <f>IF(OR(C12="",D12="",E12="",F12=""),"⬅ Enter all values first",IF(AND(ABS(C12-'Raw Data'!C10)&lt;1,ABS(D12-'Raw Data'!D10)&lt;1,ABS(E12-'Raw Data'!E10)&lt;1),"✅ Data linked correctly","❌ Check your Raw Data references"))</f>
        <v>⬅ Enter all values first</v>
      </c>
    </row>
    <row r="13" spans="2:7" ht="18" customHeight="1" x14ac:dyDescent="0.2">
      <c r="B13" s="3" t="s">
        <v>37</v>
      </c>
      <c r="C13" s="6"/>
      <c r="D13" s="6"/>
      <c r="E13" s="6"/>
      <c r="F13" s="6"/>
      <c r="G13" s="7" t="str">
        <f>IF(OR(C13="",D13="",E13="",F13=""),"⬅ Enter all values first",IF(AND(ABS(C13-'Raw Data'!C11)&lt;1,ABS(D13-'Raw Data'!D11)&lt;1,ABS(E13-'Raw Data'!E11)&lt;1),"✅ Data linked correctly","❌ Check your Raw Data references"))</f>
        <v>⬅ Enter all values first</v>
      </c>
    </row>
    <row r="14" spans="2:7" ht="18" customHeight="1" x14ac:dyDescent="0.2">
      <c r="B14" s="3" t="s">
        <v>38</v>
      </c>
      <c r="C14" s="6"/>
      <c r="D14" s="6"/>
      <c r="E14" s="6"/>
      <c r="F14" s="6"/>
      <c r="G14" s="7" t="str">
        <f>IF(OR(C14="",D14="",E14="",F14=""),"⬅ Enter all values first",IF(AND(ABS(C14-'Raw Data'!C12)&lt;1,ABS(D14-'Raw Data'!D12)&lt;1,ABS(E14-'Raw Data'!E12)&lt;1),"✅ Data linked correctly","❌ Check your Raw Data references"))</f>
        <v>⬅ Enter all values first</v>
      </c>
    </row>
    <row r="15" spans="2:7" ht="18" customHeight="1" x14ac:dyDescent="0.2">
      <c r="B15" s="3" t="s">
        <v>39</v>
      </c>
      <c r="C15" s="6"/>
      <c r="D15" s="6"/>
      <c r="E15" s="6"/>
      <c r="F15" s="6"/>
      <c r="G15" s="7" t="str">
        <f>IF(OR(C15="",D15="",E15="",F15=""),"⬅ Enter all values first",IF(AND(ABS(C15-'Raw Data'!C13)&lt;1,ABS(D15-'Raw Data'!D13)&lt;1,ABS(E15-'Raw Data'!E13)&lt;1),"✅ Data linked correctly","❌ Check your Raw Data references"))</f>
        <v>⬅ Enter all values first</v>
      </c>
    </row>
    <row r="16" spans="2:7" ht="18" customHeight="1" x14ac:dyDescent="0.2">
      <c r="B16" s="3" t="s">
        <v>40</v>
      </c>
      <c r="C16" s="6"/>
      <c r="D16" s="6"/>
      <c r="E16" s="6"/>
      <c r="F16" s="6"/>
      <c r="G16" s="7" t="str">
        <f>IF(OR(C16="",D16="",E16="",F16=""),"⬅ Enter all values first",IF(AND(ABS(C16-'Raw Data'!C14)&lt;1,ABS(D16-'Raw Data'!D14)&lt;1,ABS(E16-'Raw Data'!E14)&lt;1),"✅ Data linked correctly","❌ Check your Raw Data references"))</f>
        <v>⬅ Enter all values first</v>
      </c>
    </row>
    <row r="17" spans="2:7" ht="18" customHeight="1" x14ac:dyDescent="0.2">
      <c r="B17" s="3" t="s">
        <v>41</v>
      </c>
      <c r="C17" s="6"/>
      <c r="D17" s="6"/>
      <c r="E17" s="6"/>
      <c r="F17" s="6"/>
      <c r="G17" s="7" t="str">
        <f>IF(OR(C17="",D17="",E17="",F17=""),"⬅ Enter all values first",IF(AND(ABS(C17-'Raw Data'!C15)&lt;1,ABS(D17-'Raw Data'!D15)&lt;1,ABS(E17-'Raw Data'!E15)&lt;1),"✅ Data linked correctly","❌ Check your Raw Data references"))</f>
        <v>⬅ Enter all values first</v>
      </c>
    </row>
    <row r="18" spans="2:7" ht="18" customHeight="1" x14ac:dyDescent="0.2">
      <c r="B18" s="3" t="s">
        <v>42</v>
      </c>
      <c r="C18" s="6"/>
      <c r="D18" s="6"/>
      <c r="E18" s="6"/>
      <c r="F18" s="6"/>
      <c r="G18" s="7" t="str">
        <f>IF(OR(C18="",D18="",E18="",F18=""),"⬅ Enter all values first",IF(AND(ABS(C18-'Raw Data'!C16)&lt;1,ABS(D18-'Raw Data'!D16)&lt;1,ABS(E18-'Raw Data'!E16)&lt;1),"✅ Data linked correctly","❌ Check your Raw Data references"))</f>
        <v>⬅ Enter all values first</v>
      </c>
    </row>
    <row r="19" spans="2:7" ht="12" customHeight="1" x14ac:dyDescent="0.2"/>
    <row r="20" spans="2:7" ht="19.5" customHeight="1" x14ac:dyDescent="0.2">
      <c r="B20" s="23" t="s">
        <v>53</v>
      </c>
      <c r="C20" s="23"/>
      <c r="D20" s="23"/>
      <c r="E20" s="23"/>
      <c r="F20" s="23"/>
      <c r="G20" s="23"/>
    </row>
    <row r="21" spans="2:7" ht="27.75" customHeight="1" x14ac:dyDescent="0.2">
      <c r="B21" s="32" t="s">
        <v>54</v>
      </c>
      <c r="C21" s="32"/>
      <c r="D21" s="32"/>
      <c r="E21" s="32"/>
      <c r="F21" s="32"/>
      <c r="G21" s="32"/>
    </row>
    <row r="22" spans="2:7" ht="19.5" customHeight="1" x14ac:dyDescent="0.2">
      <c r="B22" s="5" t="s">
        <v>55</v>
      </c>
      <c r="C22" s="5" t="s">
        <v>56</v>
      </c>
      <c r="D22" s="5" t="s">
        <v>57</v>
      </c>
      <c r="E22" s="5" t="s">
        <v>58</v>
      </c>
      <c r="F22" s="5"/>
      <c r="G22" s="5" t="s">
        <v>52</v>
      </c>
    </row>
    <row r="23" spans="2:7" ht="18" customHeight="1" x14ac:dyDescent="0.2">
      <c r="B23" s="3" t="s">
        <v>59</v>
      </c>
      <c r="C23" s="8" t="s">
        <v>60</v>
      </c>
      <c r="D23" s="6"/>
      <c r="E23" s="9" t="str">
        <f t="shared" ref="E23:E28" si="0">IF(D23="","",D23)</f>
        <v/>
      </c>
      <c r="G23" s="7" t="str">
        <f>IF(D23="","⬅ Write your formula",IF(ABS(D23-273400)&lt;100,"✅ Correct!","❌ Check your formula range"))</f>
        <v>⬅ Write your formula</v>
      </c>
    </row>
    <row r="24" spans="2:7" ht="18" customHeight="1" x14ac:dyDescent="0.2">
      <c r="B24" s="3" t="s">
        <v>61</v>
      </c>
      <c r="C24" s="8" t="s">
        <v>62</v>
      </c>
      <c r="D24" s="6"/>
      <c r="E24" s="9" t="str">
        <f t="shared" si="0"/>
        <v/>
      </c>
      <c r="G24" s="7" t="str">
        <f>IF(D24="","⬅ Write your formula",IF(ABS(D24-22783.33)&lt;100,"✅ Correct!","❌ Check your formula range"))</f>
        <v>⬅ Write your formula</v>
      </c>
    </row>
    <row r="25" spans="2:7" ht="18" customHeight="1" x14ac:dyDescent="0.2">
      <c r="B25" s="3" t="s">
        <v>63</v>
      </c>
      <c r="C25" s="8" t="s">
        <v>64</v>
      </c>
      <c r="D25" s="6"/>
      <c r="E25" s="9" t="str">
        <f t="shared" si="0"/>
        <v/>
      </c>
      <c r="G25" s="7" t="str">
        <f>IF(D25="","⬅ Write your formula",IF(ABS(D25-38500)&lt;1,"✅ Correct!","❌ Check your formula range"))</f>
        <v>⬅ Write your formula</v>
      </c>
    </row>
    <row r="26" spans="2:7" ht="18" customHeight="1" x14ac:dyDescent="0.2">
      <c r="B26" s="3" t="s">
        <v>65</v>
      </c>
      <c r="C26" s="8" t="s">
        <v>66</v>
      </c>
      <c r="D26" s="6"/>
      <c r="E26" s="9" t="str">
        <f t="shared" si="0"/>
        <v/>
      </c>
      <c r="G26" s="7" t="str">
        <f>IF(D26="","⬅ Write your formula",IF(ABS(D26-9800)&lt;1,"✅ Correct!","❌ Check your formula range"))</f>
        <v>⬅ Write your formula</v>
      </c>
    </row>
    <row r="27" spans="2:7" ht="18" customHeight="1" x14ac:dyDescent="0.2">
      <c r="B27" s="3" t="s">
        <v>67</v>
      </c>
      <c r="C27" s="8" t="s">
        <v>68</v>
      </c>
      <c r="D27" s="6"/>
      <c r="E27" s="9" t="str">
        <f t="shared" si="0"/>
        <v/>
      </c>
      <c r="G27" s="7" t="str">
        <f>IF(D27="","⬅ Write your formula",IF(ABS(D27-12)&lt;1,"✅ Correct!","❌ Check your formula range"))</f>
        <v>⬅ Write your formula</v>
      </c>
    </row>
    <row r="28" spans="2:7" ht="18" customHeight="1" x14ac:dyDescent="0.2">
      <c r="B28" s="3" t="s">
        <v>69</v>
      </c>
      <c r="C28" s="8" t="s">
        <v>70</v>
      </c>
      <c r="D28" s="6"/>
      <c r="E28" s="9" t="str">
        <f t="shared" si="0"/>
        <v/>
      </c>
      <c r="G28" s="7" t="str">
        <f>IF(D28="","⬅ Write your formula",IF(ABS(D28-12)&lt;1,"✅ Correct!","❌ Check your formula range"))</f>
        <v>⬅ Write your formula</v>
      </c>
    </row>
    <row r="29" spans="2:7" ht="12" customHeight="1" x14ac:dyDescent="0.2"/>
    <row r="30" spans="2:7" ht="19.5" customHeight="1" x14ac:dyDescent="0.2">
      <c r="B30" s="21" t="s">
        <v>71</v>
      </c>
      <c r="C30" s="21"/>
      <c r="D30" s="21"/>
      <c r="E30" s="21"/>
      <c r="F30" s="21"/>
      <c r="G30" s="21"/>
    </row>
    <row r="31" spans="2:7" ht="27.75" customHeight="1" x14ac:dyDescent="0.2">
      <c r="B31" s="33" t="s">
        <v>72</v>
      </c>
      <c r="C31" s="33"/>
      <c r="D31" s="33"/>
      <c r="E31" s="33"/>
      <c r="F31" s="33"/>
      <c r="G31" s="33"/>
    </row>
    <row r="32" spans="2:7" ht="19.5" customHeight="1" x14ac:dyDescent="0.2">
      <c r="B32" s="31" t="s">
        <v>73</v>
      </c>
      <c r="C32" s="31"/>
      <c r="D32" s="31"/>
      <c r="E32" s="31"/>
      <c r="F32" s="31"/>
      <c r="G32" s="31"/>
    </row>
    <row r="33" spans="2:7" ht="21.75" customHeight="1" x14ac:dyDescent="0.2">
      <c r="B33" s="30"/>
      <c r="C33" s="30"/>
      <c r="D33" s="30"/>
      <c r="E33" s="30"/>
      <c r="F33" s="30"/>
      <c r="G33" s="30"/>
    </row>
    <row r="34" spans="2:7" ht="19.5" customHeight="1" x14ac:dyDescent="0.2">
      <c r="B34" s="31" t="s">
        <v>74</v>
      </c>
      <c r="C34" s="31"/>
      <c r="D34" s="31"/>
      <c r="E34" s="31"/>
      <c r="F34" s="31"/>
      <c r="G34" s="31"/>
    </row>
    <row r="35" spans="2:7" ht="21.75" customHeight="1" x14ac:dyDescent="0.2">
      <c r="B35" s="30"/>
      <c r="C35" s="30"/>
      <c r="D35" s="30"/>
      <c r="E35" s="30"/>
      <c r="F35" s="30"/>
      <c r="G35" s="30"/>
    </row>
    <row r="36" spans="2:7" ht="19.5" customHeight="1" x14ac:dyDescent="0.2">
      <c r="B36" s="31" t="s">
        <v>75</v>
      </c>
      <c r="C36" s="31"/>
      <c r="D36" s="31"/>
      <c r="E36" s="31"/>
      <c r="F36" s="31"/>
      <c r="G36" s="31"/>
    </row>
    <row r="37" spans="2:7" ht="21.75" customHeight="1" x14ac:dyDescent="0.2">
      <c r="B37" s="30"/>
      <c r="C37" s="30"/>
      <c r="D37" s="30"/>
      <c r="E37" s="30"/>
      <c r="F37" s="30"/>
      <c r="G37" s="30"/>
    </row>
    <row r="38" spans="2:7" ht="19.5" customHeight="1" x14ac:dyDescent="0.2">
      <c r="B38" s="31" t="s">
        <v>76</v>
      </c>
      <c r="C38" s="31"/>
      <c r="D38" s="31"/>
      <c r="E38" s="31"/>
      <c r="F38" s="31"/>
      <c r="G38" s="31"/>
    </row>
    <row r="39" spans="2:7" ht="21.75" customHeight="1" x14ac:dyDescent="0.2">
      <c r="B39" s="30"/>
      <c r="C39" s="30"/>
      <c r="D39" s="30"/>
      <c r="E39" s="30"/>
      <c r="F39" s="30"/>
      <c r="G39" s="30"/>
    </row>
  </sheetData>
  <mergeCells count="16">
    <mergeCell ref="B1:G1"/>
    <mergeCell ref="B2:G2"/>
    <mergeCell ref="B4:G4"/>
    <mergeCell ref="B5:G5"/>
    <mergeCell ref="B20:G20"/>
    <mergeCell ref="B21:G21"/>
    <mergeCell ref="B30:G30"/>
    <mergeCell ref="B31:G31"/>
    <mergeCell ref="B32:G32"/>
    <mergeCell ref="B33:G33"/>
    <mergeCell ref="B39:G39"/>
    <mergeCell ref="B34:G34"/>
    <mergeCell ref="B35:G35"/>
    <mergeCell ref="B36:G36"/>
    <mergeCell ref="B37:G37"/>
    <mergeCell ref="B38:G3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28"/>
  <sheetViews>
    <sheetView zoomScaleNormal="100" workbookViewId="0"/>
  </sheetViews>
  <sheetFormatPr baseColWidth="10" defaultColWidth="8.6640625" defaultRowHeight="15" x14ac:dyDescent="0.2"/>
  <cols>
    <col min="1" max="1" width="3" customWidth="1"/>
    <col min="2" max="2" width="18" customWidth="1"/>
    <col min="3" max="4" width="14" customWidth="1"/>
    <col min="5" max="6" width="18" customWidth="1"/>
    <col min="7" max="7" width="3" customWidth="1"/>
    <col min="8" max="8" width="14" customWidth="1"/>
  </cols>
  <sheetData>
    <row r="1" spans="2:6" ht="25.5" customHeight="1" x14ac:dyDescent="0.2">
      <c r="B1" s="34" t="s">
        <v>77</v>
      </c>
      <c r="C1" s="34"/>
      <c r="D1" s="34"/>
      <c r="E1" s="34"/>
      <c r="F1" s="34"/>
    </row>
    <row r="2" spans="2:6" ht="19.5" customHeight="1" x14ac:dyDescent="0.2">
      <c r="B2" s="35" t="s">
        <v>78</v>
      </c>
      <c r="C2" s="35"/>
      <c r="D2" s="35"/>
      <c r="E2" s="35"/>
      <c r="F2" s="35"/>
    </row>
    <row r="3" spans="2:6" ht="7.5" customHeight="1" x14ac:dyDescent="0.2"/>
    <row r="4" spans="2:6" ht="19.5" customHeight="1" x14ac:dyDescent="0.2">
      <c r="B4" s="18" t="s">
        <v>79</v>
      </c>
      <c r="C4" s="18"/>
      <c r="D4" s="18"/>
      <c r="E4" s="18"/>
      <c r="F4" s="18"/>
    </row>
    <row r="5" spans="2:6" ht="27.75" customHeight="1" x14ac:dyDescent="0.2">
      <c r="B5" s="36" t="s">
        <v>80</v>
      </c>
      <c r="C5" s="36"/>
      <c r="D5" s="36"/>
      <c r="E5" s="36"/>
      <c r="F5" s="36"/>
    </row>
    <row r="6" spans="2:6" ht="19.5" customHeight="1" x14ac:dyDescent="0.2">
      <c r="B6" s="5" t="s">
        <v>81</v>
      </c>
      <c r="C6" s="5" t="s">
        <v>48</v>
      </c>
      <c r="D6" s="5" t="s">
        <v>49</v>
      </c>
      <c r="E6" s="5" t="s">
        <v>50</v>
      </c>
      <c r="F6" s="5" t="s">
        <v>82</v>
      </c>
    </row>
    <row r="7" spans="2:6" ht="21.75" customHeight="1" x14ac:dyDescent="0.2">
      <c r="B7" s="3" t="s">
        <v>83</v>
      </c>
      <c r="C7" s="6"/>
      <c r="D7" s="6"/>
      <c r="E7" s="6"/>
      <c r="F7" s="3" t="s">
        <v>84</v>
      </c>
    </row>
    <row r="8" spans="2:6" ht="7.5" customHeight="1" x14ac:dyDescent="0.2"/>
    <row r="9" spans="2:6" ht="19.5" customHeight="1" x14ac:dyDescent="0.2">
      <c r="B9" s="23" t="s">
        <v>85</v>
      </c>
      <c r="C9" s="23"/>
      <c r="D9" s="23"/>
      <c r="E9" s="23"/>
      <c r="F9" s="23"/>
    </row>
    <row r="10" spans="2:6" ht="36" customHeight="1" x14ac:dyDescent="0.2">
      <c r="B10" s="32" t="s">
        <v>86</v>
      </c>
      <c r="C10" s="32"/>
      <c r="D10" s="32"/>
      <c r="E10" s="32"/>
      <c r="F10" s="32"/>
    </row>
    <row r="11" spans="2:6" ht="19.5" customHeight="1" x14ac:dyDescent="0.2">
      <c r="B11" s="5" t="s">
        <v>47</v>
      </c>
      <c r="C11" s="5" t="s">
        <v>51</v>
      </c>
      <c r="D11" s="5" t="s">
        <v>87</v>
      </c>
      <c r="E11" s="5" t="s">
        <v>88</v>
      </c>
      <c r="F11" s="5" t="s">
        <v>52</v>
      </c>
    </row>
    <row r="12" spans="2:6" ht="18" customHeight="1" x14ac:dyDescent="0.2">
      <c r="B12" s="3" t="s">
        <v>31</v>
      </c>
      <c r="C12" s="6"/>
      <c r="D12" s="6"/>
      <c r="E12" s="6"/>
      <c r="F12" s="7" t="str">
        <f t="shared" ref="F12:F23" si="0">IF(OR(C12="",D12=""),"⬅ Fill in revenue &amp; variance first",IF(ABS(D12-(C12-$H$28))&lt;1,IF(E12="","✅ Variance correct — now write the IF formula","✅ Both correct!"),"❌ Check your variance formula — use absolute ref $H$28"))</f>
        <v>⬅ Fill in revenue &amp; variance first</v>
      </c>
    </row>
    <row r="13" spans="2:6" ht="18" customHeight="1" x14ac:dyDescent="0.2">
      <c r="B13" s="3" t="s">
        <v>32</v>
      </c>
      <c r="C13" s="6"/>
      <c r="D13" s="6"/>
      <c r="E13" s="6"/>
      <c r="F13" s="7" t="str">
        <f t="shared" si="0"/>
        <v>⬅ Fill in revenue &amp; variance first</v>
      </c>
    </row>
    <row r="14" spans="2:6" ht="18" customHeight="1" x14ac:dyDescent="0.2">
      <c r="B14" s="3" t="s">
        <v>33</v>
      </c>
      <c r="C14" s="6"/>
      <c r="D14" s="6"/>
      <c r="E14" s="6"/>
      <c r="F14" s="7" t="str">
        <f t="shared" si="0"/>
        <v>⬅ Fill in revenue &amp; variance first</v>
      </c>
    </row>
    <row r="15" spans="2:6" ht="18" customHeight="1" x14ac:dyDescent="0.2">
      <c r="B15" s="3" t="s">
        <v>34</v>
      </c>
      <c r="C15" s="6"/>
      <c r="D15" s="6"/>
      <c r="E15" s="6"/>
      <c r="F15" s="7" t="str">
        <f t="shared" si="0"/>
        <v>⬅ Fill in revenue &amp; variance first</v>
      </c>
    </row>
    <row r="16" spans="2:6" ht="18" customHeight="1" x14ac:dyDescent="0.2">
      <c r="B16" s="3" t="s">
        <v>35</v>
      </c>
      <c r="C16" s="6"/>
      <c r="D16" s="6"/>
      <c r="E16" s="6"/>
      <c r="F16" s="7" t="str">
        <f t="shared" si="0"/>
        <v>⬅ Fill in revenue &amp; variance first</v>
      </c>
    </row>
    <row r="17" spans="2:8" ht="18" customHeight="1" x14ac:dyDescent="0.2">
      <c r="B17" s="3" t="s">
        <v>36</v>
      </c>
      <c r="C17" s="6"/>
      <c r="D17" s="6"/>
      <c r="E17" s="6"/>
      <c r="F17" s="7" t="str">
        <f t="shared" si="0"/>
        <v>⬅ Fill in revenue &amp; variance first</v>
      </c>
    </row>
    <row r="18" spans="2:8" ht="18" customHeight="1" x14ac:dyDescent="0.2">
      <c r="B18" s="3" t="s">
        <v>37</v>
      </c>
      <c r="C18" s="6"/>
      <c r="D18" s="6"/>
      <c r="E18" s="6"/>
      <c r="F18" s="7" t="str">
        <f t="shared" si="0"/>
        <v>⬅ Fill in revenue &amp; variance first</v>
      </c>
    </row>
    <row r="19" spans="2:8" ht="18" customHeight="1" x14ac:dyDescent="0.2">
      <c r="B19" s="3" t="s">
        <v>38</v>
      </c>
      <c r="C19" s="6"/>
      <c r="D19" s="6"/>
      <c r="E19" s="6"/>
      <c r="F19" s="7" t="str">
        <f t="shared" si="0"/>
        <v>⬅ Fill in revenue &amp; variance first</v>
      </c>
    </row>
    <row r="20" spans="2:8" ht="18" customHeight="1" x14ac:dyDescent="0.2">
      <c r="B20" s="3" t="s">
        <v>39</v>
      </c>
      <c r="C20" s="6"/>
      <c r="D20" s="6"/>
      <c r="E20" s="6"/>
      <c r="F20" s="7" t="str">
        <f t="shared" si="0"/>
        <v>⬅ Fill in revenue &amp; variance first</v>
      </c>
    </row>
    <row r="21" spans="2:8" ht="18" customHeight="1" x14ac:dyDescent="0.2">
      <c r="B21" s="3" t="s">
        <v>40</v>
      </c>
      <c r="C21" s="6"/>
      <c r="D21" s="6"/>
      <c r="E21" s="6"/>
      <c r="F21" s="7" t="str">
        <f t="shared" si="0"/>
        <v>⬅ Fill in revenue &amp; variance first</v>
      </c>
    </row>
    <row r="22" spans="2:8" ht="18" customHeight="1" x14ac:dyDescent="0.2">
      <c r="B22" s="3" t="s">
        <v>41</v>
      </c>
      <c r="C22" s="6"/>
      <c r="D22" s="6"/>
      <c r="E22" s="6"/>
      <c r="F22" s="7" t="str">
        <f t="shared" si="0"/>
        <v>⬅ Fill in revenue &amp; variance first</v>
      </c>
    </row>
    <row r="23" spans="2:8" ht="18" customHeight="1" x14ac:dyDescent="0.2">
      <c r="B23" s="3" t="s">
        <v>42</v>
      </c>
      <c r="C23" s="6"/>
      <c r="D23" s="6"/>
      <c r="E23" s="6"/>
      <c r="F23" s="7" t="str">
        <f t="shared" si="0"/>
        <v>⬅ Fill in revenue &amp; variance first</v>
      </c>
    </row>
    <row r="24" spans="2:8" ht="7.5" customHeight="1" x14ac:dyDescent="0.2"/>
    <row r="27" spans="2:8" ht="27.75" customHeight="1" x14ac:dyDescent="0.2">
      <c r="H27" s="10" t="s">
        <v>89</v>
      </c>
    </row>
    <row r="28" spans="2:8" ht="15" customHeight="1" x14ac:dyDescent="0.2">
      <c r="H28" s="11">
        <v>55000</v>
      </c>
    </row>
  </sheetData>
  <mergeCells count="6">
    <mergeCell ref="B10:F10"/>
    <mergeCell ref="B1:F1"/>
    <mergeCell ref="B2:F2"/>
    <mergeCell ref="B4:F4"/>
    <mergeCell ref="B5:F5"/>
    <mergeCell ref="B9:F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5"/>
  <sheetViews>
    <sheetView tabSelected="1" zoomScaleNormal="100" workbookViewId="0">
      <selection activeCell="B1" sqref="B1:D1"/>
    </sheetView>
  </sheetViews>
  <sheetFormatPr baseColWidth="10" defaultColWidth="8.6640625" defaultRowHeight="15" x14ac:dyDescent="0.2"/>
  <cols>
    <col min="1" max="1" width="3" customWidth="1"/>
    <col min="2" max="2" width="18" customWidth="1"/>
    <col min="3" max="3" width="32" customWidth="1"/>
    <col min="4" max="4" width="28" customWidth="1"/>
    <col min="5" max="5" width="3" customWidth="1"/>
  </cols>
  <sheetData>
    <row r="1" spans="2:4" ht="25.5" customHeight="1" x14ac:dyDescent="0.2">
      <c r="B1" s="34" t="s">
        <v>116</v>
      </c>
      <c r="C1" s="34"/>
      <c r="D1" s="34"/>
    </row>
    <row r="2" spans="2:4" ht="19.5" customHeight="1" x14ac:dyDescent="0.2">
      <c r="B2" s="35" t="s">
        <v>90</v>
      </c>
      <c r="C2" s="35"/>
      <c r="D2" s="35"/>
    </row>
    <row r="3" spans="2:4" ht="7.5" customHeight="1" x14ac:dyDescent="0.2"/>
    <row r="4" spans="2:4" ht="19.5" customHeight="1" x14ac:dyDescent="0.2">
      <c r="B4" s="5" t="s">
        <v>56</v>
      </c>
      <c r="C4" s="5" t="s">
        <v>91</v>
      </c>
      <c r="D4" s="5" t="s">
        <v>92</v>
      </c>
    </row>
    <row r="5" spans="2:4" ht="21.75" customHeight="1" x14ac:dyDescent="0.2">
      <c r="B5" s="12" t="s">
        <v>60</v>
      </c>
      <c r="C5" s="13" t="s">
        <v>93</v>
      </c>
      <c r="D5" s="14" t="s">
        <v>94</v>
      </c>
    </row>
    <row r="6" spans="2:4" ht="21.75" customHeight="1" x14ac:dyDescent="0.2">
      <c r="B6" s="12" t="s">
        <v>62</v>
      </c>
      <c r="C6" s="13" t="s">
        <v>95</v>
      </c>
      <c r="D6" s="14" t="s">
        <v>96</v>
      </c>
    </row>
    <row r="7" spans="2:4" ht="21.75" customHeight="1" x14ac:dyDescent="0.2">
      <c r="B7" s="12" t="s">
        <v>64</v>
      </c>
      <c r="C7" s="13" t="s">
        <v>97</v>
      </c>
      <c r="D7" s="14" t="s">
        <v>98</v>
      </c>
    </row>
    <row r="8" spans="2:4" ht="21.75" customHeight="1" x14ac:dyDescent="0.2">
      <c r="B8" s="12" t="s">
        <v>66</v>
      </c>
      <c r="C8" s="13" t="s">
        <v>99</v>
      </c>
      <c r="D8" s="14" t="s">
        <v>100</v>
      </c>
    </row>
    <row r="9" spans="2:4" ht="21.75" customHeight="1" x14ac:dyDescent="0.2">
      <c r="B9" s="12" t="s">
        <v>68</v>
      </c>
      <c r="C9" s="13" t="s">
        <v>101</v>
      </c>
      <c r="D9" s="14" t="s">
        <v>102</v>
      </c>
    </row>
    <row r="10" spans="2:4" ht="21.75" customHeight="1" x14ac:dyDescent="0.2">
      <c r="B10" s="12" t="s">
        <v>70</v>
      </c>
      <c r="C10" s="13" t="s">
        <v>103</v>
      </c>
      <c r="D10" s="14" t="s">
        <v>104</v>
      </c>
    </row>
    <row r="11" spans="2:4" ht="7.5" customHeight="1" x14ac:dyDescent="0.2"/>
    <row r="12" spans="2:4" ht="19.5" customHeight="1" x14ac:dyDescent="0.2">
      <c r="B12" s="21" t="s">
        <v>105</v>
      </c>
      <c r="C12" s="21"/>
      <c r="D12" s="21"/>
    </row>
    <row r="13" spans="2:4" ht="21.75" customHeight="1" x14ac:dyDescent="0.2">
      <c r="B13" s="15" t="s">
        <v>106</v>
      </c>
      <c r="C13" s="16" t="s">
        <v>107</v>
      </c>
      <c r="D13" s="14" t="s">
        <v>108</v>
      </c>
    </row>
    <row r="14" spans="2:4" ht="21.75" customHeight="1" x14ac:dyDescent="0.2">
      <c r="B14" s="15" t="s">
        <v>109</v>
      </c>
      <c r="C14" s="16" t="s">
        <v>110</v>
      </c>
      <c r="D14" s="14" t="s">
        <v>111</v>
      </c>
    </row>
    <row r="15" spans="2:4" ht="21.75" customHeight="1" x14ac:dyDescent="0.2">
      <c r="B15" s="15" t="s">
        <v>112</v>
      </c>
      <c r="C15" s="16" t="s">
        <v>113</v>
      </c>
      <c r="D15" s="14" t="s">
        <v>114</v>
      </c>
    </row>
  </sheetData>
  <mergeCells count="3">
    <mergeCell ref="B1:D1"/>
    <mergeCell ref="B2:D2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Raw Data</vt:lpstr>
      <vt:lpstr>Event Revenue Analysis</vt:lpstr>
      <vt:lpstr>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2026-06-04T23:13:26Z</dcterms:created>
  <dcterms:modified xsi:type="dcterms:W3CDTF">2026-06-08T23:20:09Z</dcterms:modified>
  <dc:language>en-US</dc:language>
</cp:coreProperties>
</file>