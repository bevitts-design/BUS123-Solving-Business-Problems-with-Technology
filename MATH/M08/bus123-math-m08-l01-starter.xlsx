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8/"/>
    </mc:Choice>
  </mc:AlternateContent>
  <xr:revisionPtr revIDLastSave="0" documentId="13_ncr:1_{A46CD5AA-801A-F948-A23F-3B7D9B5FA2B1}" xr6:coauthVersionLast="47" xr6:coauthVersionMax="47" xr10:uidLastSave="{00000000-0000-0000-0000-000000000000}"/>
  <bookViews>
    <workbookView xWindow="0" yWindow="580" windowWidth="25600" windowHeight="16060" tabRatio="500" xr2:uid="{00000000-000D-0000-FFFF-FFFF00000000}"/>
  </bookViews>
  <sheets>
    <sheet name="START HERE" sheetId="1" r:id="rId1"/>
    <sheet name="Part A · Simple Interest" sheetId="2" r:id="rId2"/>
    <sheet name="Part B · Discounting" sheetId="3" r:id="rId3"/>
    <sheet name="Part C · DCF Model" sheetId="4" r:id="rId4"/>
    <sheet name="FormulaReference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4" l="1"/>
  <c r="G14" i="4" s="1"/>
  <c r="F13" i="4"/>
  <c r="G13" i="4" s="1"/>
  <c r="F12" i="4"/>
  <c r="G12" i="4" s="1"/>
  <c r="F11" i="4"/>
  <c r="G11" i="4" s="1"/>
  <c r="F10" i="4"/>
  <c r="G10" i="4" s="1"/>
  <c r="H20" i="2"/>
  <c r="H19" i="2"/>
  <c r="H15" i="2"/>
  <c r="H14" i="2"/>
  <c r="H13" i="2"/>
  <c r="G14" i="3"/>
  <c r="H14" i="3" s="1"/>
  <c r="G13" i="3"/>
  <c r="H13" i="3" s="1"/>
  <c r="G12" i="3"/>
  <c r="H12" i="3" s="1"/>
  <c r="F8" i="3"/>
  <c r="G8" i="3" s="1"/>
  <c r="F7" i="3"/>
  <c r="G7" i="3" s="1"/>
  <c r="F6" i="3"/>
  <c r="G6" i="3" s="1"/>
  <c r="G20" i="2"/>
  <c r="F20" i="2"/>
  <c r="G19" i="2"/>
  <c r="F19" i="2"/>
  <c r="F9" i="2"/>
  <c r="G9" i="2" s="1"/>
  <c r="F8" i="2"/>
  <c r="G8" i="2" s="1"/>
  <c r="F7" i="2"/>
  <c r="G7" i="2" s="1"/>
  <c r="G16" i="4" l="1"/>
</calcChain>
</file>

<file path=xl/sharedStrings.xml><?xml version="1.0" encoding="utf-8"?>
<sst xmlns="http://schemas.openxmlformats.org/spreadsheetml/2006/main" count="197" uniqueCount="173">
  <si>
    <t>BUS123 · MATH-M08 · L01</t>
  </si>
  <si>
    <t>Simple Interest, Discounting &amp; Present Value</t>
  </si>
  <si>
    <t>Color Key</t>
  </si>
  <si>
    <t>Yellow cell</t>
  </si>
  <si>
    <t>Your input — every yellow cell must be filled before submitting</t>
  </si>
  <si>
    <t>Green / italic text</t>
  </si>
  <si>
    <t>Formula result — calculated automatically, do not edit</t>
  </si>
  <si>
    <t>Cream background</t>
  </si>
  <si>
    <t>Read-only label or reference row</t>
  </si>
  <si>
    <t>Learning Objectives — I Can…</t>
  </si>
  <si>
    <t xml:space="preserve">  1. Calculate simple interest (I = P × R × T) with correct year conversion</t>
  </si>
  <si>
    <t xml:space="preserve">  2. Calculate future value using FV = P × (1 + R × T) in Excel</t>
  </si>
  <si>
    <t xml:space="preserve">  3. Discount a future payment to present value using PV = FV ÷ (1 + R × T)</t>
  </si>
  <si>
    <t xml:space="preserve">  4. Use the =PV() function in Excel and correctly interpret the sign of the result</t>
  </si>
  <si>
    <t xml:space="preserve">  5. Build a discounted cash flow (DCF) model by summing present values of multiple payments</t>
  </si>
  <si>
    <t>How to Use This Workbook</t>
  </si>
  <si>
    <t>Tab 2 — Part A: Simple Interest</t>
  </si>
  <si>
    <t>Three Meridian loans. Enter P, R, and T (in years). Formulas calculate Interest and FV automatically.</t>
  </si>
  <si>
    <t>Tab 3 — Part B: Discounting</t>
  </si>
  <si>
    <t>Three receivables. Enter FV, R, and T. Discount each to present value using the manual formula.</t>
  </si>
  <si>
    <t>Tab 4 — Part C: DCF Model</t>
  </si>
  <si>
    <t>Five future payments. Enter the 6% discount rate, then build PV formulas for each row and sum them.</t>
  </si>
  <si>
    <t>FormulaReferenceCard</t>
  </si>
  <si>
    <t>All formulas introduced in this lesson. Keep this visible as you work.</t>
  </si>
  <si>
    <t>Meridian Advisory Group · Simple Interest</t>
  </si>
  <si>
    <t>Enter values in yellow cells. Interest and FV calculate automatically.</t>
  </si>
  <si>
    <t>Section 1 — Simple Interest   I = P × R × T</t>
  </si>
  <si>
    <t>Loan</t>
  </si>
  <si>
    <t>Principal (P)</t>
  </si>
  <si>
    <t>Annual Rate (R)</t>
  </si>
  <si>
    <t>Time (years)</t>
  </si>
  <si>
    <t>Interest (I)</t>
  </si>
  <si>
    <t>FV = P + I</t>
  </si>
  <si>
    <t>Notes</t>
  </si>
  <si>
    <t>Loan A</t>
  </si>
  <si>
    <t>A Meridian client borrowing at 6% for 2 years</t>
  </si>
  <si>
    <t>Loan B</t>
  </si>
  <si>
    <t>Corporate note at 5.5% for 9 months → convert T</t>
  </si>
  <si>
    <t>Loan C</t>
  </si>
  <si>
    <t>Short-term facility at 7.2% for 180 days — exact interest</t>
  </si>
  <si>
    <t>Section 2 — Solve for the Unknown Variable</t>
  </si>
  <si>
    <t>Problem</t>
  </si>
  <si>
    <t>Rate (R)</t>
  </si>
  <si>
    <t>Solve For</t>
  </si>
  <si>
    <t>Your Answer</t>
  </si>
  <si>
    <t>Find P</t>
  </si>
  <si>
    <t>Principal</t>
  </si>
  <si>
    <t>Find R</t>
  </si>
  <si>
    <t>Rate</t>
  </si>
  <si>
    <t>Find T</t>
  </si>
  <si>
    <t>Time (yrs)</t>
  </si>
  <si>
    <t>Section 3 — Day-Count Methods (Exact vs. Ordinary Interest)</t>
  </si>
  <si>
    <t>Annual Rate</t>
  </si>
  <si>
    <t>Days</t>
  </si>
  <si>
    <t>T Exact (÷365)</t>
  </si>
  <si>
    <t>T Ordinary (÷360)</t>
  </si>
  <si>
    <t>Which is Higher?</t>
  </si>
  <si>
    <t>Loan X</t>
  </si>
  <si>
    <t>Loan Y</t>
  </si>
  <si>
    <t xml:space="preserve">  ⚠  Banker's Rule (÷360) always produces more interest than Exact (÷365) when all other inputs are equal — intentionally favoring the lender.</t>
  </si>
  <si>
    <t>Meridian Advisory Group · Discounting &amp; Present Value</t>
  </si>
  <si>
    <t>Section 1 — Manual PV   =  FV ÷ (1 + R × T)</t>
  </si>
  <si>
    <t>Receivable</t>
  </si>
  <si>
    <t>FV ($)</t>
  </si>
  <si>
    <t>Discount Rate (R)</t>
  </si>
  <si>
    <t>Discount Factor</t>
  </si>
  <si>
    <t>Present Value (PV)</t>
  </si>
  <si>
    <t>Rec. 1</t>
  </si>
  <si>
    <t>Future payment from a 2-year contract</t>
  </si>
  <si>
    <t>Rec. 2</t>
  </si>
  <si>
    <t>Equipment lease payment at 18 months</t>
  </si>
  <si>
    <t>Rec. 3</t>
  </si>
  <si>
    <t>Short-term note due in 270 days (exact, ÷365)</t>
  </si>
  <si>
    <t>Section 2 — The =PV() Function</t>
  </si>
  <si>
    <t>Nper</t>
  </si>
  <si>
    <t>PMT (enter 0)</t>
  </si>
  <si>
    <t>=PV() Result</t>
  </si>
  <si>
    <t>Verify with =FV()</t>
  </si>
  <si>
    <t>PV 1</t>
  </si>
  <si>
    <t>Use the same inputs as Rec. 1 above</t>
  </si>
  <si>
    <t>PV 2</t>
  </si>
  <si>
    <t>Use the same inputs as Rec. 2 above</t>
  </si>
  <si>
    <t>PV 3</t>
  </si>
  <si>
    <t>Try a new scenario: FV=$40,000, 6%, 3 years</t>
  </si>
  <si>
    <t xml:space="preserve">  ⚠  =PV() returns a negative result — this means outflow (the amount you must invest today). Do NOT manually add a minus sign. Verify with =FV() in column H.</t>
  </si>
  <si>
    <t>Meridian Advisory Group · Discounted Cash Flow Model</t>
  </si>
  <si>
    <t>A Meridian corporate client holds a contract with five future payments. Discount each to today and sum the present values.</t>
  </si>
  <si>
    <t>Model Assumption — Enter Here First</t>
  </si>
  <si>
    <t>Discount Rate</t>
  </si>
  <si>
    <t>← Enter 0.06  (do this first — all PV formulas depend on this cell)</t>
  </si>
  <si>
    <t>Payment Stream — Build the PV Formula for Each Row</t>
  </si>
  <si>
    <t>Payment</t>
  </si>
  <si>
    <t>Description</t>
  </si>
  <si>
    <t>Years</t>
  </si>
  <si>
    <t>Formula Used</t>
  </si>
  <si>
    <t>Payment 1</t>
  </si>
  <si>
    <t>Equipment purchase refund</t>
  </si>
  <si>
    <t xml:space="preserve"> =D10/(1+$C$6*E10)  or  =PV($C$6,E10,0,D10)</t>
  </si>
  <si>
    <t>Payment 2</t>
  </si>
  <si>
    <t>Contract milestone payment</t>
  </si>
  <si>
    <t xml:space="preserve"> =D11/(1+$C$6*E11)  or  =PV($C$6,E11,0,D11)</t>
  </si>
  <si>
    <t>Payment 3</t>
  </si>
  <si>
    <t>Consulting fee receivable</t>
  </si>
  <si>
    <t xml:space="preserve"> =D12/(1+$C$6*E12)  or  =PV($C$6,E12,0,D12)</t>
  </si>
  <si>
    <t>Payment 4</t>
  </si>
  <si>
    <t>Lease buyout payment</t>
  </si>
  <si>
    <t xml:space="preserve"> =D13/(1+$C$6*E13)  or  =PV($C$6,E13,0,D13)</t>
  </si>
  <si>
    <t>Payment 5</t>
  </si>
  <si>
    <t>Final settlement</t>
  </si>
  <si>
    <t xml:space="preserve"> =D14/(1+$C$6*E14)  or  =PV($C$6,E14,0,D14)</t>
  </si>
  <si>
    <t>TOTAL PRESENT VALUE</t>
  </si>
  <si>
    <t>Reflection Question</t>
  </si>
  <si>
    <t>A buyer offers $75,000 cash today for the entire contract. Based on your model at 6%, should the Meridian client accept the offer or wait to collect each payment? Explain why in the space below.</t>
  </si>
  <si>
    <t>Your answer:</t>
  </si>
  <si>
    <t>Formula Reference Card · MATH-M08-L01</t>
  </si>
  <si>
    <t>Simple Interest, Discounting &amp; Present Value  ·  Meridian Advisory Group</t>
  </si>
  <si>
    <t>SIMPLE INTEREST FORMULAS</t>
  </si>
  <si>
    <t>Formula Name</t>
  </si>
  <si>
    <t>Algebraic Form</t>
  </si>
  <si>
    <t>Excel Formula</t>
  </si>
  <si>
    <t>Simple Interest</t>
  </si>
  <si>
    <t>I = P × R × T</t>
  </si>
  <si>
    <t xml:space="preserve"> =C2*D2*E2</t>
  </si>
  <si>
    <t>T must be in years</t>
  </si>
  <si>
    <t>Ending Balance / FV</t>
  </si>
  <si>
    <t>FV = P + I  or  P × (1 + R×T)</t>
  </si>
  <si>
    <t xml:space="preserve"> =C2*(1+D2*E2)</t>
  </si>
  <si>
    <t>Growth factor = (1+R×T)</t>
  </si>
  <si>
    <t>Solve for Principal</t>
  </si>
  <si>
    <t>P = I ÷ (R × T)</t>
  </si>
  <si>
    <t xml:space="preserve"> =F2/(D2*E2)</t>
  </si>
  <si>
    <t>When I, R, T are known</t>
  </si>
  <si>
    <t>Solve for Rate</t>
  </si>
  <si>
    <t>R = I ÷ (P × T)</t>
  </si>
  <si>
    <t xml:space="preserve"> =F2/(C2*E2)</t>
  </si>
  <si>
    <t>When I, P, T are known</t>
  </si>
  <si>
    <t>Solve for Time</t>
  </si>
  <si>
    <t>T = I ÷ (P × R)</t>
  </si>
  <si>
    <t xml:space="preserve"> =F2/(C2*D2)</t>
  </si>
  <si>
    <t>When I, P, R are known</t>
  </si>
  <si>
    <t>TIME CONVERSION</t>
  </si>
  <si>
    <t>Months to Years</t>
  </si>
  <si>
    <t>T = months ÷ 12</t>
  </si>
  <si>
    <t xml:space="preserve"> =A2/12</t>
  </si>
  <si>
    <t>e.g. 9 months → 0.75</t>
  </si>
  <si>
    <t>Exact Interest</t>
  </si>
  <si>
    <t>T = days ÷ 365</t>
  </si>
  <si>
    <t xml:space="preserve"> =A2/365</t>
  </si>
  <si>
    <t>Federal Reserve / US Gov</t>
  </si>
  <si>
    <t>Ordinary Interest</t>
  </si>
  <si>
    <t>T = days ÷ 360</t>
  </si>
  <si>
    <t xml:space="preserve"> =A2/360</t>
  </si>
  <si>
    <t>Banker's Rule — more interest</t>
  </si>
  <si>
    <t>DISCOUNTING &amp; PRESENT VALUE</t>
  </si>
  <si>
    <t>DF = 1 + R × T</t>
  </si>
  <si>
    <t xml:space="preserve"> =1+D2*E2</t>
  </si>
  <si>
    <t>Always &gt; 1</t>
  </si>
  <si>
    <t>Manual PV</t>
  </si>
  <si>
    <t>PV = FV ÷ (1 + R × T)</t>
  </si>
  <si>
    <t xml:space="preserve"> =C2/(1+D2*E2)</t>
  </si>
  <si>
    <t>PV is always &lt; FV</t>
  </si>
  <si>
    <t>Excel PV Function</t>
  </si>
  <si>
    <t xml:space="preserve"> =PV(rate, nper, pmt, fv)</t>
  </si>
  <si>
    <t xml:space="preserve"> =PV(D2,E2,0,C2)</t>
  </si>
  <si>
    <t>Returns negative — outflow</t>
  </si>
  <si>
    <t>Excel FV Function</t>
  </si>
  <si>
    <t xml:space="preserve"> =FV(rate, nper, pmt, pv)</t>
  </si>
  <si>
    <t xml:space="preserve"> =FV(D2,E2,0,G2)</t>
  </si>
  <si>
    <t>Verify round trip: FV(…,PV)=FV</t>
  </si>
  <si>
    <t>DCF Total</t>
  </si>
  <si>
    <t>Sum of all PVs</t>
  </si>
  <si>
    <t xml:space="preserve"> =SUM(G10:G14)</t>
  </si>
  <si>
    <t>Total present value of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</si>
</sst>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;[Red]\-[$$-409]#,##0.00"/>
    <numFmt numFmtId="165" formatCode="\$#,##0"/>
    <numFmt numFmtId="166" formatCode="0.0%"/>
    <numFmt numFmtId="167" formatCode="&quot;$&quot;#,##0"/>
  </numFmts>
  <fonts count="24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sz val="13"/>
      <color rgb="FFC9A84C"/>
      <name val="Calibri"/>
      <family val="2"/>
    </font>
    <font>
      <b/>
      <sz val="12"/>
      <color rgb="FFFFFFFF"/>
      <name val="Calibri"/>
      <family val="2"/>
    </font>
    <font>
      <b/>
      <sz val="11"/>
      <color rgb="FF0E1116"/>
      <name val="Calibri"/>
      <family val="2"/>
    </font>
    <font>
      <sz val="11"/>
      <color rgb="FF4A5567"/>
      <name val="Calibri"/>
      <family val="2"/>
    </font>
    <font>
      <sz val="11"/>
      <color rgb="FF0E1116"/>
      <name val="Calibri"/>
      <family val="2"/>
    </font>
    <font>
      <b/>
      <sz val="11"/>
      <color rgb="FF4A7C5E"/>
      <name val="Calibri"/>
      <family val="2"/>
    </font>
    <font>
      <b/>
      <sz val="16"/>
      <color rgb="FFFFFFFF"/>
      <name val="Calibri"/>
      <family val="2"/>
    </font>
    <font>
      <b/>
      <sz val="10"/>
      <color rgb="FFC9A84C"/>
      <name val="Calibri"/>
      <family val="2"/>
    </font>
    <font>
      <sz val="11"/>
      <color rgb="FF0A3D6B"/>
      <name val="Calibri"/>
      <family val="2"/>
    </font>
    <font>
      <i/>
      <sz val="11"/>
      <color rgb="FF1A6B3C"/>
      <name val="Calibri"/>
      <family val="2"/>
    </font>
    <font>
      <b/>
      <sz val="11"/>
      <color rgb="FF1A6B3C"/>
      <name val="Calibri"/>
      <family val="2"/>
    </font>
    <font>
      <i/>
      <sz val="10"/>
      <color rgb="FF7A8290"/>
      <name val="Calibri"/>
      <family val="2"/>
    </font>
    <font>
      <sz val="11"/>
      <color rgb="FF4A7C5E"/>
      <name val="Calibri"/>
      <family val="2"/>
    </font>
    <font>
      <i/>
      <sz val="10"/>
      <color rgb="FF9C4A2B"/>
      <name val="Calibri"/>
      <family val="2"/>
    </font>
    <font>
      <i/>
      <sz val="9"/>
      <color rgb="FF9C4A2B"/>
      <name val="Calibri"/>
      <family val="2"/>
    </font>
    <font>
      <i/>
      <sz val="11"/>
      <color rgb="FF7A8290"/>
      <name val="Calibri"/>
      <family val="2"/>
    </font>
    <font>
      <b/>
      <sz val="15"/>
      <color rgb="FFFFFFFF"/>
      <name val="Calibri"/>
      <family val="2"/>
    </font>
    <font>
      <sz val="11"/>
      <color rgb="FFC9A84C"/>
      <name val="Calibri"/>
      <family val="2"/>
    </font>
    <font>
      <b/>
      <sz val="10"/>
      <color rgb="FFFFFFFF"/>
      <name val="Calibri"/>
      <family val="2"/>
    </font>
    <font>
      <sz val="11"/>
      <color rgb="FF1A6B3C"/>
      <name val="Calibri"/>
      <family val="2"/>
    </font>
    <font>
      <sz val="11"/>
      <color rgb="FF0070C0"/>
      <name val="Calibri"/>
      <family val="2"/>
    </font>
    <font>
      <b/>
      <sz val="11"/>
      <color rgb="FF0A3D6B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E1116"/>
        <bgColor rgb="FF1A1A2E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FF5F0"/>
      </patternFill>
    </fill>
    <fill>
      <patternFill patternType="solid">
        <fgColor rgb="FFB8843D"/>
        <bgColor rgb="FFC9A84C"/>
      </patternFill>
    </fill>
    <fill>
      <patternFill patternType="solid">
        <fgColor rgb="FF9C4A2B"/>
        <bgColor rgb="FF993366"/>
      </patternFill>
    </fill>
    <fill>
      <patternFill patternType="solid">
        <fgColor rgb="FF1A1A2E"/>
        <bgColor rgb="FF0E1116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5F0"/>
      </patternFill>
    </fill>
    <fill>
      <patternFill patternType="solid">
        <fgColor rgb="FFFFF5F0"/>
        <bgColor rgb="FFFFFBF0"/>
      </patternFill>
    </fill>
  </fills>
  <borders count="3">
    <border>
      <left/>
      <right/>
      <top/>
      <bottom/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8" fillId="2" borderId="0" xfId="0" applyFont="1" applyFill="1" applyAlignment="1">
      <alignment horizontal="center" vertical="center"/>
    </xf>
    <xf numFmtId="0" fontId="17" fillId="0" borderId="0" xfId="0" applyFont="1" applyAlignment="1">
      <alignment vertical="top" indent="1"/>
    </xf>
    <xf numFmtId="0" fontId="6" fillId="0" borderId="0" xfId="0" applyFont="1" applyAlignment="1">
      <alignment vertical="center" wrapText="1" indent="1"/>
    </xf>
    <xf numFmtId="0" fontId="3" fillId="3" borderId="0" xfId="0" applyFont="1" applyFill="1" applyAlignment="1">
      <alignment horizontal="right" vertical="center" indent="1"/>
    </xf>
    <xf numFmtId="0" fontId="5" fillId="0" borderId="0" xfId="0" applyFont="1" applyAlignment="1">
      <alignment horizontal="center" vertical="center" wrapText="1"/>
    </xf>
    <xf numFmtId="0" fontId="15" fillId="10" borderId="0" xfId="0" applyFont="1" applyFill="1" applyAlignment="1">
      <alignment vertical="center" wrapText="1" indent="1"/>
    </xf>
    <xf numFmtId="0" fontId="5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/>
    </xf>
    <xf numFmtId="0" fontId="3" fillId="5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 indent="1"/>
    </xf>
    <xf numFmtId="0" fontId="5" fillId="4" borderId="0" xfId="0" applyFont="1" applyFill="1" applyAlignment="1">
      <alignment vertical="center" wrapText="1" indent="1"/>
    </xf>
    <xf numFmtId="0" fontId="7" fillId="0" borderId="0" xfId="0" applyFont="1" applyAlignment="1">
      <alignment vertical="center" indent="1"/>
    </xf>
    <xf numFmtId="0" fontId="5" fillId="0" borderId="0" xfId="0" applyFont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0" fillId="8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164" fontId="12" fillId="9" borderId="1" xfId="0" applyNumberFormat="1" applyFont="1" applyFill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165" fontId="6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 wrapText="1"/>
    </xf>
    <xf numFmtId="0" fontId="5" fillId="0" borderId="0" xfId="0" applyFont="1" applyAlignment="1">
      <alignment vertical="center" indent="1"/>
    </xf>
    <xf numFmtId="0" fontId="21" fillId="0" borderId="0" xfId="0" applyFont="1" applyAlignment="1">
      <alignment vertical="center" indent="1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66" fontId="22" fillId="8" borderId="2" xfId="0" applyNumberFormat="1" applyFont="1" applyFill="1" applyBorder="1" applyAlignment="1">
      <alignment horizontal="center" vertical="center"/>
    </xf>
    <xf numFmtId="2" fontId="10" fillId="8" borderId="2" xfId="0" applyNumberFormat="1" applyFont="1" applyFill="1" applyBorder="1" applyAlignment="1">
      <alignment horizontal="center" vertical="center"/>
    </xf>
    <xf numFmtId="167" fontId="10" fillId="8" borderId="2" xfId="0" applyNumberFormat="1" applyFont="1" applyFill="1" applyBorder="1" applyAlignment="1">
      <alignment horizontal="center" vertical="center"/>
    </xf>
    <xf numFmtId="167" fontId="23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F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5114F7-09C7-8441-B8E6-EBC25764B91A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1116"/>
  </sheetPr>
  <dimension ref="B1:C21"/>
  <sheetViews>
    <sheetView showGridLines="0" tabSelected="1" zoomScaleNormal="100" workbookViewId="0"/>
  </sheetViews>
  <sheetFormatPr baseColWidth="10" defaultColWidth="8.6640625" defaultRowHeight="15" x14ac:dyDescent="0.2"/>
  <cols>
    <col min="1" max="1" width="2" customWidth="1"/>
    <col min="2" max="2" width="28" customWidth="1"/>
    <col min="3" max="3" width="52" customWidth="1"/>
  </cols>
  <sheetData>
    <row r="1" spans="2:3" ht="6" customHeight="1" x14ac:dyDescent="0.2"/>
    <row r="2" spans="2:3" ht="36" customHeight="1" x14ac:dyDescent="0.2">
      <c r="B2" s="14" t="s">
        <v>0</v>
      </c>
      <c r="C2" s="14"/>
    </row>
    <row r="3" spans="2:3" ht="24" customHeight="1" x14ac:dyDescent="0.2">
      <c r="B3" s="13" t="s">
        <v>1</v>
      </c>
      <c r="C3" s="13"/>
    </row>
    <row r="4" spans="2:3" ht="7.5" customHeight="1" x14ac:dyDescent="0.2"/>
    <row r="5" spans="2:3" ht="21.75" customHeight="1" x14ac:dyDescent="0.2">
      <c r="B5" s="12" t="s">
        <v>2</v>
      </c>
      <c r="C5" s="12"/>
    </row>
    <row r="6" spans="2:3" ht="19.5" customHeight="1" x14ac:dyDescent="0.2">
      <c r="B6" s="15" t="s">
        <v>3</v>
      </c>
      <c r="C6" s="16" t="s">
        <v>4</v>
      </c>
    </row>
    <row r="7" spans="2:3" ht="19.5" customHeight="1" x14ac:dyDescent="0.2">
      <c r="B7" s="15" t="s">
        <v>5</v>
      </c>
      <c r="C7" s="16" t="s">
        <v>6</v>
      </c>
    </row>
    <row r="8" spans="2:3" ht="19.5" customHeight="1" x14ac:dyDescent="0.2">
      <c r="B8" s="15" t="s">
        <v>7</v>
      </c>
      <c r="C8" s="16" t="s">
        <v>8</v>
      </c>
    </row>
    <row r="9" spans="2:3" ht="7.5" customHeight="1" x14ac:dyDescent="0.2"/>
    <row r="10" spans="2:3" ht="21.75" customHeight="1" x14ac:dyDescent="0.2">
      <c r="B10" s="11" t="s">
        <v>9</v>
      </c>
      <c r="C10" s="11"/>
    </row>
    <row r="11" spans="2:3" ht="19.5" customHeight="1" x14ac:dyDescent="0.2">
      <c r="B11" s="10" t="s">
        <v>10</v>
      </c>
      <c r="C11" s="10"/>
    </row>
    <row r="12" spans="2:3" ht="19.5" customHeight="1" x14ac:dyDescent="0.2">
      <c r="B12" s="10" t="s">
        <v>11</v>
      </c>
      <c r="C12" s="10"/>
    </row>
    <row r="13" spans="2:3" ht="19.5" customHeight="1" x14ac:dyDescent="0.2">
      <c r="B13" s="10" t="s">
        <v>12</v>
      </c>
      <c r="C13" s="10"/>
    </row>
    <row r="14" spans="2:3" ht="19.5" customHeight="1" x14ac:dyDescent="0.2">
      <c r="B14" s="10" t="s">
        <v>13</v>
      </c>
      <c r="C14" s="10"/>
    </row>
    <row r="15" spans="2:3" ht="19.5" customHeight="1" x14ac:dyDescent="0.2">
      <c r="B15" s="10" t="s">
        <v>14</v>
      </c>
      <c r="C15" s="10"/>
    </row>
    <row r="16" spans="2:3" ht="7.5" customHeight="1" x14ac:dyDescent="0.2"/>
    <row r="17" spans="2:3" ht="21.75" customHeight="1" x14ac:dyDescent="0.2">
      <c r="B17" s="9" t="s">
        <v>15</v>
      </c>
      <c r="C17" s="9"/>
    </row>
    <row r="18" spans="2:3" ht="21.75" customHeight="1" x14ac:dyDescent="0.2">
      <c r="B18" s="17" t="s">
        <v>16</v>
      </c>
      <c r="C18" s="18" t="s">
        <v>17</v>
      </c>
    </row>
    <row r="19" spans="2:3" ht="21.75" customHeight="1" x14ac:dyDescent="0.2">
      <c r="B19" s="17" t="s">
        <v>18</v>
      </c>
      <c r="C19" s="18" t="s">
        <v>19</v>
      </c>
    </row>
    <row r="20" spans="2:3" ht="21.75" customHeight="1" x14ac:dyDescent="0.2">
      <c r="B20" s="17" t="s">
        <v>20</v>
      </c>
      <c r="C20" s="18" t="s">
        <v>21</v>
      </c>
    </row>
    <row r="21" spans="2:3" ht="21.75" customHeight="1" x14ac:dyDescent="0.2">
      <c r="B21" s="17" t="s">
        <v>22</v>
      </c>
      <c r="C21" s="18" t="s">
        <v>23</v>
      </c>
    </row>
  </sheetData>
  <mergeCells count="10">
    <mergeCell ref="B12:C12"/>
    <mergeCell ref="B13:C13"/>
    <mergeCell ref="B14:C14"/>
    <mergeCell ref="B15:C15"/>
    <mergeCell ref="B17:C17"/>
    <mergeCell ref="B2:C2"/>
    <mergeCell ref="B3:C3"/>
    <mergeCell ref="B5:C5"/>
    <mergeCell ref="B10:C10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7C5E"/>
  </sheetPr>
  <dimension ref="B1:H21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2" customWidth="1"/>
    <col min="3" max="3" width="16" customWidth="1"/>
    <col min="4" max="5" width="14" customWidth="1"/>
    <col min="6" max="7" width="18" customWidth="1"/>
    <col min="8" max="8" width="24" customWidth="1"/>
  </cols>
  <sheetData>
    <row r="1" spans="2:8" ht="6" customHeight="1" x14ac:dyDescent="0.2"/>
    <row r="2" spans="2:8" ht="31.5" customHeight="1" x14ac:dyDescent="0.2">
      <c r="B2" s="8" t="s">
        <v>24</v>
      </c>
      <c r="C2" s="8"/>
      <c r="D2" s="8"/>
      <c r="E2" s="8"/>
      <c r="F2" s="8"/>
      <c r="G2" s="8"/>
      <c r="H2" s="8"/>
    </row>
    <row r="3" spans="2:8" ht="19.5" customHeight="1" x14ac:dyDescent="0.2">
      <c r="B3" s="7" t="s">
        <v>25</v>
      </c>
      <c r="C3" s="7"/>
      <c r="D3" s="7"/>
      <c r="E3" s="7"/>
      <c r="F3" s="7"/>
      <c r="G3" s="7"/>
      <c r="H3" s="7"/>
    </row>
    <row r="4" spans="2:8" ht="9.75" customHeight="1" x14ac:dyDescent="0.2"/>
    <row r="5" spans="2:8" ht="21.75" customHeight="1" x14ac:dyDescent="0.2">
      <c r="B5" s="12" t="s">
        <v>26</v>
      </c>
      <c r="C5" s="12"/>
      <c r="D5" s="12"/>
      <c r="E5" s="12"/>
      <c r="F5" s="12"/>
      <c r="G5" s="12"/>
      <c r="H5" s="12"/>
    </row>
    <row r="6" spans="2:8" ht="19.5" customHeight="1" x14ac:dyDescent="0.2">
      <c r="B6" s="19" t="s">
        <v>27</v>
      </c>
      <c r="C6" s="19" t="s">
        <v>28</v>
      </c>
      <c r="D6" s="19" t="s">
        <v>29</v>
      </c>
      <c r="E6" s="19" t="s">
        <v>30</v>
      </c>
      <c r="F6" s="19" t="s">
        <v>31</v>
      </c>
      <c r="G6" s="19" t="s">
        <v>32</v>
      </c>
      <c r="H6" s="19" t="s">
        <v>33</v>
      </c>
    </row>
    <row r="7" spans="2:8" ht="21.75" customHeight="1" x14ac:dyDescent="0.2">
      <c r="B7" s="20" t="s">
        <v>34</v>
      </c>
      <c r="C7" s="21"/>
      <c r="D7" s="21"/>
      <c r="E7" s="21"/>
      <c r="F7" s="22">
        <f>IFERROR(C7*D7*E7,"")</f>
        <v>0</v>
      </c>
      <c r="G7" s="23">
        <f>IFERROR(C7+F7,"")</f>
        <v>0</v>
      </c>
      <c r="H7" s="24" t="s">
        <v>35</v>
      </c>
    </row>
    <row r="8" spans="2:8" ht="21.75" customHeight="1" x14ac:dyDescent="0.2">
      <c r="B8" s="20" t="s">
        <v>36</v>
      </c>
      <c r="C8" s="21"/>
      <c r="D8" s="21"/>
      <c r="E8" s="21"/>
      <c r="F8" s="22">
        <f>IFERROR(C8*D8*E8,"")</f>
        <v>0</v>
      </c>
      <c r="G8" s="23">
        <f>IFERROR(C8+F8,"")</f>
        <v>0</v>
      </c>
      <c r="H8" s="24" t="s">
        <v>37</v>
      </c>
    </row>
    <row r="9" spans="2:8" ht="21.75" customHeight="1" x14ac:dyDescent="0.2">
      <c r="B9" s="20" t="s">
        <v>38</v>
      </c>
      <c r="C9" s="21"/>
      <c r="D9" s="21"/>
      <c r="E9" s="21"/>
      <c r="F9" s="22">
        <f>IFERROR(C9*D9*E9,"")</f>
        <v>0</v>
      </c>
      <c r="G9" s="23">
        <f>IFERROR(C9+F9,"")</f>
        <v>0</v>
      </c>
      <c r="H9" s="24" t="s">
        <v>39</v>
      </c>
    </row>
    <row r="10" spans="2:8" ht="13.5" customHeight="1" x14ac:dyDescent="0.2"/>
    <row r="11" spans="2:8" ht="21.75" customHeight="1" x14ac:dyDescent="0.2">
      <c r="B11" s="11" t="s">
        <v>40</v>
      </c>
      <c r="C11" s="11"/>
      <c r="D11" s="11"/>
      <c r="E11" s="11"/>
      <c r="F11" s="11"/>
      <c r="G11" s="11"/>
      <c r="H11" s="11"/>
    </row>
    <row r="12" spans="2:8" ht="19.5" customHeight="1" x14ac:dyDescent="0.2">
      <c r="B12" s="19" t="s">
        <v>41</v>
      </c>
      <c r="C12" s="19" t="s">
        <v>28</v>
      </c>
      <c r="D12" s="19" t="s">
        <v>42</v>
      </c>
      <c r="E12" s="19" t="s">
        <v>30</v>
      </c>
      <c r="F12" s="19" t="s">
        <v>31</v>
      </c>
      <c r="G12" s="19" t="s">
        <v>43</v>
      </c>
      <c r="H12" s="19" t="s">
        <v>44</v>
      </c>
    </row>
    <row r="13" spans="2:8" ht="21.75" customHeight="1" x14ac:dyDescent="0.2">
      <c r="B13" s="20" t="s">
        <v>45</v>
      </c>
      <c r="C13" s="21"/>
      <c r="D13" s="25">
        <v>4.4999999999999998E-2</v>
      </c>
      <c r="E13" s="25">
        <v>1</v>
      </c>
      <c r="F13" s="25">
        <v>450</v>
      </c>
      <c r="G13" s="26" t="s">
        <v>46</v>
      </c>
      <c r="H13" s="23">
        <f>IFERROR(F13/(D13*E13),"")</f>
        <v>10000</v>
      </c>
    </row>
    <row r="14" spans="2:8" ht="21.75" customHeight="1" x14ac:dyDescent="0.2">
      <c r="B14" s="20" t="s">
        <v>47</v>
      </c>
      <c r="C14" s="25">
        <v>10000</v>
      </c>
      <c r="D14" s="21"/>
      <c r="E14" s="25">
        <v>2</v>
      </c>
      <c r="F14" s="25">
        <v>1200</v>
      </c>
      <c r="G14" s="26" t="s">
        <v>48</v>
      </c>
      <c r="H14" s="23">
        <f>IFERROR(F14/(C14*E14),"")</f>
        <v>0.06</v>
      </c>
    </row>
    <row r="15" spans="2:8" ht="21.75" customHeight="1" x14ac:dyDescent="0.2">
      <c r="B15" s="20" t="s">
        <v>49</v>
      </c>
      <c r="C15" s="25">
        <v>8000</v>
      </c>
      <c r="D15" s="25">
        <v>5.5E-2</v>
      </c>
      <c r="E15" s="21"/>
      <c r="F15" s="25">
        <v>330</v>
      </c>
      <c r="G15" s="26" t="s">
        <v>50</v>
      </c>
      <c r="H15" s="23">
        <f>IFERROR(F15/(C15*D15),"")</f>
        <v>0.75</v>
      </c>
    </row>
    <row r="16" spans="2:8" ht="13.5" customHeight="1" x14ac:dyDescent="0.2"/>
    <row r="17" spans="2:8" ht="21.75" customHeight="1" x14ac:dyDescent="0.2">
      <c r="B17" s="9" t="s">
        <v>51</v>
      </c>
      <c r="C17" s="9"/>
      <c r="D17" s="9"/>
      <c r="E17" s="9"/>
      <c r="F17" s="9"/>
      <c r="G17" s="9"/>
      <c r="H17" s="9"/>
    </row>
    <row r="18" spans="2:8" ht="19.5" customHeight="1" x14ac:dyDescent="0.2">
      <c r="B18" s="19" t="s">
        <v>27</v>
      </c>
      <c r="C18" s="19" t="s">
        <v>46</v>
      </c>
      <c r="D18" s="19" t="s">
        <v>52</v>
      </c>
      <c r="E18" s="19" t="s">
        <v>53</v>
      </c>
      <c r="F18" s="19" t="s">
        <v>54</v>
      </c>
      <c r="G18" s="19" t="s">
        <v>55</v>
      </c>
      <c r="H18" s="19" t="s">
        <v>56</v>
      </c>
    </row>
    <row r="19" spans="2:8" ht="21.75" customHeight="1" x14ac:dyDescent="0.2">
      <c r="B19" s="20" t="s">
        <v>57</v>
      </c>
      <c r="C19" s="21"/>
      <c r="D19" s="21"/>
      <c r="E19" s="21"/>
      <c r="F19" s="22">
        <f>IFERROR(C19*D19*(E19/365),"")</f>
        <v>0</v>
      </c>
      <c r="G19" s="23">
        <f>IFERROR(C19*D19*(E19/360),"")</f>
        <v>0</v>
      </c>
      <c r="H19" s="22" t="str">
        <f>IF(OR(C19="",D19="",E19=""),"",IFERROR(IF(G19&gt;F19,"Ordinary","Exact"),""))</f>
        <v/>
      </c>
    </row>
    <row r="20" spans="2:8" ht="21.75" customHeight="1" x14ac:dyDescent="0.2">
      <c r="B20" s="20" t="s">
        <v>58</v>
      </c>
      <c r="C20" s="21"/>
      <c r="D20" s="21"/>
      <c r="E20" s="21"/>
      <c r="F20" s="22">
        <f>IFERROR(C20*D20*(E20/365),"")</f>
        <v>0</v>
      </c>
      <c r="G20" s="23">
        <f>IFERROR(C20*D20*(E20/360),"")</f>
        <v>0</v>
      </c>
      <c r="H20" s="22" t="str">
        <f>IF(OR(C20="",D20="",E20=""),"",IFERROR(IF(G20&gt;F20,"Ordinary","Exact"),""))</f>
        <v/>
      </c>
    </row>
    <row r="21" spans="2:8" ht="21.75" customHeight="1" x14ac:dyDescent="0.2">
      <c r="B21" s="6" t="s">
        <v>59</v>
      </c>
      <c r="C21" s="6"/>
      <c r="D21" s="6"/>
      <c r="E21" s="6"/>
      <c r="F21" s="6"/>
      <c r="G21" s="6"/>
      <c r="H21" s="6"/>
    </row>
  </sheetData>
  <mergeCells count="6">
    <mergeCell ref="B21:H21"/>
    <mergeCell ref="B2:H2"/>
    <mergeCell ref="B3:H3"/>
    <mergeCell ref="B5:H5"/>
    <mergeCell ref="B11:H11"/>
    <mergeCell ref="B17:H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C4A2B"/>
  </sheetPr>
  <dimension ref="B1:I16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2" customWidth="1"/>
    <col min="3" max="3" width="18" customWidth="1"/>
    <col min="4" max="5" width="14" customWidth="1"/>
    <col min="6" max="6" width="20" customWidth="1"/>
    <col min="7" max="7" width="22" customWidth="1"/>
    <col min="8" max="9" width="24" customWidth="1"/>
  </cols>
  <sheetData>
    <row r="1" spans="2:9" ht="6" customHeight="1" x14ac:dyDescent="0.2"/>
    <row r="2" spans="2:9" ht="31.5" customHeight="1" x14ac:dyDescent="0.2">
      <c r="B2" s="8" t="s">
        <v>60</v>
      </c>
      <c r="C2" s="8"/>
      <c r="D2" s="8"/>
      <c r="E2" s="8"/>
      <c r="F2" s="8"/>
      <c r="G2" s="8"/>
      <c r="H2" s="8"/>
    </row>
    <row r="3" spans="2:9" ht="9.75" customHeight="1" x14ac:dyDescent="0.2"/>
    <row r="4" spans="2:9" ht="21.75" customHeight="1" x14ac:dyDescent="0.2">
      <c r="B4" s="9" t="s">
        <v>61</v>
      </c>
      <c r="C4" s="9"/>
      <c r="D4" s="9"/>
      <c r="E4" s="9"/>
      <c r="F4" s="9"/>
      <c r="G4" s="9"/>
      <c r="H4" s="9"/>
    </row>
    <row r="5" spans="2:9" ht="19.5" customHeight="1" x14ac:dyDescent="0.2">
      <c r="B5" s="19" t="s">
        <v>62</v>
      </c>
      <c r="C5" s="19" t="s">
        <v>63</v>
      </c>
      <c r="D5" s="19" t="s">
        <v>64</v>
      </c>
      <c r="E5" s="19" t="s">
        <v>30</v>
      </c>
      <c r="F5" s="19" t="s">
        <v>65</v>
      </c>
      <c r="G5" s="19" t="s">
        <v>66</v>
      </c>
      <c r="H5" s="19" t="s">
        <v>33</v>
      </c>
    </row>
    <row r="6" spans="2:9" ht="21.75" customHeight="1" x14ac:dyDescent="0.2">
      <c r="B6" s="20" t="s">
        <v>67</v>
      </c>
      <c r="C6" s="21"/>
      <c r="D6" s="21"/>
      <c r="E6" s="21"/>
      <c r="F6" s="22">
        <f>IFERROR(1+D6*E6,"")</f>
        <v>1</v>
      </c>
      <c r="G6" s="23">
        <f>IFERROR(C6/F6,"")</f>
        <v>0</v>
      </c>
      <c r="H6" s="24" t="s">
        <v>68</v>
      </c>
    </row>
    <row r="7" spans="2:9" ht="21.75" customHeight="1" x14ac:dyDescent="0.2">
      <c r="B7" s="20" t="s">
        <v>69</v>
      </c>
      <c r="C7" s="21"/>
      <c r="D7" s="21"/>
      <c r="E7" s="21"/>
      <c r="F7" s="22">
        <f>IFERROR(1+D7*E7,"")</f>
        <v>1</v>
      </c>
      <c r="G7" s="23">
        <f>IFERROR(C7/F7,"")</f>
        <v>0</v>
      </c>
      <c r="H7" s="24" t="s">
        <v>70</v>
      </c>
    </row>
    <row r="8" spans="2:9" ht="21.75" customHeight="1" x14ac:dyDescent="0.2">
      <c r="B8" s="20" t="s">
        <v>71</v>
      </c>
      <c r="C8" s="21"/>
      <c r="D8" s="21"/>
      <c r="E8" s="21"/>
      <c r="F8" s="22">
        <f>IFERROR(1+D8*E8,"")</f>
        <v>1</v>
      </c>
      <c r="G8" s="23">
        <f>IFERROR(C8/F8,"")</f>
        <v>0</v>
      </c>
      <c r="H8" s="24" t="s">
        <v>72</v>
      </c>
    </row>
    <row r="9" spans="2:9" ht="13.5" customHeight="1" x14ac:dyDescent="0.2"/>
    <row r="10" spans="2:9" ht="21.75" customHeight="1" x14ac:dyDescent="0.2">
      <c r="B10" s="11" t="s">
        <v>73</v>
      </c>
      <c r="C10" s="11"/>
      <c r="D10" s="11"/>
      <c r="E10" s="11"/>
      <c r="F10" s="11"/>
      <c r="G10" s="11"/>
      <c r="H10" s="11"/>
    </row>
    <row r="11" spans="2:9" ht="19.5" customHeight="1" x14ac:dyDescent="0.2">
      <c r="B11" s="19" t="s">
        <v>62</v>
      </c>
      <c r="C11" s="19" t="s">
        <v>63</v>
      </c>
      <c r="D11" s="19" t="s">
        <v>48</v>
      </c>
      <c r="E11" s="19" t="s">
        <v>74</v>
      </c>
      <c r="F11" s="19" t="s">
        <v>75</v>
      </c>
      <c r="G11" s="19" t="s">
        <v>76</v>
      </c>
      <c r="H11" s="19" t="s">
        <v>77</v>
      </c>
    </row>
    <row r="12" spans="2:9" ht="21.75" customHeight="1" x14ac:dyDescent="0.2">
      <c r="B12" s="20" t="s">
        <v>78</v>
      </c>
      <c r="C12" s="21"/>
      <c r="D12" s="21"/>
      <c r="E12" s="21"/>
      <c r="F12" s="21"/>
      <c r="G12" s="27">
        <f>IFERROR(PV(D12,E12,F12,C12),"")</f>
        <v>0</v>
      </c>
      <c r="H12" s="28">
        <f>IFERROR(FV(D12,E12,F12,G12),"")</f>
        <v>0</v>
      </c>
      <c r="I12" s="24" t="s">
        <v>79</v>
      </c>
    </row>
    <row r="13" spans="2:9" ht="21.75" customHeight="1" x14ac:dyDescent="0.2">
      <c r="B13" s="20" t="s">
        <v>80</v>
      </c>
      <c r="C13" s="21"/>
      <c r="D13" s="21"/>
      <c r="E13" s="21"/>
      <c r="F13" s="21"/>
      <c r="G13" s="27">
        <f>IFERROR(PV(D13,E13,F13,C13),"")</f>
        <v>0</v>
      </c>
      <c r="H13" s="28">
        <f>IFERROR(FV(D13,E13,F13,G13),"")</f>
        <v>0</v>
      </c>
      <c r="I13" s="24" t="s">
        <v>81</v>
      </c>
    </row>
    <row r="14" spans="2:9" ht="21.75" customHeight="1" x14ac:dyDescent="0.2">
      <c r="B14" s="20" t="s">
        <v>82</v>
      </c>
      <c r="C14" s="21"/>
      <c r="D14" s="21"/>
      <c r="E14" s="21"/>
      <c r="F14" s="21"/>
      <c r="G14" s="27">
        <f>IFERROR(PV(D14,E14,F14,C14),"")</f>
        <v>0</v>
      </c>
      <c r="H14" s="28">
        <f>IFERROR(FV(D14,E14,F14,G14),"")</f>
        <v>0</v>
      </c>
      <c r="I14" s="24" t="s">
        <v>83</v>
      </c>
    </row>
    <row r="15" spans="2:9" ht="9.75" customHeight="1" x14ac:dyDescent="0.2"/>
    <row r="16" spans="2:9" ht="21.75" customHeight="1" x14ac:dyDescent="0.2">
      <c r="B16" s="6" t="s">
        <v>84</v>
      </c>
      <c r="C16" s="6"/>
      <c r="D16" s="6"/>
      <c r="E16" s="6"/>
      <c r="F16" s="6"/>
      <c r="G16" s="6"/>
      <c r="H16" s="6"/>
    </row>
  </sheetData>
  <mergeCells count="4">
    <mergeCell ref="B2:H2"/>
    <mergeCell ref="B4:H4"/>
    <mergeCell ref="B10:H10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843D"/>
  </sheetPr>
  <dimension ref="B1:H2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4" customWidth="1"/>
    <col min="3" max="3" width="20" customWidth="1"/>
    <col min="4" max="4" width="16" customWidth="1"/>
    <col min="5" max="5" width="14" customWidth="1"/>
    <col min="6" max="6" width="18" customWidth="1"/>
    <col min="7" max="7" width="20" customWidth="1"/>
    <col min="8" max="8" width="24" customWidth="1"/>
  </cols>
  <sheetData>
    <row r="1" spans="2:8" ht="6" customHeight="1" x14ac:dyDescent="0.2"/>
    <row r="2" spans="2:8" ht="31.5" customHeight="1" x14ac:dyDescent="0.2">
      <c r="B2" s="8" t="s">
        <v>85</v>
      </c>
      <c r="C2" s="8"/>
      <c r="D2" s="8"/>
      <c r="E2" s="8"/>
      <c r="F2" s="8"/>
      <c r="G2" s="8"/>
      <c r="H2" s="8"/>
    </row>
    <row r="3" spans="2:8" ht="24" customHeight="1" x14ac:dyDescent="0.2">
      <c r="B3" s="5" t="s">
        <v>86</v>
      </c>
      <c r="C3" s="5"/>
      <c r="D3" s="5"/>
      <c r="E3" s="5"/>
      <c r="F3" s="5"/>
      <c r="G3" s="5"/>
      <c r="H3" s="5"/>
    </row>
    <row r="4" spans="2:8" ht="9.75" customHeight="1" x14ac:dyDescent="0.2"/>
    <row r="5" spans="2:8" ht="21.75" customHeight="1" x14ac:dyDescent="0.2">
      <c r="B5" s="9" t="s">
        <v>87</v>
      </c>
      <c r="C5" s="9"/>
      <c r="D5" s="9"/>
    </row>
    <row r="6" spans="2:8" ht="21.75" customHeight="1" x14ac:dyDescent="0.2">
      <c r="B6" s="20" t="s">
        <v>88</v>
      </c>
      <c r="C6" s="40">
        <v>0.06</v>
      </c>
      <c r="D6" s="29" t="s">
        <v>89</v>
      </c>
    </row>
    <row r="7" spans="2:8" ht="9.75" customHeight="1" x14ac:dyDescent="0.2"/>
    <row r="8" spans="2:8" ht="21.75" customHeight="1" x14ac:dyDescent="0.2">
      <c r="B8" s="12" t="s">
        <v>90</v>
      </c>
      <c r="C8" s="12"/>
      <c r="D8" s="12"/>
      <c r="E8" s="12"/>
      <c r="F8" s="12"/>
      <c r="G8" s="12"/>
      <c r="H8" s="12"/>
    </row>
    <row r="9" spans="2:8" ht="19.5" customHeight="1" x14ac:dyDescent="0.2">
      <c r="B9" s="19" t="s">
        <v>91</v>
      </c>
      <c r="C9" s="19" t="s">
        <v>92</v>
      </c>
      <c r="D9" s="19" t="s">
        <v>63</v>
      </c>
      <c r="E9" s="19" t="s">
        <v>93</v>
      </c>
      <c r="F9" s="19" t="s">
        <v>65</v>
      </c>
      <c r="G9" s="19" t="s">
        <v>66</v>
      </c>
      <c r="H9" s="19" t="s">
        <v>94</v>
      </c>
    </row>
    <row r="10" spans="2:8" ht="21.75" customHeight="1" x14ac:dyDescent="0.2">
      <c r="B10" s="20" t="s">
        <v>95</v>
      </c>
      <c r="C10" s="18" t="s">
        <v>96</v>
      </c>
      <c r="D10" s="30">
        <v>18000</v>
      </c>
      <c r="E10" s="25">
        <v>1</v>
      </c>
      <c r="F10" s="41">
        <f>1+$C$6*E10</f>
        <v>1.06</v>
      </c>
      <c r="G10" s="42">
        <f>D10/F10</f>
        <v>16981.132075471698</v>
      </c>
      <c r="H10" s="31" t="s">
        <v>97</v>
      </c>
    </row>
    <row r="11" spans="2:8" ht="21.75" customHeight="1" x14ac:dyDescent="0.2">
      <c r="B11" s="20" t="s">
        <v>98</v>
      </c>
      <c r="C11" s="18" t="s">
        <v>99</v>
      </c>
      <c r="D11" s="30">
        <v>22000</v>
      </c>
      <c r="E11" s="25">
        <v>2</v>
      </c>
      <c r="F11" s="41">
        <f>1+$C$6*E11</f>
        <v>1.1200000000000001</v>
      </c>
      <c r="G11" s="42">
        <f>D11/F11</f>
        <v>19642.857142857141</v>
      </c>
      <c r="H11" s="31" t="s">
        <v>100</v>
      </c>
    </row>
    <row r="12" spans="2:8" ht="21.75" customHeight="1" x14ac:dyDescent="0.2">
      <c r="B12" s="20" t="s">
        <v>101</v>
      </c>
      <c r="C12" s="18" t="s">
        <v>102</v>
      </c>
      <c r="D12" s="30">
        <v>25000</v>
      </c>
      <c r="E12" s="25">
        <v>3</v>
      </c>
      <c r="F12" s="41">
        <f>1+$C$6*E12</f>
        <v>1.18</v>
      </c>
      <c r="G12" s="42">
        <f>D12/F12</f>
        <v>21186.440677966104</v>
      </c>
      <c r="H12" s="31" t="s">
        <v>103</v>
      </c>
    </row>
    <row r="13" spans="2:8" ht="21.75" customHeight="1" x14ac:dyDescent="0.2">
      <c r="B13" s="20" t="s">
        <v>104</v>
      </c>
      <c r="C13" s="18" t="s">
        <v>105</v>
      </c>
      <c r="D13" s="30">
        <v>20000</v>
      </c>
      <c r="E13" s="25">
        <v>4</v>
      </c>
      <c r="F13" s="41">
        <f>1+$C$6*E13</f>
        <v>1.24</v>
      </c>
      <c r="G13" s="42">
        <f>D13/F13</f>
        <v>16129.032258064517</v>
      </c>
      <c r="H13" s="31" t="s">
        <v>106</v>
      </c>
    </row>
    <row r="14" spans="2:8" ht="21.75" customHeight="1" x14ac:dyDescent="0.2">
      <c r="B14" s="20" t="s">
        <v>107</v>
      </c>
      <c r="C14" s="18" t="s">
        <v>108</v>
      </c>
      <c r="D14" s="30">
        <v>15000</v>
      </c>
      <c r="E14" s="25">
        <v>5</v>
      </c>
      <c r="F14" s="41">
        <f>1+$C$6*E14</f>
        <v>1.3</v>
      </c>
      <c r="G14" s="42">
        <f>D14/F14</f>
        <v>11538.461538461537</v>
      </c>
      <c r="H14" s="31" t="s">
        <v>109</v>
      </c>
    </row>
    <row r="15" spans="2:8" ht="6" customHeight="1" x14ac:dyDescent="0.2"/>
    <row r="16" spans="2:8" ht="25.5" customHeight="1" x14ac:dyDescent="0.2">
      <c r="B16" s="4" t="s">
        <v>110</v>
      </c>
      <c r="C16" s="4"/>
      <c r="D16" s="4"/>
      <c r="E16" s="4"/>
      <c r="F16" s="4"/>
      <c r="G16" s="43">
        <f>SUM(G10:G14)</f>
        <v>85477.923692820987</v>
      </c>
      <c r="H16" s="32" t="s">
        <v>171</v>
      </c>
    </row>
    <row r="17" spans="2:8" ht="9.75" customHeight="1" x14ac:dyDescent="0.2"/>
    <row r="18" spans="2:8" ht="21.75" customHeight="1" x14ac:dyDescent="0.2">
      <c r="B18" s="11" t="s">
        <v>111</v>
      </c>
      <c r="C18" s="11"/>
      <c r="D18" s="11"/>
      <c r="E18" s="11"/>
      <c r="F18" s="11"/>
      <c r="G18" s="11"/>
      <c r="H18" s="11"/>
    </row>
    <row r="19" spans="2:8" ht="39.75" customHeight="1" x14ac:dyDescent="0.2">
      <c r="B19" s="3" t="s">
        <v>112</v>
      </c>
      <c r="C19" s="3"/>
      <c r="D19" s="3"/>
      <c r="E19" s="3"/>
      <c r="F19" s="3"/>
      <c r="G19" s="3"/>
      <c r="H19" s="3"/>
    </row>
    <row r="20" spans="2:8" ht="21.75" customHeight="1" x14ac:dyDescent="0.2">
      <c r="B20" s="2" t="s">
        <v>113</v>
      </c>
      <c r="C20" s="2"/>
      <c r="D20" s="2"/>
      <c r="E20" s="2"/>
      <c r="F20" s="2"/>
      <c r="G20" s="2"/>
      <c r="H20" s="2"/>
    </row>
    <row r="21" spans="2:8" ht="21.75" customHeight="1" x14ac:dyDescent="0.2">
      <c r="B21" s="2"/>
      <c r="C21" s="2"/>
      <c r="D21" s="2"/>
      <c r="E21" s="2"/>
      <c r="F21" s="2"/>
      <c r="G21" s="2"/>
      <c r="H21" s="2"/>
    </row>
    <row r="22" spans="2:8" ht="21.75" customHeight="1" x14ac:dyDescent="0.2">
      <c r="B22" s="2"/>
      <c r="C22" s="2"/>
      <c r="D22" s="2"/>
      <c r="E22" s="2"/>
      <c r="F22" s="2"/>
      <c r="G22" s="2"/>
      <c r="H22" s="2"/>
    </row>
  </sheetData>
  <mergeCells count="8">
    <mergeCell ref="B18:H18"/>
    <mergeCell ref="B19:H19"/>
    <mergeCell ref="B20:H22"/>
    <mergeCell ref="B2:H2"/>
    <mergeCell ref="B3:H3"/>
    <mergeCell ref="B5:D5"/>
    <mergeCell ref="B8:H8"/>
    <mergeCell ref="B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B1:E26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8" customWidth="1"/>
    <col min="3" max="4" width="30" customWidth="1"/>
    <col min="5" max="5" width="24" customWidth="1"/>
  </cols>
  <sheetData>
    <row r="1" spans="2:5" ht="6" customHeight="1" x14ac:dyDescent="0.2"/>
    <row r="2" spans="2:5" ht="30" customHeight="1" x14ac:dyDescent="0.2">
      <c r="B2" s="1" t="s">
        <v>114</v>
      </c>
      <c r="C2" s="1"/>
      <c r="D2" s="1"/>
      <c r="E2" s="1"/>
    </row>
    <row r="3" spans="2:5" ht="19.5" customHeight="1" x14ac:dyDescent="0.2">
      <c r="B3" s="39" t="s">
        <v>115</v>
      </c>
      <c r="C3" s="39"/>
      <c r="D3" s="39"/>
      <c r="E3" s="39"/>
    </row>
    <row r="4" spans="2:5" ht="9.75" customHeight="1" x14ac:dyDescent="0.2"/>
    <row r="5" spans="2:5" ht="21.75" customHeight="1" x14ac:dyDescent="0.2">
      <c r="B5" s="12" t="s">
        <v>116</v>
      </c>
      <c r="C5" s="12"/>
      <c r="D5" s="12"/>
      <c r="E5" s="12"/>
    </row>
    <row r="6" spans="2:5" ht="18" customHeight="1" x14ac:dyDescent="0.2">
      <c r="B6" s="33" t="s">
        <v>117</v>
      </c>
      <c r="C6" s="33" t="s">
        <v>118</v>
      </c>
      <c r="D6" s="33" t="s">
        <v>119</v>
      </c>
      <c r="E6" s="33" t="s">
        <v>33</v>
      </c>
    </row>
    <row r="7" spans="2:5" ht="19.5" customHeight="1" x14ac:dyDescent="0.2">
      <c r="B7" s="34" t="s">
        <v>120</v>
      </c>
      <c r="C7" s="35" t="s">
        <v>121</v>
      </c>
      <c r="D7" s="36" t="s">
        <v>122</v>
      </c>
      <c r="E7" s="24" t="s">
        <v>123</v>
      </c>
    </row>
    <row r="8" spans="2:5" ht="19.5" customHeight="1" x14ac:dyDescent="0.2">
      <c r="B8" s="34" t="s">
        <v>124</v>
      </c>
      <c r="C8" s="35" t="s">
        <v>125</v>
      </c>
      <c r="D8" s="36" t="s">
        <v>126</v>
      </c>
      <c r="E8" s="24" t="s">
        <v>127</v>
      </c>
    </row>
    <row r="9" spans="2:5" ht="19.5" customHeight="1" x14ac:dyDescent="0.2">
      <c r="B9" s="34" t="s">
        <v>128</v>
      </c>
      <c r="C9" s="35" t="s">
        <v>129</v>
      </c>
      <c r="D9" s="36" t="s">
        <v>130</v>
      </c>
      <c r="E9" s="24" t="s">
        <v>131</v>
      </c>
    </row>
    <row r="10" spans="2:5" ht="19.5" customHeight="1" x14ac:dyDescent="0.2">
      <c r="B10" s="34" t="s">
        <v>132</v>
      </c>
      <c r="C10" s="35" t="s">
        <v>133</v>
      </c>
      <c r="D10" s="36" t="s">
        <v>134</v>
      </c>
      <c r="E10" s="24" t="s">
        <v>135</v>
      </c>
    </row>
    <row r="11" spans="2:5" ht="19.5" customHeight="1" x14ac:dyDescent="0.2">
      <c r="B11" s="34" t="s">
        <v>136</v>
      </c>
      <c r="C11" s="35" t="s">
        <v>137</v>
      </c>
      <c r="D11" s="36" t="s">
        <v>138</v>
      </c>
      <c r="E11" s="24" t="s">
        <v>139</v>
      </c>
    </row>
    <row r="12" spans="2:5" ht="7.5" customHeight="1" x14ac:dyDescent="0.2"/>
    <row r="13" spans="2:5" ht="21.75" customHeight="1" x14ac:dyDescent="0.2">
      <c r="B13" s="11" t="s">
        <v>140</v>
      </c>
      <c r="C13" s="11"/>
      <c r="D13" s="11"/>
      <c r="E13" s="11"/>
    </row>
    <row r="14" spans="2:5" ht="18" customHeight="1" x14ac:dyDescent="0.2">
      <c r="B14" s="37" t="s">
        <v>117</v>
      </c>
      <c r="C14" s="37" t="s">
        <v>118</v>
      </c>
      <c r="D14" s="37" t="s">
        <v>119</v>
      </c>
      <c r="E14" s="37" t="s">
        <v>33</v>
      </c>
    </row>
    <row r="15" spans="2:5" ht="19.5" customHeight="1" x14ac:dyDescent="0.2">
      <c r="B15" s="34" t="s">
        <v>141</v>
      </c>
      <c r="C15" s="35" t="s">
        <v>142</v>
      </c>
      <c r="D15" s="36" t="s">
        <v>143</v>
      </c>
      <c r="E15" s="24" t="s">
        <v>144</v>
      </c>
    </row>
    <row r="16" spans="2:5" ht="19.5" customHeight="1" x14ac:dyDescent="0.2">
      <c r="B16" s="34" t="s">
        <v>145</v>
      </c>
      <c r="C16" s="35" t="s">
        <v>146</v>
      </c>
      <c r="D16" s="36" t="s">
        <v>147</v>
      </c>
      <c r="E16" s="24" t="s">
        <v>148</v>
      </c>
    </row>
    <row r="17" spans="2:5" ht="19.5" customHeight="1" x14ac:dyDescent="0.2">
      <c r="B17" s="34" t="s">
        <v>149</v>
      </c>
      <c r="C17" s="35" t="s">
        <v>150</v>
      </c>
      <c r="D17" s="36" t="s">
        <v>151</v>
      </c>
      <c r="E17" s="24" t="s">
        <v>152</v>
      </c>
    </row>
    <row r="18" spans="2:5" ht="7.5" customHeight="1" x14ac:dyDescent="0.2"/>
    <row r="19" spans="2:5" ht="21.75" customHeight="1" x14ac:dyDescent="0.2">
      <c r="B19" s="9" t="s">
        <v>153</v>
      </c>
      <c r="C19" s="9"/>
      <c r="D19" s="9"/>
      <c r="E19" s="9"/>
    </row>
    <row r="20" spans="2:5" ht="18" customHeight="1" x14ac:dyDescent="0.2">
      <c r="B20" s="38" t="s">
        <v>117</v>
      </c>
      <c r="C20" s="38" t="s">
        <v>118</v>
      </c>
      <c r="D20" s="38" t="s">
        <v>119</v>
      </c>
      <c r="E20" s="38" t="s">
        <v>33</v>
      </c>
    </row>
    <row r="21" spans="2:5" ht="19.5" customHeight="1" x14ac:dyDescent="0.2">
      <c r="B21" s="34" t="s">
        <v>65</v>
      </c>
      <c r="C21" s="35" t="s">
        <v>154</v>
      </c>
      <c r="D21" s="36" t="s">
        <v>155</v>
      </c>
      <c r="E21" s="24" t="s">
        <v>156</v>
      </c>
    </row>
    <row r="22" spans="2:5" ht="19.5" customHeight="1" x14ac:dyDescent="0.2">
      <c r="B22" s="34" t="s">
        <v>157</v>
      </c>
      <c r="C22" s="35" t="s">
        <v>158</v>
      </c>
      <c r="D22" s="36" t="s">
        <v>159</v>
      </c>
      <c r="E22" s="24" t="s">
        <v>160</v>
      </c>
    </row>
    <row r="23" spans="2:5" ht="19.5" customHeight="1" x14ac:dyDescent="0.2">
      <c r="B23" s="34" t="s">
        <v>161</v>
      </c>
      <c r="C23" s="36" t="s">
        <v>162</v>
      </c>
      <c r="D23" s="36" t="s">
        <v>163</v>
      </c>
      <c r="E23" s="24" t="s">
        <v>164</v>
      </c>
    </row>
    <row r="24" spans="2:5" ht="19.5" customHeight="1" x14ac:dyDescent="0.2">
      <c r="B24" s="34" t="s">
        <v>165</v>
      </c>
      <c r="C24" s="36" t="s">
        <v>166</v>
      </c>
      <c r="D24" s="36" t="s">
        <v>167</v>
      </c>
      <c r="E24" s="24" t="s">
        <v>168</v>
      </c>
    </row>
    <row r="25" spans="2:5" ht="19.5" customHeight="1" x14ac:dyDescent="0.2">
      <c r="B25" s="34" t="s">
        <v>169</v>
      </c>
      <c r="C25" s="35" t="s">
        <v>170</v>
      </c>
      <c r="D25" s="36" t="s">
        <v>171</v>
      </c>
      <c r="E25" s="24" t="s">
        <v>172</v>
      </c>
    </row>
    <row r="26" spans="2:5" ht="7.5" customHeight="1" x14ac:dyDescent="0.2"/>
  </sheetData>
  <mergeCells count="5">
    <mergeCell ref="B2:E2"/>
    <mergeCell ref="B3:E3"/>
    <mergeCell ref="B5:E5"/>
    <mergeCell ref="B13:E13"/>
    <mergeCell ref="B19:E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Part A · Simple Interest</vt:lpstr>
      <vt:lpstr>Part B · Discounting</vt:lpstr>
      <vt:lpstr>Part C · DCF Model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2026-06-08T13:45:31Z</dcterms:created>
  <dcterms:modified xsi:type="dcterms:W3CDTF">2026-06-09T01:24:37Z</dcterms:modified>
  <dc:language>en-US</dc:language>
</cp:coreProperties>
</file>