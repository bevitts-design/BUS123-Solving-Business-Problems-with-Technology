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bethanyevittsair2/Documents/GitHub/BUS123-Solving-Business-Problems-with-Technology/MATH/M05/"/>
    </mc:Choice>
  </mc:AlternateContent>
  <xr:revisionPtr revIDLastSave="0" documentId="13_ncr:1_{7BC88C8A-6AC4-054D-9BD7-656828831BF2}" xr6:coauthVersionLast="47" xr6:coauthVersionMax="47" xr10:uidLastSave="{00000000-0000-0000-0000-000000000000}"/>
  <bookViews>
    <workbookView xWindow="0" yWindow="580" windowWidth="24140" windowHeight="15260" tabRatio="500" activeTab="3" xr2:uid="{00000000-000D-0000-FFFF-FFFF00000000}"/>
  </bookViews>
  <sheets>
    <sheet name="START HERE" sheetId="1" r:id="rId1"/>
    <sheet name="Payroll and Depreciation" sheetId="2" r:id="rId2"/>
    <sheet name="Challenge" sheetId="3" r:id="rId3"/>
    <sheet name="FormulaReferenceCard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3" l="1"/>
  <c r="C30" i="3"/>
  <c r="C29" i="3"/>
  <c r="C28" i="3"/>
  <c r="C27" i="3"/>
  <c r="C24" i="3"/>
  <c r="D29" i="3" s="1"/>
  <c r="E13" i="3"/>
  <c r="E12" i="3"/>
  <c r="C32" i="2"/>
  <c r="C31" i="2"/>
  <c r="C30" i="2"/>
  <c r="C29" i="2"/>
  <c r="C28" i="2"/>
  <c r="C27" i="2"/>
  <c r="C24" i="2"/>
  <c r="D31" i="2" s="1"/>
  <c r="F9" i="2"/>
  <c r="G9" i="2" s="1"/>
  <c r="E8" i="2"/>
  <c r="G8" i="2" s="1"/>
  <c r="F7" i="2"/>
  <c r="E7" i="2"/>
  <c r="F6" i="2"/>
  <c r="E6" i="2"/>
  <c r="G7" i="2" l="1"/>
  <c r="E14" i="3"/>
  <c r="E15" i="3" s="1"/>
  <c r="D28" i="2"/>
  <c r="D30" i="2"/>
  <c r="D28" i="3"/>
  <c r="D32" i="2"/>
  <c r="D27" i="3"/>
  <c r="E27" i="3" s="1"/>
  <c r="D30" i="3"/>
  <c r="G6" i="2"/>
  <c r="G10" i="2" s="1"/>
  <c r="D27" i="2"/>
  <c r="E27" i="2" s="1"/>
  <c r="E28" i="2" s="1"/>
  <c r="F28" i="2" s="1"/>
  <c r="D29" i="2"/>
  <c r="D31" i="3"/>
  <c r="F27" i="2" l="1"/>
  <c r="E28" i="3"/>
  <c r="E29" i="2"/>
  <c r="E30" i="2" s="1"/>
  <c r="F27" i="3"/>
  <c r="F29" i="2" l="1"/>
  <c r="E29" i="3"/>
  <c r="F28" i="3"/>
  <c r="E31" i="2"/>
  <c r="F30" i="2"/>
  <c r="F29" i="3" l="1"/>
  <c r="E30" i="3"/>
  <c r="E32" i="2"/>
  <c r="F32" i="2" s="1"/>
  <c r="F31" i="2"/>
  <c r="E31" i="3" l="1"/>
  <c r="F31" i="3" s="1"/>
  <c r="F30" i="3"/>
</calcChain>
</file>

<file path=xl/sharedStrings.xml><?xml version="1.0" encoding="utf-8"?>
<sst xmlns="http://schemas.openxmlformats.org/spreadsheetml/2006/main" count="139" uniqueCount="122">
  <si>
    <t>BUS123 · MATH M05 · L01</t>
  </si>
  <si>
    <t>Payroll and Depreciation</t>
  </si>
  <si>
    <t>Harborside Medical Center  ·  Fall 2026</t>
  </si>
  <si>
    <t>Learning Objectives</t>
  </si>
  <si>
    <t xml:space="preserve">  ● I can calculate gross pay for hourly, salary, overtime, and commission employees.</t>
  </si>
  <si>
    <t xml:space="preserve">  ● I can explain how headcount and overtime change total payroll costs.</t>
  </si>
  <si>
    <t xml:space="preserve">  ● I can build a straight-line depreciation schedule.</t>
  </si>
  <si>
    <t xml:space="preserve">  ● I can connect payroll and depreciation decisions to Harborside Medical operations.</t>
  </si>
  <si>
    <t>How to Use This Workbook</t>
  </si>
  <si>
    <t>Main Activity</t>
  </si>
  <si>
    <t>Complete the payroll calculations for four Harborside employees, then build the depreciation schedule for the ultrasound unit.</t>
  </si>
  <si>
    <t>Challenge</t>
  </si>
  <si>
    <t>Optional stretch: model the full nurse team overtime and depreciate a second asset.</t>
  </si>
  <si>
    <t>FormulaReferenceCard</t>
  </si>
  <si>
    <t>Quick-reference tab with all formulas for this lesson. Use it, do not memorize it.</t>
  </si>
  <si>
    <t>Yellow cells</t>
  </si>
  <si>
    <t>Yellow cells are where you type. They are always empty to start.</t>
  </si>
  <si>
    <t>Green text</t>
  </si>
  <si>
    <t>Green bold text shows a calculated result. These update when you fill in the yellow inputs.</t>
  </si>
  <si>
    <t>Reminder</t>
  </si>
  <si>
    <t>Decide which Excel functions to use based on the context — the workbook will not tell you. Use the FormulaReferenceCard if you get stuck.</t>
  </si>
  <si>
    <t>Part 1 · Harborside Payroll — Four Employee Types</t>
  </si>
  <si>
    <t>Calculate gross pay for each Harborside employee. Use the correct formula for each pay type.</t>
  </si>
  <si>
    <t>Employee / Role</t>
  </si>
  <si>
    <t>Hours Worked</t>
  </si>
  <si>
    <t>Hourly Rate</t>
  </si>
  <si>
    <t>Regular Pay</t>
  </si>
  <si>
    <t>Overtime Pay</t>
  </si>
  <si>
    <t>Gross Pay</t>
  </si>
  <si>
    <t>Alex Rivera — Front Desk (Hourly)</t>
  </si>
  <si>
    <t>Sam Patel — Nurse (Hourly + OT eligible)</t>
  </si>
  <si>
    <t>Jordan Lee — Billing Manager (Salary: $62,400/yr)</t>
  </si>
  <si>
    <t>Annual Salary</t>
  </si>
  <si>
    <t>Casey Morales — Outreach Coordinator (Base $800/wk + 4% of $3,200 referrals)</t>
  </si>
  <si>
    <t>Weekly Sales ($)</t>
  </si>
  <si>
    <t>Total Gross Pay (All Employees)</t>
  </si>
  <si>
    <t>Part 1 Analysis Question</t>
  </si>
  <si>
    <t>Sam Patel worked 46 hours. If Harborside scheduled a second nurse for those 6 extra hours instead, would weekly payroll cost go up or down? Explain your reasoning in the cell below.</t>
  </si>
  <si>
    <t>Part 2 · Straight-Line Depreciation Schedule</t>
  </si>
  <si>
    <t>Harborside buys a diagnostic ultrasound unit. Build the full depreciation schedule below.</t>
  </si>
  <si>
    <t>Asset cost</t>
  </si>
  <si>
    <t>Residual value</t>
  </si>
  <si>
    <t>Useful life (years)</t>
  </si>
  <si>
    <t>Annual Depreciation (formula):</t>
  </si>
  <si>
    <t>Year</t>
  </si>
  <si>
    <t>Asset Cost</t>
  </si>
  <si>
    <t>Depreciation Expense</t>
  </si>
  <si>
    <t>Accumulated Depreciation</t>
  </si>
  <si>
    <t>Book Value</t>
  </si>
  <si>
    <t>1</t>
  </si>
  <si>
    <t>2</t>
  </si>
  <si>
    <t>3</t>
  </si>
  <si>
    <t>4</t>
  </si>
  <si>
    <t>5</t>
  </si>
  <si>
    <t>6</t>
  </si>
  <si>
    <t>Part 2 Analysis Question</t>
  </si>
  <si>
    <t>At the end of Year 3, a technician says the ultrasound machine "still has half its value left." Is that accurate? Explain using numbers from your schedule.</t>
  </si>
  <si>
    <t>Challenge · Nurse Team Payroll and Second Asset</t>
  </si>
  <si>
    <t>This stretch activity asks you to model a full nurse team and build a depreciation schedule for a second piece of equipment.</t>
  </si>
  <si>
    <t>Challenge 1 · Nurse Team Weekly Payroll</t>
  </si>
  <si>
    <t>Harborside has 8 nurses. Each worked an average of 43 hours this week at $44/hour. Calculate total team gross pay.</t>
  </si>
  <si>
    <t>Input</t>
  </si>
  <si>
    <t>Value</t>
  </si>
  <si>
    <t>Calculation</t>
  </si>
  <si>
    <t>Amount</t>
  </si>
  <si>
    <t>Number of nurses</t>
  </si>
  <si>
    <t>Hours worked per nurse</t>
  </si>
  <si>
    <t>Hourly rate</t>
  </si>
  <si>
    <t>Regular pay per nurse</t>
  </si>
  <si>
    <t>Overtime pay per nurse</t>
  </si>
  <si>
    <t>Gross pay per nurse</t>
  </si>
  <si>
    <t>Total team gross pay</t>
  </si>
  <si>
    <t>Challenge 2 · Depreciation: Digital X-Ray System</t>
  </si>
  <si>
    <t>Harborside also purchases a digital X-ray system for $112,500 with a $15,000 residual value and 5-year useful life. Build the complete depreciation schedule.</t>
  </si>
  <si>
    <t>Annual Depreciation:</t>
  </si>
  <si>
    <t>Formula Reference Card · MATH M05 L01</t>
  </si>
  <si>
    <t>Payroll and Depreciation · Harborside Medical Center</t>
  </si>
  <si>
    <t>Payroll Formulas</t>
  </si>
  <si>
    <t>Formula</t>
  </si>
  <si>
    <t xml:space="preserve"> Excel Syntax (display only)</t>
  </si>
  <si>
    <t>Notes</t>
  </si>
  <si>
    <t>Regular pay</t>
  </si>
  <si>
    <t xml:space="preserve"> =MIN(hours,40)*rate</t>
  </si>
  <si>
    <t>Caps at 40 regular hours; excess is OT.</t>
  </si>
  <si>
    <t>Overtime pay</t>
  </si>
  <si>
    <t xml:space="preserve"> =MAX(hours-40,0)*rate*1.5</t>
  </si>
  <si>
    <t>Only hours above 40; zero if no OT.</t>
  </si>
  <si>
    <t>Gross pay (hourly)</t>
  </si>
  <si>
    <t xml:space="preserve"> =MIN(h,40)*r + MAX(h-40,0)*r*1.5</t>
  </si>
  <si>
    <t>Combines regular + OT in one cell.</t>
  </si>
  <si>
    <t>Salary per period</t>
  </si>
  <si>
    <t xml:space="preserve"> =annual_salary/pay_periods</t>
  </si>
  <si>
    <t>Use 52 (weekly), 26 (biweekly), 24 (semi), 12 (monthly).</t>
  </si>
  <si>
    <t>Commission pay</t>
  </si>
  <si>
    <t xml:space="preserve"> =sales * commission_rate</t>
  </si>
  <si>
    <t>Commission is usually added to a base wage.</t>
  </si>
  <si>
    <t>Gross pay (commission)</t>
  </si>
  <si>
    <t xml:space="preserve"> =base_pay + (sales*rate)</t>
  </si>
  <si>
    <t>Total before deductions.</t>
  </si>
  <si>
    <t>Depreciation Formulas</t>
  </si>
  <si>
    <t>Annual straight-line depreciation</t>
  </si>
  <si>
    <t xml:space="preserve"> =(cost-residual)/life</t>
  </si>
  <si>
    <t>Depreciable cost divided by useful life in years.</t>
  </si>
  <si>
    <t>Accumulated depreciation (year N)</t>
  </si>
  <si>
    <t xml:space="preserve"> =annual_depr * N</t>
  </si>
  <si>
    <t>Or use SUM of prior expense column rows.</t>
  </si>
  <si>
    <t>Book value (any year)</t>
  </si>
  <si>
    <t xml:space="preserve"> =cost - accumulated_depreciation</t>
  </si>
  <si>
    <t>Reaches residual value at end of useful life.</t>
  </si>
  <si>
    <t>Depreciable cost</t>
  </si>
  <si>
    <t xml:space="preserve"> =cost - residual_value</t>
  </si>
  <si>
    <t>The portion that gets expensed over useful life.</t>
  </si>
  <si>
    <t>Key Terms</t>
  </si>
  <si>
    <t>Gross pay</t>
  </si>
  <si>
    <t>Total earnings before any deductions are removed.</t>
  </si>
  <si>
    <t>Overtime threshold</t>
  </si>
  <si>
    <t>The standard is 40 hours/week. Hours above this threshold earn 1.5x pay.</t>
  </si>
  <si>
    <t>The asset value that is NOT depreciated. Subtract it before dividing by useful life.</t>
  </si>
  <si>
    <t>Book value</t>
  </si>
  <si>
    <t>What the asset is "worth" on the books: cost minus accumulated depreciation.</t>
  </si>
  <si>
    <t>Accumulated depreciation</t>
  </si>
  <si>
    <t>The SUM of all depreciation expense recorded since the asset was acquired.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</si>
</sst>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24" x14ac:knownFonts="1">
    <font>
      <sz val="11"/>
      <color theme="1"/>
      <name val="Calibri"/>
      <family val="2"/>
      <charset val="1"/>
    </font>
    <font>
      <b/>
      <sz val="14"/>
      <color rgb="FFB8843D"/>
      <name val="Calibri"/>
      <family val="2"/>
    </font>
    <font>
      <b/>
      <sz val="18"/>
      <color rgb="FF0E1116"/>
      <name val="Calibri"/>
      <family val="2"/>
    </font>
    <font>
      <sz val="11"/>
      <color rgb="FF4A5567"/>
      <name val="Calibri"/>
      <family val="2"/>
    </font>
    <font>
      <b/>
      <sz val="12"/>
      <color rgb="FFB8843D"/>
      <name val="Calibri"/>
      <family val="2"/>
    </font>
    <font>
      <sz val="11"/>
      <color rgb="FF0E1116"/>
      <name val="Calibri"/>
      <family val="2"/>
    </font>
    <font>
      <b/>
      <sz val="11"/>
      <color rgb="FF4A7C5E"/>
      <name val="Calibri"/>
      <family val="2"/>
    </font>
    <font>
      <sz val="10.5"/>
      <color rgb="FF0E1116"/>
      <name val="Calibri"/>
      <family val="2"/>
    </font>
    <font>
      <sz val="10.5"/>
      <color rgb="FF4A5567"/>
      <name val="Calibri"/>
      <family val="2"/>
    </font>
    <font>
      <i/>
      <sz val="10.5"/>
      <color rgb="FF4A5567"/>
      <name val="Calibri"/>
      <family val="2"/>
    </font>
    <font>
      <b/>
      <sz val="11"/>
      <color rgb="FFFFFFFF"/>
      <name val="Calibri"/>
      <family val="2"/>
    </font>
    <font>
      <b/>
      <sz val="11"/>
      <color rgb="FF1A6B3C"/>
      <name val="Calibri"/>
      <family val="2"/>
    </font>
    <font>
      <i/>
      <sz val="9.5"/>
      <color rgb="FF7A8290"/>
      <name val="Calibri"/>
      <family val="2"/>
    </font>
    <font>
      <b/>
      <sz val="11"/>
      <color rgb="FF0E1116"/>
      <name val="Calibri"/>
      <family val="2"/>
    </font>
    <font>
      <b/>
      <sz val="12"/>
      <color rgb="FF1A6B3C"/>
      <name val="Calibri"/>
      <family val="2"/>
    </font>
    <font>
      <i/>
      <sz val="10.5"/>
      <color rgb="FF0E1116"/>
      <name val="Calibri"/>
      <family val="2"/>
    </font>
    <font>
      <b/>
      <sz val="13"/>
      <color rgb="FFB8843D"/>
      <name val="Calibri"/>
      <family val="2"/>
    </font>
    <font>
      <b/>
      <sz val="11"/>
      <color rgb="FFB8843D"/>
      <name val="Calibri"/>
      <family val="2"/>
    </font>
    <font>
      <b/>
      <sz val="10"/>
      <color rgb="FF0E1116"/>
      <name val="Calibri"/>
      <family val="2"/>
    </font>
    <font>
      <b/>
      <sz val="10.5"/>
      <color rgb="FF0E1116"/>
      <name val="Calibri"/>
      <family val="2"/>
    </font>
    <font>
      <sz val="10"/>
      <color rgb="FFB8843D"/>
      <name val="Courier New"/>
      <family val="1"/>
    </font>
    <font>
      <sz val="10"/>
      <color rgb="FF4A5567"/>
      <name val="Calibri"/>
      <family val="2"/>
    </font>
    <font>
      <b/>
      <sz val="10.5"/>
      <color rgb="FF4A7C5E"/>
      <name val="Calibri"/>
      <family val="2"/>
    </font>
    <font>
      <sz val="10"/>
      <color rgb="FF0E1116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0E1116"/>
        <bgColor rgb="FF000000"/>
      </patternFill>
    </fill>
    <fill>
      <patternFill patternType="solid">
        <fgColor rgb="FFFFD966"/>
        <bgColor rgb="FFFFFF99"/>
      </patternFill>
    </fill>
    <fill>
      <patternFill patternType="solid">
        <fgColor rgb="FFFFFBF0"/>
        <bgColor rgb="FFFFFFFF"/>
      </patternFill>
    </fill>
    <fill>
      <patternFill patternType="solid">
        <fgColor rgb="FFF2EEE5"/>
        <bgColor rgb="FFFFFBF0"/>
      </patternFill>
    </fill>
    <fill>
      <patternFill patternType="solid">
        <fgColor rgb="FFFFFFFF"/>
        <bgColor rgb="FFFFFBF0"/>
      </patternFill>
    </fill>
  </fills>
  <borders count="5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rgb="FFB8843D"/>
      </left>
      <right style="medium">
        <color rgb="FFB8843D"/>
      </right>
      <top style="medium">
        <color rgb="FFB8843D"/>
      </top>
      <bottom style="medium">
        <color rgb="FFB8843D"/>
      </bottom>
      <diagonal/>
    </border>
    <border>
      <left style="medium">
        <color rgb="FFB8843D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thin">
        <color rgb="FFB8843D"/>
      </left>
      <right/>
      <top style="thin">
        <color rgb="FFB8843D"/>
      </top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7" fillId="2" borderId="0" xfId="0" applyFont="1" applyFill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3" borderId="4" xfId="0" applyFill="1" applyBorder="1" applyAlignment="1">
      <alignment horizontal="left" vertical="top" wrapText="1"/>
    </xf>
    <xf numFmtId="0" fontId="15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10" fillId="2" borderId="1" xfId="0" applyFont="1" applyFill="1" applyBorder="1" applyAlignment="1">
      <alignment horizontal="center" vertical="center"/>
    </xf>
    <xf numFmtId="2" fontId="0" fillId="3" borderId="2" xfId="0" applyNumberForma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64" fontId="11" fillId="4" borderId="3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/>
    <xf numFmtId="164" fontId="14" fillId="4" borderId="3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 wrapText="1"/>
    </xf>
    <xf numFmtId="1" fontId="0" fillId="3" borderId="2" xfId="0" applyNumberForma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18" fillId="5" borderId="0" xfId="0" applyFont="1" applyFill="1" applyAlignment="1">
      <alignment horizontal="center" vertical="center"/>
    </xf>
    <xf numFmtId="0" fontId="19" fillId="6" borderId="0" xfId="0" applyFont="1" applyFill="1" applyAlignment="1">
      <alignment horizontal="left" vertical="center" wrapText="1"/>
    </xf>
    <xf numFmtId="0" fontId="20" fillId="2" borderId="0" xfId="0" applyFont="1" applyFill="1" applyAlignment="1">
      <alignment horizontal="left" vertical="center" wrapText="1"/>
    </xf>
    <xf numFmtId="0" fontId="21" fillId="6" borderId="0" xfId="0" applyFont="1" applyFill="1" applyAlignment="1">
      <alignment horizontal="left" vertical="center" wrapText="1"/>
    </xf>
    <xf numFmtId="0" fontId="19" fillId="5" borderId="0" xfId="0" applyFont="1" applyFill="1" applyAlignment="1">
      <alignment horizontal="left" vertical="center" wrapText="1"/>
    </xf>
    <xf numFmtId="0" fontId="21" fillId="5" borderId="0" xfId="0" applyFont="1" applyFill="1" applyAlignment="1">
      <alignment horizontal="left" vertical="center" wrapText="1"/>
    </xf>
    <xf numFmtId="0" fontId="22" fillId="6" borderId="0" xfId="0" applyFont="1" applyFill="1"/>
    <xf numFmtId="0" fontId="23" fillId="6" borderId="0" xfId="0" applyFont="1" applyFill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A6B3C"/>
      <rgbColor rgb="FF000080"/>
      <rgbColor rgb="FFB8843D"/>
      <rgbColor rgb="FF800080"/>
      <rgbColor rgb="FF008080"/>
      <rgbColor rgb="FFC0C0C0"/>
      <rgbColor rgb="FF7A8290"/>
      <rgbColor rgb="FF9999FF"/>
      <rgbColor rgb="FF993366"/>
      <rgbColor rgb="FFFFFBF0"/>
      <rgbColor rgb="FFCCFFFF"/>
      <rgbColor rgb="FF660066"/>
      <rgbColor rgb="FFFF8080"/>
      <rgbColor rgb="FF0066CC"/>
      <rgbColor rgb="FFE5E1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2EEE5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4A5567"/>
      <rgbColor rgb="FF888888"/>
      <rgbColor rgb="FF003366"/>
      <rgbColor rgb="FF4A7C5E"/>
      <rgbColor rgb="FF0E1116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8DF736E-5439-704D-9CE3-E4D5E087F126}">
  <we:reference id="wa200010725" version="1.0.0.1" store="en-US" storeType="OMEX"/>
  <we:alternateReferences>
    <we:reference id="WA200010725" version="1.0.0.1" store="" storeType="OMEX"/>
  </we:alternateReferences>
  <we:properties>
    <we:property name="claude.fileId" value="&quot;41628df1-ec8c-4d06-8b7b-cd6b0cb48210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A0E12F2D-9931-AD46-9F31-CD7E133522F7}">
  <we:reference id="wa200010215" version="2.0.0.0" store="en-US" storeType="OMEX"/>
  <we:alternateReferences>
    <we:reference id="WA200010215" version="2.0.0.0" store="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1116"/>
  </sheetPr>
  <dimension ref="B2:D25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28" customWidth="1"/>
    <col min="3" max="3" width="52" customWidth="1"/>
    <col min="4" max="4" width="16" customWidth="1"/>
  </cols>
  <sheetData>
    <row r="2" spans="2:4" ht="27.75" customHeight="1" x14ac:dyDescent="0.2">
      <c r="B2" s="14" t="s">
        <v>0</v>
      </c>
      <c r="C2" s="14"/>
      <c r="D2" s="14"/>
    </row>
    <row r="3" spans="2:4" ht="30" customHeight="1" x14ac:dyDescent="0.2">
      <c r="B3" s="13" t="s">
        <v>1</v>
      </c>
      <c r="C3" s="13"/>
      <c r="D3" s="13"/>
    </row>
    <row r="4" spans="2:4" ht="19.5" customHeight="1" x14ac:dyDescent="0.2">
      <c r="B4" s="12" t="s">
        <v>2</v>
      </c>
      <c r="C4" s="12"/>
      <c r="D4" s="12"/>
    </row>
    <row r="5" spans="2:4" ht="7.5" customHeight="1" x14ac:dyDescent="0.2"/>
    <row r="6" spans="2:4" ht="21.75" customHeight="1" x14ac:dyDescent="0.2">
      <c r="B6" s="11" t="s">
        <v>3</v>
      </c>
      <c r="C6" s="11"/>
      <c r="D6" s="11"/>
    </row>
    <row r="7" spans="2:4" ht="19.5" customHeight="1" x14ac:dyDescent="0.2">
      <c r="B7" s="10" t="s">
        <v>4</v>
      </c>
      <c r="C7" s="10"/>
      <c r="D7" s="10"/>
    </row>
    <row r="8" spans="2:4" ht="19.5" customHeight="1" x14ac:dyDescent="0.2">
      <c r="B8" s="10" t="s">
        <v>5</v>
      </c>
      <c r="C8" s="10"/>
      <c r="D8" s="10"/>
    </row>
    <row r="9" spans="2:4" ht="19.5" customHeight="1" x14ac:dyDescent="0.2">
      <c r="B9" s="10" t="s">
        <v>6</v>
      </c>
      <c r="C9" s="10"/>
      <c r="D9" s="10"/>
    </row>
    <row r="10" spans="2:4" ht="19.5" customHeight="1" x14ac:dyDescent="0.2">
      <c r="B10" s="10" t="s">
        <v>7</v>
      </c>
      <c r="C10" s="10"/>
      <c r="D10" s="10"/>
    </row>
    <row r="11" spans="2:4" ht="9.75" customHeight="1" x14ac:dyDescent="0.2"/>
    <row r="12" spans="2:4" ht="21.75" customHeight="1" x14ac:dyDescent="0.2">
      <c r="B12" s="11" t="s">
        <v>8</v>
      </c>
      <c r="C12" s="11"/>
      <c r="D12" s="11"/>
    </row>
    <row r="13" spans="2:4" ht="19.5" customHeight="1" x14ac:dyDescent="0.2">
      <c r="B13" s="16" t="s">
        <v>9</v>
      </c>
      <c r="C13" s="9" t="s">
        <v>10</v>
      </c>
      <c r="D13" s="9"/>
    </row>
    <row r="14" spans="2:4" ht="3.75" customHeight="1" x14ac:dyDescent="0.2"/>
    <row r="15" spans="2:4" ht="19.5" customHeight="1" x14ac:dyDescent="0.2">
      <c r="B15" s="16" t="s">
        <v>11</v>
      </c>
      <c r="C15" s="9" t="s">
        <v>12</v>
      </c>
      <c r="D15" s="9"/>
    </row>
    <row r="16" spans="2:4" ht="3.75" customHeight="1" x14ac:dyDescent="0.2"/>
    <row r="17" spans="2:4" ht="19.5" customHeight="1" x14ac:dyDescent="0.2">
      <c r="B17" s="16" t="s">
        <v>13</v>
      </c>
      <c r="C17" s="9" t="s">
        <v>14</v>
      </c>
      <c r="D17" s="9"/>
    </row>
    <row r="18" spans="2:4" ht="3.75" customHeight="1" x14ac:dyDescent="0.2"/>
    <row r="19" spans="2:4" ht="19.5" customHeight="1" x14ac:dyDescent="0.2">
      <c r="B19" s="16" t="s">
        <v>15</v>
      </c>
      <c r="C19" s="9" t="s">
        <v>16</v>
      </c>
      <c r="D19" s="9"/>
    </row>
    <row r="20" spans="2:4" ht="3.75" customHeight="1" x14ac:dyDescent="0.2"/>
    <row r="21" spans="2:4" ht="19.5" customHeight="1" x14ac:dyDescent="0.2">
      <c r="B21" s="16" t="s">
        <v>17</v>
      </c>
      <c r="C21" s="9" t="s">
        <v>18</v>
      </c>
      <c r="D21" s="9"/>
    </row>
    <row r="22" spans="2:4" ht="3.75" customHeight="1" x14ac:dyDescent="0.2"/>
    <row r="23" spans="2:4" ht="9.75" customHeight="1" x14ac:dyDescent="0.2"/>
    <row r="24" spans="2:4" ht="21.75" customHeight="1" x14ac:dyDescent="0.2">
      <c r="B24" s="11" t="s">
        <v>19</v>
      </c>
      <c r="C24" s="11"/>
      <c r="D24" s="11"/>
    </row>
    <row r="25" spans="2:4" ht="27.75" customHeight="1" x14ac:dyDescent="0.2">
      <c r="B25" s="8" t="s">
        <v>20</v>
      </c>
      <c r="C25" s="8"/>
      <c r="D25" s="8"/>
    </row>
  </sheetData>
  <mergeCells count="16">
    <mergeCell ref="B25:D25"/>
    <mergeCell ref="C15:D15"/>
    <mergeCell ref="C17:D17"/>
    <mergeCell ref="C19:D19"/>
    <mergeCell ref="C21:D21"/>
    <mergeCell ref="B24:D24"/>
    <mergeCell ref="B8:D8"/>
    <mergeCell ref="B9:D9"/>
    <mergeCell ref="B10:D10"/>
    <mergeCell ref="B12:D12"/>
    <mergeCell ref="C13:D13"/>
    <mergeCell ref="B2:D2"/>
    <mergeCell ref="B3:D3"/>
    <mergeCell ref="B4:D4"/>
    <mergeCell ref="B6:D6"/>
    <mergeCell ref="B7:D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A7C5E"/>
  </sheetPr>
  <dimension ref="B2:G37"/>
  <sheetViews>
    <sheetView showGridLines="0" zoomScaleNormal="100" workbookViewId="0"/>
  </sheetViews>
  <sheetFormatPr baseColWidth="10" defaultColWidth="8.6640625" defaultRowHeight="15" x14ac:dyDescent="0.2"/>
  <cols>
    <col min="1" max="1" width="3" customWidth="1"/>
    <col min="2" max="2" width="30" customWidth="1"/>
    <col min="3" max="7" width="14" customWidth="1"/>
    <col min="8" max="8" width="3" customWidth="1"/>
  </cols>
  <sheetData>
    <row r="2" spans="2:7" ht="21.75" customHeight="1" x14ac:dyDescent="0.2">
      <c r="B2" s="11" t="s">
        <v>21</v>
      </c>
      <c r="C2" s="11"/>
      <c r="D2" s="11"/>
      <c r="E2" s="11"/>
      <c r="F2" s="11"/>
      <c r="G2" s="11"/>
    </row>
    <row r="3" spans="2:7" ht="18" customHeight="1" x14ac:dyDescent="0.2">
      <c r="B3" s="7" t="s">
        <v>22</v>
      </c>
      <c r="C3" s="7"/>
      <c r="D3" s="7"/>
      <c r="E3" s="7"/>
      <c r="F3" s="7"/>
      <c r="G3" s="7"/>
    </row>
    <row r="4" spans="2:7" ht="7.5" customHeight="1" x14ac:dyDescent="0.2"/>
    <row r="5" spans="2:7" ht="19.5" customHeight="1" x14ac:dyDescent="0.2">
      <c r="B5" s="17" t="s">
        <v>23</v>
      </c>
      <c r="C5" s="17" t="s">
        <v>24</v>
      </c>
      <c r="D5" s="17" t="s">
        <v>25</v>
      </c>
      <c r="E5" s="17" t="s">
        <v>26</v>
      </c>
      <c r="F5" s="17" t="s">
        <v>27</v>
      </c>
      <c r="G5" s="17" t="s">
        <v>28</v>
      </c>
    </row>
    <row r="6" spans="2:7" ht="19.5" customHeight="1" x14ac:dyDescent="0.2">
      <c r="B6" s="15" t="s">
        <v>29</v>
      </c>
      <c r="C6" s="18"/>
      <c r="D6" s="19"/>
      <c r="E6" s="20">
        <f>IFERROR(MIN(C6,40)*D6,"")</f>
        <v>0</v>
      </c>
      <c r="F6" s="20">
        <f>IFERROR(MAX(C6-40,0)*D6*1.5,"")</f>
        <v>0</v>
      </c>
      <c r="G6" s="20">
        <f>IFERROR(E6+F6,"")</f>
        <v>0</v>
      </c>
    </row>
    <row r="7" spans="2:7" ht="19.5" customHeight="1" x14ac:dyDescent="0.2">
      <c r="B7" s="15" t="s">
        <v>30</v>
      </c>
      <c r="C7" s="18"/>
      <c r="D7" s="19"/>
      <c r="E7" s="20">
        <f>IFERROR(MIN(C7,40)*D7,"")</f>
        <v>0</v>
      </c>
      <c r="F7" s="20">
        <f>IFERROR(MAX(C7-40,0)*D7*1.5,"")</f>
        <v>0</v>
      </c>
      <c r="G7" s="20">
        <f>IFERROR(E7+F7,"")</f>
        <v>0</v>
      </c>
    </row>
    <row r="8" spans="2:7" ht="21.75" customHeight="1" x14ac:dyDescent="0.2">
      <c r="B8" s="15" t="s">
        <v>31</v>
      </c>
      <c r="C8" s="21" t="s">
        <v>32</v>
      </c>
      <c r="D8" s="19"/>
      <c r="E8" s="20">
        <f>IFERROR(D8/52,"")</f>
        <v>0</v>
      </c>
      <c r="F8" s="20">
        <v>0</v>
      </c>
      <c r="G8" s="20">
        <f>IFERROR(E8+F8,"")</f>
        <v>0</v>
      </c>
    </row>
    <row r="9" spans="2:7" ht="21.75" customHeight="1" x14ac:dyDescent="0.2">
      <c r="B9" s="15" t="s">
        <v>33</v>
      </c>
      <c r="C9" s="21" t="s">
        <v>34</v>
      </c>
      <c r="D9" s="19"/>
      <c r="E9" s="20">
        <v>800</v>
      </c>
      <c r="F9" s="20">
        <f>IFERROR(D9*0.04,"")</f>
        <v>0</v>
      </c>
      <c r="G9" s="20">
        <f>IFERROR(E9+F9,"")</f>
        <v>800</v>
      </c>
    </row>
    <row r="10" spans="2:7" ht="21.75" customHeight="1" x14ac:dyDescent="0.2">
      <c r="B10" s="22" t="s">
        <v>35</v>
      </c>
      <c r="G10" s="23">
        <f>IFERROR(SUM(G6:G9),"")</f>
        <v>800</v>
      </c>
    </row>
    <row r="11" spans="2:7" ht="13.5" customHeight="1" x14ac:dyDescent="0.2"/>
    <row r="12" spans="2:7" ht="21.75" customHeight="1" x14ac:dyDescent="0.2">
      <c r="B12" s="11" t="s">
        <v>36</v>
      </c>
      <c r="C12" s="11"/>
      <c r="D12" s="11"/>
      <c r="E12" s="11"/>
      <c r="F12" s="11"/>
      <c r="G12" s="11"/>
    </row>
    <row r="13" spans="2:7" ht="31.5" customHeight="1" x14ac:dyDescent="0.2">
      <c r="B13" s="6" t="s">
        <v>37</v>
      </c>
      <c r="C13" s="6"/>
      <c r="D13" s="6"/>
      <c r="E13" s="6"/>
      <c r="F13" s="6"/>
      <c r="G13" s="6"/>
    </row>
    <row r="14" spans="2:7" ht="27.75" customHeight="1" x14ac:dyDescent="0.2">
      <c r="B14" s="5"/>
      <c r="C14" s="5"/>
      <c r="D14" s="5"/>
      <c r="E14" s="5"/>
      <c r="F14" s="5"/>
      <c r="G14" s="5"/>
    </row>
    <row r="15" spans="2:7" ht="27.75" customHeight="1" x14ac:dyDescent="0.2">
      <c r="B15" s="5"/>
      <c r="C15" s="5"/>
      <c r="D15" s="5"/>
      <c r="E15" s="5"/>
      <c r="F15" s="5"/>
      <c r="G15" s="5"/>
    </row>
    <row r="16" spans="2:7" ht="15.75" customHeight="1" x14ac:dyDescent="0.2"/>
    <row r="17" spans="2:7" ht="21.75" customHeight="1" x14ac:dyDescent="0.2">
      <c r="B17" s="11" t="s">
        <v>38</v>
      </c>
      <c r="C17" s="11"/>
      <c r="D17" s="11"/>
      <c r="E17" s="11"/>
      <c r="F17" s="11"/>
      <c r="G17" s="11"/>
    </row>
    <row r="18" spans="2:7" ht="18" customHeight="1" x14ac:dyDescent="0.2">
      <c r="B18" s="4" t="s">
        <v>39</v>
      </c>
      <c r="C18" s="4"/>
      <c r="D18" s="4"/>
      <c r="E18" s="4"/>
      <c r="F18" s="4"/>
      <c r="G18" s="4"/>
    </row>
    <row r="19" spans="2:7" ht="7.5" customHeight="1" x14ac:dyDescent="0.2"/>
    <row r="20" spans="2:7" ht="19.5" customHeight="1" x14ac:dyDescent="0.2">
      <c r="B20" s="24" t="s">
        <v>40</v>
      </c>
      <c r="C20" s="19"/>
    </row>
    <row r="21" spans="2:7" ht="19.5" customHeight="1" x14ac:dyDescent="0.2">
      <c r="B21" s="24" t="s">
        <v>41</v>
      </c>
      <c r="C21" s="19"/>
    </row>
    <row r="22" spans="2:7" ht="19.5" customHeight="1" x14ac:dyDescent="0.2">
      <c r="B22" s="24" t="s">
        <v>42</v>
      </c>
      <c r="C22" s="25"/>
    </row>
    <row r="23" spans="2:7" ht="7.5" customHeight="1" x14ac:dyDescent="0.2"/>
    <row r="24" spans="2:7" ht="21.75" customHeight="1" x14ac:dyDescent="0.2">
      <c r="B24" s="24" t="s">
        <v>43</v>
      </c>
      <c r="C24" s="20" t="str">
        <f>IFERROR((C20-C21)/C22,"")</f>
        <v/>
      </c>
    </row>
    <row r="25" spans="2:7" ht="9.75" customHeight="1" x14ac:dyDescent="0.2"/>
    <row r="26" spans="2:7" ht="19.5" customHeight="1" x14ac:dyDescent="0.2">
      <c r="B26" s="17" t="s">
        <v>44</v>
      </c>
      <c r="C26" s="17" t="s">
        <v>45</v>
      </c>
      <c r="D26" s="17" t="s">
        <v>46</v>
      </c>
      <c r="E26" s="17" t="s">
        <v>47</v>
      </c>
      <c r="F26" s="17" t="s">
        <v>48</v>
      </c>
      <c r="G26" s="17"/>
    </row>
    <row r="27" spans="2:7" ht="19.5" customHeight="1" x14ac:dyDescent="0.2">
      <c r="B27" s="26" t="s">
        <v>49</v>
      </c>
      <c r="C27" s="20">
        <f t="shared" ref="C27:C32" si="0">$C$20</f>
        <v>0</v>
      </c>
      <c r="D27" s="20" t="str">
        <f t="shared" ref="D27:D32" si="1">IFERROR($C$24,"")</f>
        <v/>
      </c>
      <c r="E27" s="20" t="str">
        <f>IFERROR(D27,"")</f>
        <v/>
      </c>
      <c r="F27" s="20" t="str">
        <f t="shared" ref="F27:F32" si="2">IFERROR(C27-E27,"")</f>
        <v/>
      </c>
    </row>
    <row r="28" spans="2:7" ht="19.5" customHeight="1" x14ac:dyDescent="0.2">
      <c r="B28" s="26" t="s">
        <v>50</v>
      </c>
      <c r="C28" s="20">
        <f t="shared" si="0"/>
        <v>0</v>
      </c>
      <c r="D28" s="20" t="str">
        <f t="shared" si="1"/>
        <v/>
      </c>
      <c r="E28" s="20" t="str">
        <f>IFERROR(E27+D28,"")</f>
        <v/>
      </c>
      <c r="F28" s="20" t="str">
        <f t="shared" si="2"/>
        <v/>
      </c>
    </row>
    <row r="29" spans="2:7" ht="19.5" customHeight="1" x14ac:dyDescent="0.2">
      <c r="B29" s="26" t="s">
        <v>51</v>
      </c>
      <c r="C29" s="20">
        <f t="shared" si="0"/>
        <v>0</v>
      </c>
      <c r="D29" s="20" t="str">
        <f t="shared" si="1"/>
        <v/>
      </c>
      <c r="E29" s="20" t="str">
        <f>IFERROR(E28+D29,"")</f>
        <v/>
      </c>
      <c r="F29" s="20" t="str">
        <f t="shared" si="2"/>
        <v/>
      </c>
    </row>
    <row r="30" spans="2:7" ht="19.5" customHeight="1" x14ac:dyDescent="0.2">
      <c r="B30" s="26" t="s">
        <v>52</v>
      </c>
      <c r="C30" s="20">
        <f t="shared" si="0"/>
        <v>0</v>
      </c>
      <c r="D30" s="20" t="str">
        <f t="shared" si="1"/>
        <v/>
      </c>
      <c r="E30" s="20" t="str">
        <f>IFERROR(E29+D30,"")</f>
        <v/>
      </c>
      <c r="F30" s="20" t="str">
        <f t="shared" si="2"/>
        <v/>
      </c>
    </row>
    <row r="31" spans="2:7" ht="19.5" customHeight="1" x14ac:dyDescent="0.2">
      <c r="B31" s="26" t="s">
        <v>53</v>
      </c>
      <c r="C31" s="20">
        <f t="shared" si="0"/>
        <v>0</v>
      </c>
      <c r="D31" s="20" t="str">
        <f t="shared" si="1"/>
        <v/>
      </c>
      <c r="E31" s="20" t="str">
        <f>IFERROR(E30+D31,"")</f>
        <v/>
      </c>
      <c r="F31" s="20" t="str">
        <f t="shared" si="2"/>
        <v/>
      </c>
    </row>
    <row r="32" spans="2:7" ht="19.5" customHeight="1" x14ac:dyDescent="0.2">
      <c r="B32" s="26" t="s">
        <v>54</v>
      </c>
      <c r="C32" s="20">
        <f t="shared" si="0"/>
        <v>0</v>
      </c>
      <c r="D32" s="20" t="str">
        <f t="shared" si="1"/>
        <v/>
      </c>
      <c r="E32" s="20" t="str">
        <f>IFERROR(E31+D32,"")</f>
        <v/>
      </c>
      <c r="F32" s="20" t="str">
        <f t="shared" si="2"/>
        <v/>
      </c>
    </row>
    <row r="33" spans="2:7" ht="13.5" customHeight="1" x14ac:dyDescent="0.2"/>
    <row r="34" spans="2:7" ht="21.75" customHeight="1" x14ac:dyDescent="0.2">
      <c r="B34" s="11" t="s">
        <v>55</v>
      </c>
      <c r="C34" s="11"/>
      <c r="D34" s="11"/>
      <c r="E34" s="11"/>
      <c r="F34" s="11"/>
      <c r="G34" s="11"/>
    </row>
    <row r="35" spans="2:7" ht="31.5" customHeight="1" x14ac:dyDescent="0.2">
      <c r="B35" s="6" t="s">
        <v>56</v>
      </c>
      <c r="C35" s="6"/>
      <c r="D35" s="6"/>
      <c r="E35" s="6"/>
      <c r="F35" s="6"/>
      <c r="G35" s="6"/>
    </row>
    <row r="36" spans="2:7" ht="27.75" customHeight="1" x14ac:dyDescent="0.2">
      <c r="B36" s="5"/>
      <c r="C36" s="5"/>
      <c r="D36" s="5"/>
      <c r="E36" s="5"/>
      <c r="F36" s="5"/>
      <c r="G36" s="5"/>
    </row>
    <row r="37" spans="2:7" ht="27.75" customHeight="1" x14ac:dyDescent="0.2">
      <c r="B37" s="5"/>
      <c r="C37" s="5"/>
      <c r="D37" s="5"/>
      <c r="E37" s="5"/>
      <c r="F37" s="5"/>
      <c r="G37" s="5"/>
    </row>
  </sheetData>
  <mergeCells count="10">
    <mergeCell ref="B17:G17"/>
    <mergeCell ref="B18:G18"/>
    <mergeCell ref="B34:G34"/>
    <mergeCell ref="B35:G35"/>
    <mergeCell ref="B36:G37"/>
    <mergeCell ref="B2:G2"/>
    <mergeCell ref="B3:G3"/>
    <mergeCell ref="B12:G12"/>
    <mergeCell ref="B13:G13"/>
    <mergeCell ref="B14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8843D"/>
  </sheetPr>
  <dimension ref="B2:G31"/>
  <sheetViews>
    <sheetView showGridLines="0" zoomScaleNormal="100" workbookViewId="0">
      <selection activeCell="C21" sqref="C21"/>
    </sheetView>
  </sheetViews>
  <sheetFormatPr baseColWidth="10" defaultColWidth="8.6640625" defaultRowHeight="15" x14ac:dyDescent="0.2"/>
  <cols>
    <col min="1" max="1" width="3" customWidth="1"/>
    <col min="2" max="2" width="30" customWidth="1"/>
    <col min="3" max="7" width="14" customWidth="1"/>
    <col min="8" max="8" width="3" customWidth="1"/>
  </cols>
  <sheetData>
    <row r="2" spans="2:7" ht="21.75" customHeight="1" x14ac:dyDescent="0.2">
      <c r="B2" s="11" t="s">
        <v>57</v>
      </c>
      <c r="C2" s="11"/>
      <c r="D2" s="11"/>
      <c r="E2" s="11"/>
      <c r="F2" s="11"/>
      <c r="G2" s="11"/>
    </row>
    <row r="3" spans="2:7" ht="19.5" customHeight="1" x14ac:dyDescent="0.2">
      <c r="B3" s="7" t="s">
        <v>58</v>
      </c>
      <c r="C3" s="7"/>
      <c r="D3" s="7"/>
      <c r="E3" s="7"/>
      <c r="F3" s="7"/>
      <c r="G3" s="7"/>
    </row>
    <row r="4" spans="2:7" ht="9.75" customHeight="1" x14ac:dyDescent="0.2"/>
    <row r="5" spans="2:7" ht="21.75" customHeight="1" x14ac:dyDescent="0.2">
      <c r="B5" s="11" t="s">
        <v>59</v>
      </c>
      <c r="C5" s="11"/>
      <c r="D5" s="11"/>
      <c r="E5" s="11"/>
      <c r="F5" s="11"/>
      <c r="G5" s="11"/>
    </row>
    <row r="6" spans="2:7" ht="21.75" customHeight="1" x14ac:dyDescent="0.2">
      <c r="B6" s="7" t="s">
        <v>60</v>
      </c>
      <c r="C6" s="7"/>
      <c r="D6" s="7"/>
      <c r="E6" s="7"/>
      <c r="F6" s="7"/>
      <c r="G6" s="7"/>
    </row>
    <row r="7" spans="2:7" ht="7.5" customHeight="1" x14ac:dyDescent="0.2"/>
    <row r="8" spans="2:7" ht="19.5" customHeight="1" x14ac:dyDescent="0.2">
      <c r="B8" s="17" t="s">
        <v>61</v>
      </c>
      <c r="C8" s="17" t="s">
        <v>62</v>
      </c>
      <c r="D8" s="17" t="s">
        <v>63</v>
      </c>
      <c r="E8" s="17" t="s">
        <v>64</v>
      </c>
      <c r="G8" s="17"/>
    </row>
    <row r="9" spans="2:7" ht="19.5" customHeight="1" x14ac:dyDescent="0.2">
      <c r="B9" s="15" t="s">
        <v>65</v>
      </c>
      <c r="C9" s="27">
        <v>8</v>
      </c>
    </row>
    <row r="10" spans="2:7" ht="19.5" customHeight="1" x14ac:dyDescent="0.2">
      <c r="B10" s="15" t="s">
        <v>66</v>
      </c>
      <c r="C10" s="27">
        <v>43</v>
      </c>
    </row>
    <row r="11" spans="2:7" ht="19.5" customHeight="1" x14ac:dyDescent="0.2">
      <c r="B11" s="15" t="s">
        <v>67</v>
      </c>
      <c r="C11" s="19">
        <v>44</v>
      </c>
    </row>
    <row r="12" spans="2:7" ht="19.5" customHeight="1" x14ac:dyDescent="0.2">
      <c r="D12" s="15" t="s">
        <v>68</v>
      </c>
      <c r="E12" s="20">
        <f>IFERROR(MIN(C10,40)*C11,"")</f>
        <v>1760</v>
      </c>
    </row>
    <row r="13" spans="2:7" ht="19.5" customHeight="1" x14ac:dyDescent="0.2">
      <c r="D13" s="15" t="s">
        <v>69</v>
      </c>
      <c r="E13" s="20">
        <f>IFERROR(MAX(C10-40,0)*C11*1.5,"")</f>
        <v>198</v>
      </c>
    </row>
    <row r="14" spans="2:7" ht="19.5" customHeight="1" x14ac:dyDescent="0.2">
      <c r="D14" s="15" t="s">
        <v>70</v>
      </c>
      <c r="E14" s="20">
        <f>IFERROR(E12+E13,"")</f>
        <v>1958</v>
      </c>
    </row>
    <row r="15" spans="2:7" ht="19.5" customHeight="1" x14ac:dyDescent="0.2">
      <c r="D15" s="24" t="s">
        <v>71</v>
      </c>
      <c r="E15" s="20">
        <f>IFERROR(C9*E14,"")</f>
        <v>15664</v>
      </c>
    </row>
    <row r="16" spans="2:7" ht="13.5" customHeight="1" x14ac:dyDescent="0.2"/>
    <row r="17" spans="2:7" ht="21.75" customHeight="1" x14ac:dyDescent="0.2">
      <c r="B17" s="11" t="s">
        <v>72</v>
      </c>
      <c r="C17" s="11"/>
      <c r="D17" s="11"/>
      <c r="E17" s="11"/>
      <c r="F17" s="11"/>
      <c r="G17" s="11"/>
    </row>
    <row r="18" spans="2:7" ht="25.5" customHeight="1" x14ac:dyDescent="0.2">
      <c r="B18" s="7" t="s">
        <v>73</v>
      </c>
      <c r="C18" s="7"/>
      <c r="D18" s="7"/>
      <c r="E18" s="7"/>
      <c r="F18" s="7"/>
      <c r="G18" s="7"/>
    </row>
    <row r="19" spans="2:7" ht="7.5" customHeight="1" x14ac:dyDescent="0.2"/>
    <row r="20" spans="2:7" ht="19.5" customHeight="1" x14ac:dyDescent="0.2">
      <c r="B20" s="24" t="s">
        <v>40</v>
      </c>
      <c r="C20" s="19">
        <v>112500</v>
      </c>
    </row>
    <row r="21" spans="2:7" ht="19.5" customHeight="1" x14ac:dyDescent="0.2">
      <c r="B21" s="24" t="s">
        <v>41</v>
      </c>
      <c r="C21" s="19">
        <v>15000</v>
      </c>
    </row>
    <row r="22" spans="2:7" ht="19.5" customHeight="1" x14ac:dyDescent="0.2">
      <c r="B22" s="24" t="s">
        <v>42</v>
      </c>
      <c r="C22" s="25">
        <v>5</v>
      </c>
    </row>
    <row r="23" spans="2:7" ht="7.5" customHeight="1" x14ac:dyDescent="0.2"/>
    <row r="24" spans="2:7" ht="19.5" customHeight="1" x14ac:dyDescent="0.2">
      <c r="B24" s="24" t="s">
        <v>74</v>
      </c>
      <c r="C24" s="20">
        <f>IFERROR((C20-C21)/C22,"")</f>
        <v>19500</v>
      </c>
    </row>
    <row r="25" spans="2:7" ht="9.75" customHeight="1" x14ac:dyDescent="0.2"/>
    <row r="26" spans="2:7" ht="19.5" customHeight="1" x14ac:dyDescent="0.2">
      <c r="B26" s="17" t="s">
        <v>44</v>
      </c>
      <c r="C26" s="17" t="s">
        <v>45</v>
      </c>
      <c r="D26" s="17" t="s">
        <v>46</v>
      </c>
      <c r="E26" s="17" t="s">
        <v>47</v>
      </c>
      <c r="F26" s="17" t="s">
        <v>48</v>
      </c>
      <c r="G26" s="17"/>
    </row>
    <row r="27" spans="2:7" ht="19.5" customHeight="1" x14ac:dyDescent="0.2">
      <c r="B27" s="26" t="s">
        <v>49</v>
      </c>
      <c r="C27" s="20">
        <f>$C$20</f>
        <v>112500</v>
      </c>
      <c r="D27" s="20">
        <f>IFERROR($C$24,"")</f>
        <v>19500</v>
      </c>
      <c r="E27" s="20">
        <f>IFERROR(D27,"")</f>
        <v>19500</v>
      </c>
      <c r="F27" s="20">
        <f>IFERROR(C27-E27,"")</f>
        <v>93000</v>
      </c>
    </row>
    <row r="28" spans="2:7" ht="19.5" customHeight="1" x14ac:dyDescent="0.2">
      <c r="B28" s="26" t="s">
        <v>50</v>
      </c>
      <c r="C28" s="20">
        <f>$C$20</f>
        <v>112500</v>
      </c>
      <c r="D28" s="20">
        <f>IFERROR($C$24,"")</f>
        <v>19500</v>
      </c>
      <c r="E28" s="20">
        <f>IFERROR(E27+D28,"")</f>
        <v>39000</v>
      </c>
      <c r="F28" s="20">
        <f>IFERROR(C28-E28,"")</f>
        <v>73500</v>
      </c>
    </row>
    <row r="29" spans="2:7" ht="19.5" customHeight="1" x14ac:dyDescent="0.2">
      <c r="B29" s="26" t="s">
        <v>51</v>
      </c>
      <c r="C29" s="20">
        <f>$C$20</f>
        <v>112500</v>
      </c>
      <c r="D29" s="20">
        <f>IFERROR($C$24,"")</f>
        <v>19500</v>
      </c>
      <c r="E29" s="20">
        <f>IFERROR(E28+D29,"")</f>
        <v>58500</v>
      </c>
      <c r="F29" s="20">
        <f>IFERROR(C29-E29,"")</f>
        <v>54000</v>
      </c>
    </row>
    <row r="30" spans="2:7" ht="19.5" customHeight="1" x14ac:dyDescent="0.2">
      <c r="B30" s="26" t="s">
        <v>52</v>
      </c>
      <c r="C30" s="20">
        <f>$C$20</f>
        <v>112500</v>
      </c>
      <c r="D30" s="20">
        <f>IFERROR($C$24,"")</f>
        <v>19500</v>
      </c>
      <c r="E30" s="20">
        <f>IFERROR(E29+D30,"")</f>
        <v>78000</v>
      </c>
      <c r="F30" s="20">
        <f>IFERROR(C30-E30,"")</f>
        <v>34500</v>
      </c>
    </row>
    <row r="31" spans="2:7" ht="19.5" customHeight="1" x14ac:dyDescent="0.2">
      <c r="B31" s="26" t="s">
        <v>53</v>
      </c>
      <c r="C31" s="20">
        <f>$C$20</f>
        <v>112500</v>
      </c>
      <c r="D31" s="20">
        <f>IFERROR($C$24,"")</f>
        <v>19500</v>
      </c>
      <c r="E31" s="20">
        <f>IFERROR(E30+D31,"")</f>
        <v>97500</v>
      </c>
      <c r="F31" s="20">
        <f>IFERROR(C31-E31,"")</f>
        <v>15000</v>
      </c>
    </row>
  </sheetData>
  <mergeCells count="6">
    <mergeCell ref="B18:G18"/>
    <mergeCell ref="B2:G2"/>
    <mergeCell ref="B3:G3"/>
    <mergeCell ref="B5:G5"/>
    <mergeCell ref="B6:G6"/>
    <mergeCell ref="B17:G17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2EEE5"/>
  </sheetPr>
  <dimension ref="B2:D26"/>
  <sheetViews>
    <sheetView showGridLines="0" tabSelected="1" zoomScaleNormal="100" workbookViewId="0"/>
  </sheetViews>
  <sheetFormatPr baseColWidth="10" defaultColWidth="8.6640625" defaultRowHeight="15" x14ac:dyDescent="0.2"/>
  <cols>
    <col min="1" max="1" width="3" customWidth="1"/>
    <col min="2" max="3" width="30" customWidth="1"/>
    <col min="4" max="4" width="28" customWidth="1"/>
    <col min="5" max="5" width="3" customWidth="1"/>
  </cols>
  <sheetData>
    <row r="2" spans="2:4" ht="25.5" customHeight="1" x14ac:dyDescent="0.2">
      <c r="B2" s="3" t="s">
        <v>75</v>
      </c>
      <c r="C2" s="3"/>
      <c r="D2" s="3"/>
    </row>
    <row r="3" spans="2:4" ht="18" customHeight="1" x14ac:dyDescent="0.2">
      <c r="B3" s="2" t="s">
        <v>76</v>
      </c>
      <c r="C3" s="2"/>
      <c r="D3" s="2"/>
    </row>
    <row r="4" spans="2:4" ht="7.5" customHeight="1" x14ac:dyDescent="0.2"/>
    <row r="5" spans="2:4" ht="19.5" customHeight="1" x14ac:dyDescent="0.2">
      <c r="B5" s="1" t="s">
        <v>77</v>
      </c>
      <c r="C5" s="1"/>
      <c r="D5" s="1"/>
    </row>
    <row r="6" spans="2:4" ht="18" customHeight="1" x14ac:dyDescent="0.2">
      <c r="B6" s="28" t="s">
        <v>78</v>
      </c>
      <c r="C6" s="28" t="s">
        <v>79</v>
      </c>
      <c r="D6" s="28" t="s">
        <v>80</v>
      </c>
    </row>
    <row r="7" spans="2:4" ht="19.5" customHeight="1" x14ac:dyDescent="0.2">
      <c r="B7" s="29" t="s">
        <v>81</v>
      </c>
      <c r="C7" s="30" t="s">
        <v>82</v>
      </c>
      <c r="D7" s="31" t="s">
        <v>83</v>
      </c>
    </row>
    <row r="8" spans="2:4" ht="19.5" customHeight="1" x14ac:dyDescent="0.2">
      <c r="B8" s="32" t="s">
        <v>84</v>
      </c>
      <c r="C8" s="30" t="s">
        <v>85</v>
      </c>
      <c r="D8" s="33" t="s">
        <v>86</v>
      </c>
    </row>
    <row r="9" spans="2:4" ht="19.5" customHeight="1" x14ac:dyDescent="0.2">
      <c r="B9" s="29" t="s">
        <v>87</v>
      </c>
      <c r="C9" s="30" t="s">
        <v>88</v>
      </c>
      <c r="D9" s="31" t="s">
        <v>89</v>
      </c>
    </row>
    <row r="10" spans="2:4" ht="19.5" customHeight="1" x14ac:dyDescent="0.2">
      <c r="B10" s="32" t="s">
        <v>90</v>
      </c>
      <c r="C10" s="30" t="s">
        <v>91</v>
      </c>
      <c r="D10" s="33" t="s">
        <v>92</v>
      </c>
    </row>
    <row r="11" spans="2:4" ht="19.5" customHeight="1" x14ac:dyDescent="0.2">
      <c r="B11" s="29" t="s">
        <v>93</v>
      </c>
      <c r="C11" s="30" t="s">
        <v>94</v>
      </c>
      <c r="D11" s="31" t="s">
        <v>95</v>
      </c>
    </row>
    <row r="12" spans="2:4" ht="19.5" customHeight="1" x14ac:dyDescent="0.2">
      <c r="B12" s="32" t="s">
        <v>96</v>
      </c>
      <c r="C12" s="30" t="s">
        <v>97</v>
      </c>
      <c r="D12" s="33" t="s">
        <v>98</v>
      </c>
    </row>
    <row r="13" spans="2:4" ht="9.75" customHeight="1" x14ac:dyDescent="0.2"/>
    <row r="14" spans="2:4" ht="19.5" customHeight="1" x14ac:dyDescent="0.2">
      <c r="B14" s="1" t="s">
        <v>99</v>
      </c>
      <c r="C14" s="1"/>
      <c r="D14" s="1"/>
    </row>
    <row r="15" spans="2:4" ht="18" customHeight="1" x14ac:dyDescent="0.2">
      <c r="B15" s="28" t="s">
        <v>78</v>
      </c>
      <c r="C15" s="28" t="s">
        <v>79</v>
      </c>
      <c r="D15" s="28" t="s">
        <v>80</v>
      </c>
    </row>
    <row r="16" spans="2:4" ht="19.5" customHeight="1" x14ac:dyDescent="0.2">
      <c r="B16" s="29" t="s">
        <v>100</v>
      </c>
      <c r="C16" s="30" t="s">
        <v>101</v>
      </c>
      <c r="D16" s="31" t="s">
        <v>102</v>
      </c>
    </row>
    <row r="17" spans="2:4" ht="19.5" customHeight="1" x14ac:dyDescent="0.2">
      <c r="B17" s="32" t="s">
        <v>103</v>
      </c>
      <c r="C17" s="30" t="s">
        <v>104</v>
      </c>
      <c r="D17" s="33" t="s">
        <v>105</v>
      </c>
    </row>
    <row r="18" spans="2:4" ht="19.5" customHeight="1" x14ac:dyDescent="0.2">
      <c r="B18" s="29" t="s">
        <v>106</v>
      </c>
      <c r="C18" s="30" t="s">
        <v>107</v>
      </c>
      <c r="D18" s="31" t="s">
        <v>108</v>
      </c>
    </row>
    <row r="19" spans="2:4" ht="19.5" customHeight="1" x14ac:dyDescent="0.2">
      <c r="B19" s="32" t="s">
        <v>109</v>
      </c>
      <c r="C19" s="30" t="s">
        <v>110</v>
      </c>
      <c r="D19" s="33" t="s">
        <v>111</v>
      </c>
    </row>
    <row r="20" spans="2:4" ht="9.75" customHeight="1" x14ac:dyDescent="0.2"/>
    <row r="21" spans="2:4" ht="19.5" customHeight="1" x14ac:dyDescent="0.2">
      <c r="B21" s="1" t="s">
        <v>112</v>
      </c>
      <c r="C21" s="1"/>
      <c r="D21" s="1"/>
    </row>
    <row r="22" spans="2:4" ht="18" customHeight="1" x14ac:dyDescent="0.2">
      <c r="B22" s="34" t="s">
        <v>113</v>
      </c>
      <c r="C22" s="35" t="s">
        <v>114</v>
      </c>
    </row>
    <row r="23" spans="2:4" ht="18" customHeight="1" x14ac:dyDescent="0.2">
      <c r="B23" s="34" t="s">
        <v>115</v>
      </c>
      <c r="C23" s="35" t="s">
        <v>116</v>
      </c>
    </row>
    <row r="24" spans="2:4" ht="18" customHeight="1" x14ac:dyDescent="0.2">
      <c r="B24" s="34" t="s">
        <v>41</v>
      </c>
      <c r="C24" s="35" t="s">
        <v>117</v>
      </c>
    </row>
    <row r="25" spans="2:4" ht="18" customHeight="1" x14ac:dyDescent="0.2">
      <c r="B25" s="34" t="s">
        <v>118</v>
      </c>
      <c r="C25" s="35" t="s">
        <v>119</v>
      </c>
    </row>
    <row r="26" spans="2:4" ht="18" customHeight="1" x14ac:dyDescent="0.2">
      <c r="B26" s="34" t="s">
        <v>120</v>
      </c>
      <c r="C26" s="35" t="s">
        <v>121</v>
      </c>
    </row>
  </sheetData>
  <mergeCells count="5">
    <mergeCell ref="B2:D2"/>
    <mergeCell ref="B3:D3"/>
    <mergeCell ref="B5:D5"/>
    <mergeCell ref="B14:D14"/>
    <mergeCell ref="B21:D2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Payroll and Depreciation</vt:lpstr>
      <vt:lpstr>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Bethany Evitts</cp:lastModifiedBy>
  <cp:revision>0</cp:revision>
  <dcterms:created xsi:type="dcterms:W3CDTF">2026-06-07T12:05:10Z</dcterms:created>
  <dcterms:modified xsi:type="dcterms:W3CDTF">2026-06-09T01:19:08Z</dcterms:modified>
  <dc:language>en-US</dc:language>
</cp:coreProperties>
</file>