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MarkupMarkdown" sheetId="2" state="visible" r:id="rId2"/>
    <sheet xmlns:r="http://schemas.openxmlformats.org/officeDocument/2006/relationships" name="Challenge" sheetId="3" state="visible" r:id="rId3"/>
    <sheet xmlns:r="http://schemas.openxmlformats.org/officeDocument/2006/relationships" name="INSTRUCTOR_AnswerKey" sheetId="4" state="hidden" r:id="rId4"/>
    <sheet xmlns:r="http://schemas.openxmlformats.org/officeDocument/2006/relationships" name="FormulaReferenceC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10">
    <font>
      <name val="Calibri"/>
      <family val="2"/>
      <color theme="1"/>
      <sz val="11"/>
      <scheme val="minor"/>
    </font>
    <font>
      <name val="Cinzel"/>
      <b val="1"/>
      <color rgb="00D4A052"/>
      <sz val="18"/>
    </font>
    <font>
      <name val="Cormorant Garamond"/>
      <i val="1"/>
      <color rgb="00DDE8F0"/>
      <sz val="13"/>
    </font>
    <font>
      <b val="1"/>
      <color rgb="00DDE8F0"/>
    </font>
    <font>
      <b val="1"/>
      <color rgb="00D4A052"/>
      <sz val="14"/>
    </font>
    <font>
      <b val="1"/>
      <color rgb="00D4A052"/>
    </font>
    <font>
      <b val="1"/>
      <color rgb="00D4A052"/>
      <sz val="13"/>
    </font>
    <font>
      <i val="1"/>
      <color rgb="00DDE8F0"/>
    </font>
    <font>
      <name val="DM Mono"/>
      <color rgb="000C1A2E"/>
    </font>
    <font>
      <name val="Aptos"/>
      <color rgb="000C1A2E"/>
    </font>
  </fonts>
  <fills count="7">
    <fill>
      <patternFill/>
    </fill>
    <fill>
      <patternFill patternType="gray125"/>
    </fill>
    <fill>
      <patternFill patternType="solid">
        <fgColor rgb="000C1A2E"/>
      </patternFill>
    </fill>
    <fill>
      <patternFill patternType="solid">
        <fgColor rgb="001B2E48"/>
      </patternFill>
    </fill>
    <fill>
      <patternFill patternType="solid">
        <fgColor rgb="00FFFFFF"/>
      </patternFill>
    </fill>
    <fill>
      <patternFill patternType="solid">
        <fgColor rgb="00FFD966"/>
      </patternFill>
    </fill>
    <fill>
      <patternFill patternType="solid">
        <fgColor rgb="00F7F8FA"/>
      </patternFill>
    </fill>
  </fills>
  <borders count="4">
    <border>
      <left/>
      <right/>
      <top/>
      <bottom/>
      <diagonal/>
    </border>
    <border>
      <left style="thin">
        <color rgb="00D9E2EA"/>
      </left>
      <right style="thin">
        <color rgb="00D9E2EA"/>
      </right>
      <top style="thin">
        <color rgb="00D9E2EA"/>
      </top>
      <bottom style="thin">
        <color rgb="00D9E2EA"/>
      </bottom>
    </border>
    <border>
      <bottom style="medium">
        <color rgb="00D4A052"/>
      </bottom>
    </border>
    <border>
      <left style="medium">
        <color rgb="00D4A052"/>
      </left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9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9" fillId="0" borderId="0" pivotButton="0" quotePrefix="0" xfId="0"/>
    <xf numFmtId="0" fontId="9" fillId="2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165" fontId="0" fillId="4" borderId="1" applyAlignment="1" pivotButton="0" quotePrefix="0" xfId="0">
      <alignment vertical="center" wrapText="1"/>
    </xf>
    <xf numFmtId="164" fontId="0" fillId="5" borderId="1" applyAlignment="1" applyProtection="1" pivotButton="0" quotePrefix="0" xfId="0">
      <alignment vertical="center" wrapText="1"/>
      <protection locked="0" hidden="0"/>
    </xf>
    <xf numFmtId="165" fontId="0" fillId="5" borderId="1" applyAlignment="1" applyProtection="1" pivotButton="0" quotePrefix="0" xfId="0">
      <alignment vertical="center" wrapText="1"/>
      <protection locked="0" hidden="0"/>
    </xf>
    <xf numFmtId="0" fontId="0" fillId="6" borderId="1" applyAlignment="1" pivotButton="0" quotePrefix="0" xfId="0">
      <alignment vertical="center" wrapText="1"/>
    </xf>
    <xf numFmtId="164" fontId="0" fillId="6" borderId="1" applyAlignment="1" pivotButton="0" quotePrefix="0" xfId="0">
      <alignment vertical="center" wrapText="1"/>
    </xf>
    <xf numFmtId="165" fontId="0" fillId="6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2" borderId="2" applyAlignment="1" pivotButton="0" quotePrefix="0" xfId="0">
      <alignment horizontal="center" vertical="center" wrapText="1"/>
    </xf>
    <xf numFmtId="164" fontId="9" fillId="2" borderId="2" applyAlignment="1" pivotButton="0" quotePrefix="0" xfId="0">
      <alignment horizontal="center" vertical="center" wrapText="1"/>
    </xf>
    <xf numFmtId="165" fontId="9" fillId="2" borderId="2" applyAlignment="1" pivotButton="0" quotePrefix="0" xfId="0">
      <alignment horizontal="center" vertical="center" wrapText="1"/>
    </xf>
    <xf numFmtId="0" fontId="0" fillId="0" borderId="1" applyAlignment="1" applyProtection="1" pivotButton="0" quotePrefix="0" xfId="0">
      <alignment vertical="center" wrapText="1"/>
      <protection locked="0" hidden="0"/>
    </xf>
    <xf numFmtId="164" fontId="0" fillId="0" borderId="1" applyAlignment="1" applyProtection="1" pivotButton="0" quotePrefix="0" xfId="0">
      <alignment vertical="center" wrapText="1"/>
      <protection locked="0" hidden="0"/>
    </xf>
    <xf numFmtId="165" fontId="0" fillId="0" borderId="1" applyAlignment="1" applyProtection="1" pivotButton="0" quotePrefix="0" xfId="0">
      <alignment vertical="center" wrapText="1"/>
      <protection locked="0" hidden="0"/>
    </xf>
    <xf numFmtId="0" fontId="9" fillId="3" borderId="3" applyAlignment="1" pivotButton="0" quotePrefix="0" xfId="0">
      <alignment vertical="center" wrapText="1"/>
    </xf>
    <xf numFmtId="0" fontId="8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72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24" customHeight="1">
      <c r="A1" s="1" t="inlineStr">
        <is>
          <t>BUS123 Excel M03-L01</t>
        </is>
      </c>
    </row>
    <row r="2" ht="24" customHeight="1">
      <c r="A2" s="2" t="inlineStr">
        <is>
          <t>Pricing, Markup, Margin, and Markdown Decisions</t>
        </is>
      </c>
    </row>
    <row r="3" ht="24" customHeight="1"/>
    <row r="4" ht="24" customHeight="1">
      <c r="B4" s="3" t="inlineStr">
        <is>
          <t>Course</t>
        </is>
      </c>
      <c r="C4" s="4" t="inlineStr">
        <is>
          <t>Solving Business Problems with Technology</t>
        </is>
      </c>
    </row>
    <row r="5" ht="24" customHeight="1">
      <c r="B5" s="3" t="inlineStr">
        <is>
          <t>Case company</t>
        </is>
      </c>
      <c r="C5" s="4" t="inlineStr">
        <is>
          <t>Tidal Goods Co.</t>
        </is>
      </c>
    </row>
    <row r="6" ht="24" customHeight="1">
      <c r="B6" s="3" t="inlineStr">
        <is>
          <t>Lesson goal</t>
        </is>
      </c>
      <c r="C6" s="4" t="inlineStr">
        <is>
          <t>Use Excel to support retail pricing decisions with markup, margin, and markdown calculations.</t>
        </is>
      </c>
    </row>
    <row r="7" ht="24" customHeight="1"/>
    <row r="8" ht="24" customHeight="1"/>
    <row r="9" ht="24" customHeight="1">
      <c r="B9" s="5" t="inlineStr">
        <is>
          <t>I Can Statements</t>
        </is>
      </c>
    </row>
    <row r="10" ht="24" customHeight="1">
      <c r="B10" s="4" t="n">
        <v>1</v>
      </c>
      <c r="C10" s="4" t="inlineStr">
        <is>
          <t>I can calculate dollar markup, markup rate, and gross margin percent.</t>
        </is>
      </c>
    </row>
    <row r="11" ht="24" customHeight="1">
      <c r="B11" s="4" t="n">
        <v>2</v>
      </c>
      <c r="C11" s="4" t="inlineStr">
        <is>
          <t>I can apply a markdown and explain how it changes the selling price.</t>
        </is>
      </c>
    </row>
    <row r="12" ht="24" customHeight="1">
      <c r="B12" s="4" t="n">
        <v>3</v>
      </c>
      <c r="C12" s="4" t="inlineStr">
        <is>
          <t>I can use spreadsheet formulas to check pricing decisions quickly and accurately.</t>
        </is>
      </c>
    </row>
    <row r="13" ht="24" customHeight="1"/>
    <row r="14" ht="24" customHeight="1"/>
    <row r="15" ht="24" customHeight="1">
      <c r="B15" s="5" t="inlineStr">
        <is>
          <t>How to Use This Workbook</t>
        </is>
      </c>
    </row>
    <row r="16" ht="24" customHeight="1">
      <c r="B16" s="4" t="inlineStr">
        <is>
          <t>-</t>
        </is>
      </c>
      <c r="C16" s="4" t="inlineStr">
        <is>
          <t>Complete the yellow cells on the MarkupMarkdown tab. Leave non-yellow cells unchanged.</t>
        </is>
      </c>
    </row>
    <row r="17" ht="24" customHeight="1">
      <c r="B17" s="4" t="inlineStr">
        <is>
          <t>-</t>
        </is>
      </c>
      <c r="C17" s="4" t="inlineStr">
        <is>
          <t>Use the business context and column labels to decide which calculations are needed.</t>
        </is>
      </c>
    </row>
    <row r="18" ht="24" customHeight="1">
      <c r="B18" s="4" t="inlineStr">
        <is>
          <t>-</t>
        </is>
      </c>
      <c r="C18" s="4" t="inlineStr">
        <is>
          <t>The feedback cells will show Correct or Check after you enter a response.</t>
        </is>
      </c>
    </row>
    <row r="19" ht="24" customHeight="1">
      <c r="B19" s="4" t="inlineStr">
        <is>
          <t>-</t>
        </is>
      </c>
      <c r="C19" s="4" t="inlineStr">
        <is>
          <t>Use the FormulaReferenceCard only as a quick reference after you have tried the problem.</t>
        </is>
      </c>
    </row>
    <row r="20" ht="24" customHeight="1"/>
    <row r="21" ht="24" customHeight="1"/>
    <row r="22" ht="24" customHeight="1"/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pane xSplit="1" ySplit="4" topLeftCell="B5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17" customWidth="1" min="3" max="3"/>
    <col width="13" customWidth="1" min="4" max="4"/>
    <col width="15" customWidth="1" min="5" max="5"/>
    <col width="16" customWidth="1" min="6" max="6"/>
    <col width="14" customWidth="1" min="7" max="7"/>
    <col width="14" customWidth="1" min="8" max="8"/>
    <col width="16" customWidth="1" min="9" max="9"/>
    <col width="16" customWidth="1" min="10" max="10"/>
    <col width="13" customWidth="1" min="11" max="11"/>
  </cols>
  <sheetData>
    <row r="1" ht="32" customHeight="1">
      <c r="A1" s="1" t="inlineStr">
        <is>
          <t>Tidal Goods Co.</t>
        </is>
      </c>
    </row>
    <row r="2" ht="24" customHeight="1">
      <c r="A2" s="2" t="inlineStr">
        <is>
          <t>Main Activity: Retail Pricing Decisions</t>
        </is>
      </c>
    </row>
    <row r="3"/>
    <row r="4" ht="24" customHeight="1">
      <c r="B4" s="6" t="inlineStr">
        <is>
          <t>Product</t>
        </is>
      </c>
      <c r="C4" s="6" t="inlineStr">
        <is>
          <t>Category</t>
        </is>
      </c>
      <c r="D4" s="6" t="inlineStr">
        <is>
          <t>Unit Cost</t>
        </is>
      </c>
      <c r="E4" s="6" t="inlineStr">
        <is>
          <t>Current Price</t>
        </is>
      </c>
      <c r="F4" s="6" t="inlineStr">
        <is>
          <t>Markdown %</t>
        </is>
      </c>
      <c r="G4" s="6" t="inlineStr">
        <is>
          <t>Dollar Markup</t>
        </is>
      </c>
      <c r="H4" s="6" t="inlineStr">
        <is>
          <t>Markup Rate</t>
        </is>
      </c>
      <c r="I4" s="6" t="inlineStr">
        <is>
          <t>Gross Margin %</t>
        </is>
      </c>
      <c r="J4" s="6" t="inlineStr">
        <is>
          <t>Markdown Price</t>
        </is>
      </c>
      <c r="K4" s="6" t="inlineStr">
        <is>
          <t>Markdown Loss</t>
        </is>
      </c>
    </row>
    <row r="5" ht="24" customHeight="1">
      <c r="B5" s="7" t="inlineStr">
        <is>
          <t>Reusable bottle</t>
        </is>
      </c>
      <c r="C5" s="7" t="inlineStr">
        <is>
          <t>Drinkware</t>
        </is>
      </c>
      <c r="D5" s="8" t="n">
        <v>8.4</v>
      </c>
      <c r="E5" s="8" t="n">
        <v>14.99</v>
      </c>
      <c r="F5" s="9" t="n">
        <v>0.2</v>
      </c>
      <c r="G5" s="10" t="n"/>
      <c r="H5" s="11" t="n"/>
      <c r="I5" s="11" t="n"/>
      <c r="J5" s="10" t="n"/>
      <c r="K5" s="10" t="n"/>
    </row>
    <row r="6" ht="24" customHeight="1">
      <c r="B6" s="12" t="inlineStr">
        <is>
          <t>Canvas tote</t>
        </is>
      </c>
      <c r="C6" s="12" t="inlineStr">
        <is>
          <t>Accessories</t>
        </is>
      </c>
      <c r="D6" s="13" t="n">
        <v>6.75</v>
      </c>
      <c r="E6" s="13" t="n">
        <v>12</v>
      </c>
      <c r="F6" s="14" t="n">
        <v>0.15</v>
      </c>
      <c r="G6" s="10" t="n"/>
      <c r="H6" s="11" t="n"/>
      <c r="I6" s="11" t="n"/>
      <c r="J6" s="10" t="n"/>
      <c r="K6" s="10" t="n"/>
    </row>
    <row r="7" ht="24" customHeight="1">
      <c r="B7" s="7" t="inlineStr">
        <is>
          <t>Desk organizer</t>
        </is>
      </c>
      <c r="C7" s="7" t="inlineStr">
        <is>
          <t>Home office</t>
        </is>
      </c>
      <c r="D7" s="8" t="n">
        <v>11.25</v>
      </c>
      <c r="E7" s="8" t="n">
        <v>19.5</v>
      </c>
      <c r="F7" s="9" t="n">
        <v>0.25</v>
      </c>
      <c r="G7" s="10" t="n"/>
      <c r="H7" s="11" t="n"/>
      <c r="I7" s="11" t="n"/>
      <c r="J7" s="10" t="n"/>
      <c r="K7" s="10" t="n"/>
    </row>
    <row r="8" ht="24" customHeight="1">
      <c r="B8" s="12" t="inlineStr">
        <is>
          <t>Bamboo utensil set</t>
        </is>
      </c>
      <c r="C8" s="12" t="inlineStr">
        <is>
          <t>Kitchen</t>
        </is>
      </c>
      <c r="D8" s="13" t="n">
        <v>4.1</v>
      </c>
      <c r="E8" s="13" t="n">
        <v>8.25</v>
      </c>
      <c r="F8" s="14" t="n">
        <v>0.1</v>
      </c>
      <c r="G8" s="10" t="n"/>
      <c r="H8" s="11" t="n"/>
      <c r="I8" s="11" t="n"/>
      <c r="J8" s="10" t="n"/>
      <c r="K8" s="10" t="n"/>
    </row>
    <row r="9" ht="24" customHeight="1">
      <c r="B9" s="7" t="inlineStr">
        <is>
          <t>Travel mug</t>
        </is>
      </c>
      <c r="C9" s="7" t="inlineStr">
        <is>
          <t>Drinkware</t>
        </is>
      </c>
      <c r="D9" s="8" t="n">
        <v>9.800000000000001</v>
      </c>
      <c r="E9" s="8" t="n">
        <v>17.75</v>
      </c>
      <c r="F9" s="9" t="n">
        <v>0.3</v>
      </c>
      <c r="G9" s="10" t="n"/>
      <c r="H9" s="11" t="n"/>
      <c r="I9" s="11" t="n"/>
      <c r="J9" s="10" t="n"/>
      <c r="K9" s="10" t="n"/>
    </row>
    <row r="10" ht="24" customHeight="1">
      <c r="B10" s="4" t="n"/>
      <c r="C10" s="4" t="n"/>
      <c r="D10" s="15" t="n"/>
      <c r="E10" s="15" t="n"/>
      <c r="F10" s="16" t="n"/>
      <c r="G10" s="15" t="n"/>
      <c r="H10" s="16" t="n"/>
      <c r="I10" s="16" t="n"/>
      <c r="J10" s="15" t="n"/>
      <c r="K10" s="15" t="n"/>
    </row>
    <row r="11" ht="24" customHeight="1">
      <c r="D11" s="17" t="n"/>
      <c r="E11" s="17" t="n"/>
      <c r="F11" s="18" t="n"/>
      <c r="G11" s="17" t="n"/>
      <c r="H11" s="18" t="n"/>
      <c r="I11" s="18" t="n"/>
      <c r="J11" s="17" t="n"/>
      <c r="K11" s="17" t="n"/>
    </row>
    <row r="12" ht="24" customHeight="1">
      <c r="D12" s="17" t="n"/>
      <c r="E12" s="17" t="n"/>
      <c r="F12" s="18" t="n"/>
      <c r="G12" s="17" t="n"/>
      <c r="H12" s="18" t="n"/>
      <c r="I12" s="18" t="n"/>
      <c r="J12" s="17" t="n"/>
      <c r="K12" s="17" t="n"/>
    </row>
    <row r="13" ht="24" customHeight="1">
      <c r="B13" s="5" t="inlineStr">
        <is>
          <t>Feedback Check</t>
        </is>
      </c>
      <c r="D13" s="17" t="n"/>
      <c r="E13" s="17" t="n"/>
      <c r="F13" s="18" t="n"/>
      <c r="G13" s="17" t="n"/>
      <c r="H13" s="18" t="n"/>
      <c r="I13" s="18" t="n"/>
      <c r="J13" s="17" t="n"/>
      <c r="K13" s="17" t="n"/>
    </row>
    <row r="14" ht="24" customHeight="1">
      <c r="B14" s="19" t="inlineStr">
        <is>
          <t>Product</t>
        </is>
      </c>
      <c r="C14" s="19" t="inlineStr">
        <is>
          <t>Dollar Markup</t>
        </is>
      </c>
      <c r="D14" s="20" t="inlineStr">
        <is>
          <t>Markup Rate</t>
        </is>
      </c>
      <c r="E14" s="20" t="inlineStr">
        <is>
          <t>Gross Margin %</t>
        </is>
      </c>
      <c r="F14" s="21" t="inlineStr">
        <is>
          <t>Markdown Price</t>
        </is>
      </c>
      <c r="G14" s="20" t="inlineStr">
        <is>
          <t>Markdown Loss</t>
        </is>
      </c>
      <c r="H14" s="18" t="n"/>
      <c r="I14" s="18" t="n"/>
      <c r="J14" s="17" t="n"/>
      <c r="K14" s="17" t="n"/>
    </row>
    <row r="15" ht="24" customHeight="1">
      <c r="B15" s="4" t="inlineStr">
        <is>
          <t>Reusable bottle</t>
        </is>
      </c>
      <c r="C15" s="22">
        <f>IF(G5="","",IF(ABS(G5-6.59)&lt;=0.01,"Correct","Check"))</f>
        <v/>
      </c>
      <c r="D15" s="23">
        <f>IF(H5="","",IF(ABS(H5-0.7845)&lt;=0.0001,"Correct","Check"))</f>
        <v/>
      </c>
      <c r="E15" s="23">
        <f>IF(I5="","",IF(ABS(I5-0.4396)&lt;=0.0001,"Correct","Check"))</f>
        <v/>
      </c>
      <c r="F15" s="24">
        <f>IF(J5="","",IF(ABS(J5-11.99)&lt;=0.01,"Correct","Check"))</f>
        <v/>
      </c>
      <c r="G15" s="23">
        <f>IF(K5="","",IF(ABS(K5-3.0)&lt;=0.01,"Correct","Check"))</f>
        <v/>
      </c>
      <c r="H15" s="18" t="n"/>
      <c r="I15" s="18" t="n"/>
      <c r="J15" s="17" t="n"/>
      <c r="K15" s="17" t="n"/>
    </row>
    <row r="16" ht="24" customHeight="1">
      <c r="B16" s="4" t="inlineStr">
        <is>
          <t>Canvas tote</t>
        </is>
      </c>
      <c r="C16" s="22">
        <f>IF(G6="","",IF(ABS(G6-5.25)&lt;=0.01,"Correct","Check"))</f>
        <v/>
      </c>
      <c r="D16" s="23">
        <f>IF(H6="","",IF(ABS(H6-0.7778)&lt;=0.0001,"Correct","Check"))</f>
        <v/>
      </c>
      <c r="E16" s="23">
        <f>IF(I6="","",IF(ABS(I6-0.4375)&lt;=0.0001,"Correct","Check"))</f>
        <v/>
      </c>
      <c r="F16" s="24">
        <f>IF(J6="","",IF(ABS(J6-10.2)&lt;=0.01,"Correct","Check"))</f>
        <v/>
      </c>
      <c r="G16" s="23">
        <f>IF(K6="","",IF(ABS(K6-1.8)&lt;=0.01,"Correct","Check"))</f>
        <v/>
      </c>
      <c r="H16" s="18" t="n"/>
      <c r="I16" s="18" t="n"/>
      <c r="J16" s="17" t="n"/>
      <c r="K16" s="17" t="n"/>
    </row>
    <row r="17" ht="24" customHeight="1">
      <c r="B17" s="4" t="inlineStr">
        <is>
          <t>Desk organizer</t>
        </is>
      </c>
      <c r="C17" s="22">
        <f>IF(G7="","",IF(ABS(G7-8.25)&lt;=0.01,"Correct","Check"))</f>
        <v/>
      </c>
      <c r="D17" s="23">
        <f>IF(H7="","",IF(ABS(H7-0.7333)&lt;=0.0001,"Correct","Check"))</f>
        <v/>
      </c>
      <c r="E17" s="23">
        <f>IF(I7="","",IF(ABS(I7-0.4231)&lt;=0.0001,"Correct","Check"))</f>
        <v/>
      </c>
      <c r="F17" s="24">
        <f>IF(J7="","",IF(ABS(J7-14.62)&lt;=0.01,"Correct","Check"))</f>
        <v/>
      </c>
      <c r="G17" s="23">
        <f>IF(K7="","",IF(ABS(K7-4.88)&lt;=0.01,"Correct","Check"))</f>
        <v/>
      </c>
      <c r="H17" s="18" t="n"/>
      <c r="I17" s="18" t="n"/>
      <c r="J17" s="17" t="n"/>
      <c r="K17" s="17" t="n"/>
    </row>
    <row r="18" ht="24" customHeight="1">
      <c r="B18" s="4" t="inlineStr">
        <is>
          <t>Bamboo utensil set</t>
        </is>
      </c>
      <c r="C18" s="22">
        <f>IF(G8="","",IF(ABS(G8-4.15)&lt;=0.01,"Correct","Check"))</f>
        <v/>
      </c>
      <c r="D18" s="23">
        <f>IF(H8="","",IF(ABS(H8-1.0122)&lt;=0.0001,"Correct","Check"))</f>
        <v/>
      </c>
      <c r="E18" s="23">
        <f>IF(I8="","",IF(ABS(I8-0.503)&lt;=0.0001,"Correct","Check"))</f>
        <v/>
      </c>
      <c r="F18" s="24">
        <f>IF(J8="","",IF(ABS(J8-7.42)&lt;=0.01,"Correct","Check"))</f>
        <v/>
      </c>
      <c r="G18" s="23">
        <f>IF(K8="","",IF(ABS(K8-0.83)&lt;=0.01,"Correct","Check"))</f>
        <v/>
      </c>
      <c r="H18" s="18" t="n"/>
      <c r="I18" s="18" t="n"/>
      <c r="J18" s="17" t="n"/>
      <c r="K18" s="17" t="n"/>
    </row>
    <row r="19" ht="24" customHeight="1">
      <c r="B19" s="4" t="inlineStr">
        <is>
          <t>Travel mug</t>
        </is>
      </c>
      <c r="C19" s="22">
        <f>IF(G9="","",IF(ABS(G9-7.95)&lt;=0.01,"Correct","Check"))</f>
        <v/>
      </c>
      <c r="D19" s="23">
        <f>IF(H9="","",IF(ABS(H9-0.8112)&lt;=0.0001,"Correct","Check"))</f>
        <v/>
      </c>
      <c r="E19" s="23">
        <f>IF(I9="","",IF(ABS(I9-0.4479)&lt;=0.0001,"Correct","Check"))</f>
        <v/>
      </c>
      <c r="F19" s="24">
        <f>IF(J9="","",IF(ABS(J9-12.42)&lt;=0.01,"Correct","Check"))</f>
        <v/>
      </c>
      <c r="G19" s="23">
        <f>IF(K9="","",IF(ABS(K9-5.33)&lt;=0.01,"Correct","Check"))</f>
        <v/>
      </c>
      <c r="H19" s="18" t="n"/>
      <c r="I19" s="18" t="n"/>
      <c r="J19" s="17" t="n"/>
      <c r="K19" s="17" t="n"/>
    </row>
    <row r="20" ht="24" customHeight="1">
      <c r="D20" s="17" t="n"/>
      <c r="E20" s="17" t="n"/>
      <c r="F20" s="18" t="n"/>
      <c r="G20" s="17" t="n"/>
      <c r="H20" s="18" t="n"/>
      <c r="I20" s="18" t="n"/>
      <c r="J20" s="17" t="n"/>
      <c r="K20" s="17" t="n"/>
    </row>
    <row r="21" ht="24" customHeight="1">
      <c r="D21" s="17" t="n"/>
      <c r="E21" s="17" t="n"/>
      <c r="F21" s="18" t="n"/>
      <c r="G21" s="17" t="n"/>
      <c r="H21" s="18" t="n"/>
      <c r="I21" s="18" t="n"/>
      <c r="J21" s="17" t="n"/>
      <c r="K21" s="17" t="n"/>
    </row>
    <row r="22" ht="24" customHeight="1">
      <c r="B22" s="5" t="inlineStr">
        <is>
          <t>Manager Note</t>
        </is>
      </c>
      <c r="D22" s="17" t="n"/>
      <c r="E22" s="17" t="n"/>
      <c r="F22" s="18" t="n"/>
      <c r="G22" s="17" t="n"/>
      <c r="H22" s="18" t="n"/>
      <c r="I22" s="18" t="n"/>
      <c r="J22" s="17" t="n"/>
      <c r="K22" s="17" t="n"/>
    </row>
    <row r="23" ht="24" customHeight="1">
      <c r="B23" s="25" t="inlineStr">
        <is>
          <t>After completing the calculations, identify one product where the markdown creates the largest dollar impact. Be ready to explain what Tidal Goods Co. should watch before approving the discount.</t>
        </is>
      </c>
      <c r="D23" s="17" t="n"/>
      <c r="E23" s="17" t="n"/>
      <c r="F23" s="18" t="n"/>
      <c r="G23" s="17" t="n"/>
      <c r="H23" s="18" t="n"/>
      <c r="I23" s="18" t="n"/>
      <c r="J23" s="17" t="n"/>
      <c r="K23" s="17" t="n"/>
    </row>
    <row r="24" ht="24" customHeight="1">
      <c r="D24" s="17" t="n"/>
      <c r="E24" s="17" t="n"/>
      <c r="F24" s="18" t="n"/>
      <c r="G24" s="17" t="n"/>
      <c r="H24" s="18" t="n"/>
      <c r="I24" s="18" t="n"/>
      <c r="J24" s="17" t="n"/>
      <c r="K24" s="17" t="n"/>
    </row>
    <row r="25" ht="24" customHeight="1">
      <c r="D25" s="17" t="n"/>
      <c r="E25" s="17" t="n"/>
      <c r="F25" s="18" t="n"/>
      <c r="G25" s="17" t="n"/>
      <c r="H25" s="18" t="n"/>
      <c r="I25" s="18" t="n"/>
      <c r="J25" s="17" t="n"/>
      <c r="K25" s="17" t="n"/>
    </row>
  </sheetData>
  <mergeCells count="3">
    <mergeCell ref="A2:K2"/>
    <mergeCell ref="A1:K1"/>
    <mergeCell ref="B23:K25"/>
  </mergeCells>
  <conditionalFormatting sqref="C15:G19">
    <cfRule type="cellIs" priority="1" operator="equal" dxfId="0">
      <formula>"Correct"</formula>
    </cfRule>
    <cfRule type="cellIs" priority="2" operator="equal" dxfId="1">
      <formula>"Check"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" customWidth="1" min="2" max="2"/>
    <col width="54" customWidth="1" min="3" max="3"/>
    <col width="1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2" customHeight="1">
      <c r="A1" s="1" t="inlineStr">
        <is>
          <t>Tidal Goods Co.</t>
        </is>
      </c>
    </row>
    <row r="2" ht="24" customHeight="1">
      <c r="A2" s="2" t="inlineStr">
        <is>
          <t>Challenge: Pricing What-Ifs</t>
        </is>
      </c>
    </row>
    <row r="3"/>
    <row r="4" ht="26" customHeight="1">
      <c r="B4" s="19" t="inlineStr">
        <is>
          <t>ID</t>
        </is>
      </c>
      <c r="C4" s="19" t="inlineStr">
        <is>
          <t>Scenario</t>
        </is>
      </c>
      <c r="D4" s="19" t="inlineStr">
        <is>
          <t>Current Cost</t>
        </is>
      </c>
      <c r="E4" s="19" t="inlineStr">
        <is>
          <t>Current Price</t>
        </is>
      </c>
      <c r="F4" s="19" t="inlineStr">
        <is>
          <t>Cost Change</t>
        </is>
      </c>
      <c r="G4" s="19" t="inlineStr">
        <is>
          <t>Markdown</t>
        </is>
      </c>
      <c r="H4" s="19" t="inlineStr">
        <is>
          <t>New Cost</t>
        </is>
      </c>
      <c r="I4" s="19" t="inlineStr">
        <is>
          <t>Target / Final Price</t>
        </is>
      </c>
      <c r="J4" s="19" t="inlineStr">
        <is>
          <t>Final Margin %</t>
        </is>
      </c>
    </row>
    <row r="5" ht="26" customHeight="1">
      <c r="B5" s="7" t="inlineStr">
        <is>
          <t>A</t>
        </is>
      </c>
      <c r="C5" s="7" t="inlineStr">
        <is>
          <t>Vendor cost rises 8%; maintain current markup rate</t>
        </is>
      </c>
      <c r="D5" s="8" t="n">
        <v>8.4</v>
      </c>
      <c r="E5" s="8" t="n">
        <v>14.99</v>
      </c>
      <c r="F5" s="9" t="n">
        <v>0.08</v>
      </c>
      <c r="G5" s="9" t="n">
        <v>0</v>
      </c>
      <c r="H5" s="10" t="n"/>
      <c r="I5" s="10" t="n"/>
      <c r="J5" s="11" t="n"/>
    </row>
    <row r="6" ht="26" customHeight="1">
      <c r="B6" s="12" t="inlineStr">
        <is>
          <t>B</t>
        </is>
      </c>
      <c r="C6" s="12" t="inlineStr">
        <is>
          <t>Clearance markdown of 18% from current selling price</t>
        </is>
      </c>
      <c r="D6" s="13" t="n">
        <v>6.75</v>
      </c>
      <c r="E6" s="13" t="n">
        <v>12</v>
      </c>
      <c r="F6" s="14" t="n">
        <v>0</v>
      </c>
      <c r="G6" s="14" t="n">
        <v>0.18</v>
      </c>
      <c r="H6" s="10" t="n"/>
      <c r="I6" s="10" t="n"/>
      <c r="J6" s="11" t="n"/>
    </row>
    <row r="7" ht="26" customHeight="1">
      <c r="B7" s="7" t="inlineStr">
        <is>
          <t>C</t>
        </is>
      </c>
      <c r="C7" s="7" t="inlineStr">
        <is>
          <t>Supplier discount lowers cost 6%; keep price unchanged</t>
        </is>
      </c>
      <c r="D7" s="8" t="n">
        <v>11.25</v>
      </c>
      <c r="E7" s="8" t="n">
        <v>19.5</v>
      </c>
      <c r="F7" s="9" t="n">
        <v>-0.06</v>
      </c>
      <c r="G7" s="9" t="n">
        <v>0</v>
      </c>
      <c r="H7" s="10" t="n"/>
      <c r="I7" s="10" t="n"/>
      <c r="J7" s="11" t="n"/>
    </row>
    <row r="8" ht="26" customHeight="1">
      <c r="D8" s="17" t="n"/>
      <c r="E8" s="17" t="n"/>
      <c r="F8" s="18" t="n"/>
      <c r="G8" s="18" t="n"/>
      <c r="H8" s="17" t="n"/>
      <c r="I8" s="17" t="n"/>
      <c r="J8" s="18" t="n"/>
    </row>
    <row r="9" ht="26" customHeight="1">
      <c r="D9" s="17" t="n"/>
      <c r="E9" s="17" t="n"/>
      <c r="F9" s="18" t="n"/>
      <c r="G9" s="18" t="n"/>
      <c r="H9" s="17" t="n"/>
      <c r="I9" s="17" t="n"/>
      <c r="J9" s="18" t="n"/>
    </row>
    <row r="10" ht="26" customHeight="1">
      <c r="B10" s="5" t="inlineStr">
        <is>
          <t>Feedback Check</t>
        </is>
      </c>
      <c r="D10" s="17" t="n"/>
      <c r="E10" s="17" t="n"/>
      <c r="F10" s="18" t="n"/>
      <c r="G10" s="18" t="n"/>
      <c r="H10" s="17" t="n"/>
      <c r="I10" s="17" t="n"/>
      <c r="J10" s="18" t="n"/>
    </row>
    <row r="11" ht="26" customHeight="1">
      <c r="B11" s="19" t="inlineStr">
        <is>
          <t>ID</t>
        </is>
      </c>
      <c r="C11" s="19" t="inlineStr">
        <is>
          <t>New Cost</t>
        </is>
      </c>
      <c r="D11" s="20" t="inlineStr">
        <is>
          <t>Target / Final Price</t>
        </is>
      </c>
      <c r="E11" s="20" t="inlineStr">
        <is>
          <t>Final Margin %</t>
        </is>
      </c>
      <c r="F11" s="18" t="n"/>
      <c r="G11" s="18" t="n"/>
      <c r="H11" s="17" t="n"/>
      <c r="I11" s="17" t="n"/>
      <c r="J11" s="18" t="n"/>
    </row>
    <row r="12" ht="26" customHeight="1">
      <c r="B12" s="4" t="inlineStr">
        <is>
          <t>A</t>
        </is>
      </c>
      <c r="C12" s="22">
        <f>IF(H5="","",IF(ABS(H5-9.07)&lt;=0.01,"Correct","Check"))</f>
        <v/>
      </c>
      <c r="D12" s="23">
        <f>IF(I5="","",IF(ABS(I5-16.19)&lt;=0.01,"Correct","Check"))</f>
        <v/>
      </c>
      <c r="E12" s="23">
        <f>IF(J5="","",IF(ABS(J5-0.4396)&lt;=0.0001,"Correct","Check"))</f>
        <v/>
      </c>
      <c r="F12" s="18" t="n"/>
      <c r="G12" s="18" t="n"/>
      <c r="H12" s="17" t="n"/>
      <c r="I12" s="17" t="n"/>
      <c r="J12" s="18" t="n"/>
    </row>
    <row r="13" ht="26" customHeight="1">
      <c r="B13" s="4" t="inlineStr">
        <is>
          <t>B</t>
        </is>
      </c>
      <c r="C13" s="22">
        <f>IF(H6="","",IF(ABS(H6-6.75)&lt;=0.01,"Correct","Check"))</f>
        <v/>
      </c>
      <c r="D13" s="23">
        <f>IF(I6="","",IF(ABS(I6-9.84)&lt;=0.01,"Correct","Check"))</f>
        <v/>
      </c>
      <c r="E13" s="23">
        <f>IF(J6="","",IF(ABS(J6-0.314)&lt;=0.0001,"Correct","Check"))</f>
        <v/>
      </c>
      <c r="F13" s="18" t="n"/>
      <c r="G13" s="18" t="n"/>
      <c r="H13" s="17" t="n"/>
      <c r="I13" s="17" t="n"/>
      <c r="J13" s="18" t="n"/>
    </row>
    <row r="14" ht="26" customHeight="1">
      <c r="B14" s="4" t="inlineStr">
        <is>
          <t>C</t>
        </is>
      </c>
      <c r="C14" s="22">
        <f>IF(H7="","",IF(ABS(H7-10.57)&lt;=0.01,"Correct","Check"))</f>
        <v/>
      </c>
      <c r="D14" s="23">
        <f>IF(I7="","",IF(ABS(I7-18.33)&lt;=0.01,"Correct","Check"))</f>
        <v/>
      </c>
      <c r="E14" s="23">
        <f>IF(J7="","",IF(ABS(J7-0.4231)&lt;=0.0001,"Correct","Check"))</f>
        <v/>
      </c>
      <c r="F14" s="18" t="n"/>
      <c r="G14" s="18" t="n"/>
      <c r="H14" s="17" t="n"/>
      <c r="I14" s="17" t="n"/>
      <c r="J14" s="18" t="n"/>
    </row>
    <row r="15" ht="26" customHeight="1"/>
  </sheetData>
  <mergeCells count="2">
    <mergeCell ref="A1:J1"/>
    <mergeCell ref="A2:J2"/>
  </mergeCells>
  <conditionalFormatting sqref="C12:E14">
    <cfRule type="cellIs" priority="1" operator="equal" dxfId="0">
      <formula>"Correct"</formula>
    </cfRule>
    <cfRule type="cellIs" priority="2" operator="equal" dxfId="1">
      <formula>"Check"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  <col width="22" customWidth="1" min="8" max="8"/>
    <col width="22" customWidth="1" min="9" max="9"/>
    <col width="22" customWidth="1" min="10" max="10"/>
  </cols>
  <sheetData>
    <row r="1" ht="32" customHeight="1">
      <c r="A1" s="1" t="inlineStr">
        <is>
          <t>Instructor Solution</t>
        </is>
      </c>
    </row>
    <row r="2" ht="24" customHeight="1">
      <c r="A2" s="2" t="inlineStr">
        <is>
          <t>Expected values and formula audit</t>
        </is>
      </c>
    </row>
    <row r="3"/>
    <row r="4">
      <c r="B4" s="19" t="inlineStr">
        <is>
          <t>Product</t>
        </is>
      </c>
      <c r="C4" s="19" t="inlineStr">
        <is>
          <t>Dollar Markup</t>
        </is>
      </c>
      <c r="D4" s="19" t="inlineStr">
        <is>
          <t>Markup Rate</t>
        </is>
      </c>
      <c r="E4" s="19" t="inlineStr">
        <is>
          <t>Gross Margin %</t>
        </is>
      </c>
      <c r="F4" s="19" t="inlineStr">
        <is>
          <t>Markdown Price</t>
        </is>
      </c>
      <c r="G4" s="19" t="inlineStr">
        <is>
          <t>Markdown Loss</t>
        </is>
      </c>
      <c r="H4" s="19" t="inlineStr">
        <is>
          <t>Formula Used</t>
        </is>
      </c>
      <c r="I4" s="19" t="n"/>
    </row>
    <row r="5">
      <c r="B5" s="4" t="inlineStr">
        <is>
          <t>Reusable bottle</t>
        </is>
      </c>
      <c r="C5" s="15" t="n">
        <v>6.59</v>
      </c>
      <c r="D5" s="16" t="n">
        <v>0.7845</v>
      </c>
      <c r="E5" s="16" t="n">
        <v>0.4396</v>
      </c>
      <c r="F5" s="15" t="n">
        <v>11.99</v>
      </c>
      <c r="G5" s="15" t="n">
        <v>3</v>
      </c>
      <c r="H5" s="4" t="inlineStr">
        <is>
          <t>'=Current Price-Unit Cost ; '=Dollar Markup/Unit Cost ; '=Dollar Markup/Current Price ; '=Current Price*(1-Markdown %) ; '=Current Price-Markdown Price</t>
        </is>
      </c>
    </row>
    <row r="6">
      <c r="B6" s="4" t="inlineStr">
        <is>
          <t>Canvas tote</t>
        </is>
      </c>
      <c r="C6" s="15" t="n">
        <v>5.25</v>
      </c>
      <c r="D6" s="16" t="n">
        <v>0.7778</v>
      </c>
      <c r="E6" s="16" t="n">
        <v>0.4375</v>
      </c>
      <c r="F6" s="15" t="n">
        <v>10.2</v>
      </c>
      <c r="G6" s="15" t="n">
        <v>1.8</v>
      </c>
      <c r="H6" s="4" t="inlineStr">
        <is>
          <t>'=Current Price-Unit Cost ; '=Dollar Markup/Unit Cost ; '=Dollar Markup/Current Price ; '=Current Price*(1-Markdown %) ; '=Current Price-Markdown Price</t>
        </is>
      </c>
    </row>
    <row r="7">
      <c r="B7" s="4" t="inlineStr">
        <is>
          <t>Desk organizer</t>
        </is>
      </c>
      <c r="C7" s="15" t="n">
        <v>8.25</v>
      </c>
      <c r="D7" s="16" t="n">
        <v>0.7333</v>
      </c>
      <c r="E7" s="16" t="n">
        <v>0.4231</v>
      </c>
      <c r="F7" s="15" t="n">
        <v>14.62</v>
      </c>
      <c r="G7" s="15" t="n">
        <v>4.88</v>
      </c>
      <c r="H7" s="4" t="inlineStr">
        <is>
          <t>'=Current Price-Unit Cost ; '=Dollar Markup/Unit Cost ; '=Dollar Markup/Current Price ; '=Current Price*(1-Markdown %) ; '=Current Price-Markdown Price</t>
        </is>
      </c>
    </row>
    <row r="8">
      <c r="B8" s="4" t="inlineStr">
        <is>
          <t>Bamboo utensil set</t>
        </is>
      </c>
      <c r="C8" s="15" t="n">
        <v>4.15</v>
      </c>
      <c r="D8" s="15" t="n">
        <v>1.0122</v>
      </c>
      <c r="E8" s="16" t="n">
        <v>0.503</v>
      </c>
      <c r="F8" s="15" t="n">
        <v>7.42</v>
      </c>
      <c r="G8" s="15" t="n">
        <v>0.83</v>
      </c>
      <c r="H8" s="4" t="inlineStr">
        <is>
          <t>'=Current Price-Unit Cost ; '=Dollar Markup/Unit Cost ; '=Dollar Markup/Current Price ; '=Current Price*(1-Markdown %) ; '=Current Price-Markdown Price</t>
        </is>
      </c>
    </row>
    <row r="9">
      <c r="B9" s="4" t="inlineStr">
        <is>
          <t>Travel mug</t>
        </is>
      </c>
      <c r="C9" s="15" t="n">
        <v>7.95</v>
      </c>
      <c r="D9" s="16" t="n">
        <v>0.8112</v>
      </c>
      <c r="E9" s="16" t="n">
        <v>0.4479</v>
      </c>
      <c r="F9" s="15" t="n">
        <v>12.42</v>
      </c>
      <c r="G9" s="15" t="n">
        <v>5.33</v>
      </c>
      <c r="H9" s="4" t="inlineStr">
        <is>
          <t>'=Current Price-Unit Cost ; '=Dollar Markup/Unit Cost ; '=Dollar Markup/Current Price ; '=Current Price*(1-Markdown %) ; '=Current Price-Markdown Price</t>
        </is>
      </c>
    </row>
    <row r="10"/>
    <row r="11"/>
    <row r="12"/>
    <row r="13">
      <c r="B13" s="19" t="inlineStr">
        <is>
          <t>ID</t>
        </is>
      </c>
      <c r="C13" s="19" t="inlineStr">
        <is>
          <t>New Cost</t>
        </is>
      </c>
      <c r="D13" s="19" t="inlineStr">
        <is>
          <t>Target / Final Price</t>
        </is>
      </c>
      <c r="E13" s="19" t="inlineStr">
        <is>
          <t>Final Margin %</t>
        </is>
      </c>
      <c r="F13" s="19" t="inlineStr">
        <is>
          <t>Formula Used</t>
        </is>
      </c>
      <c r="G13" s="19" t="n"/>
    </row>
    <row r="14">
      <c r="B14" s="4" t="inlineStr">
        <is>
          <t>A</t>
        </is>
      </c>
      <c r="C14" s="15" t="n">
        <v>9.07</v>
      </c>
      <c r="D14" s="15" t="n">
        <v>16.19</v>
      </c>
      <c r="E14" s="16" t="n">
        <v>0.4396</v>
      </c>
      <c r="F14" s="4" t="inlineStr">
        <is>
          <t>'=new cost, adjusted price, and final margin based on the scenario</t>
        </is>
      </c>
    </row>
    <row r="15">
      <c r="B15" s="4" t="inlineStr">
        <is>
          <t>B</t>
        </is>
      </c>
      <c r="C15" s="15" t="n">
        <v>6.75</v>
      </c>
      <c r="D15" s="15" t="n">
        <v>9.84</v>
      </c>
      <c r="E15" s="16" t="n">
        <v>0.314</v>
      </c>
      <c r="F15" s="4" t="inlineStr">
        <is>
          <t>'=new cost, adjusted price, and final margin based on the scenario</t>
        </is>
      </c>
    </row>
    <row r="16">
      <c r="B16" s="4" t="inlineStr">
        <is>
          <t>C</t>
        </is>
      </c>
      <c r="C16" s="15" t="n">
        <v>10.57</v>
      </c>
      <c r="D16" s="15" t="n">
        <v>18.33</v>
      </c>
      <c r="E16" s="16" t="n">
        <v>0.4231</v>
      </c>
      <c r="F16" s="4" t="inlineStr">
        <is>
          <t>'=new cost, adjusted price, and final margin based on the scenario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42" customWidth="1" min="3" max="3"/>
    <col width="46" customWidth="1" min="4" max="4"/>
    <col width="16" customWidth="1" min="5" max="5"/>
    <col width="16" customWidth="1" min="6" max="6"/>
  </cols>
  <sheetData>
    <row r="1" ht="32" customHeight="1">
      <c r="A1" s="1" t="inlineStr">
        <is>
          <t>Formula Reference Card</t>
        </is>
      </c>
    </row>
    <row r="2" ht="24" customHeight="1">
      <c r="A2" s="2" t="inlineStr">
        <is>
          <t>Use after attempting the activity</t>
        </is>
      </c>
    </row>
    <row r="3"/>
    <row r="4">
      <c r="B4" s="19" t="inlineStr">
        <is>
          <t>Concept</t>
        </is>
      </c>
      <c r="C4" s="19" t="inlineStr">
        <is>
          <t>Spreadsheet Pattern</t>
        </is>
      </c>
      <c r="D4" s="19" t="inlineStr">
        <is>
          <t>Plain-English Check</t>
        </is>
      </c>
      <c r="E4" s="19" t="n"/>
    </row>
    <row r="5">
      <c r="B5" s="4" t="inlineStr">
        <is>
          <t>Dollar markup</t>
        </is>
      </c>
      <c r="C5" s="26" t="inlineStr">
        <is>
          <t>'=Selling Price-Cost</t>
        </is>
      </c>
      <c r="D5" s="4" t="inlineStr">
        <is>
          <t>How many dollars are added above cost?</t>
        </is>
      </c>
    </row>
    <row r="6">
      <c r="B6" s="4" t="inlineStr">
        <is>
          <t>Markup rate</t>
        </is>
      </c>
      <c r="C6" s="26" t="inlineStr">
        <is>
          <t>'=Dollar Markup/Cost</t>
        </is>
      </c>
      <c r="D6" s="4" t="inlineStr">
        <is>
          <t>How large is the markup compared with cost?</t>
        </is>
      </c>
    </row>
    <row r="7">
      <c r="B7" s="4" t="inlineStr">
        <is>
          <t>Gross margin %</t>
        </is>
      </c>
      <c r="C7" s="26" t="inlineStr">
        <is>
          <t>'=Dollar Markup/Selling Price</t>
        </is>
      </c>
      <c r="D7" s="4" t="inlineStr">
        <is>
          <t>What share of the selling price remains after product cost?</t>
        </is>
      </c>
    </row>
    <row r="8">
      <c r="B8" s="4" t="inlineStr">
        <is>
          <t>Markdown price</t>
        </is>
      </c>
      <c r="C8" s="26" t="inlineStr">
        <is>
          <t>'=Original Price*(1-Markdown %)</t>
        </is>
      </c>
      <c r="D8" s="4" t="inlineStr">
        <is>
          <t>What price will the customer see after the discount?</t>
        </is>
      </c>
    </row>
    <row r="9">
      <c r="B9" s="4" t="inlineStr">
        <is>
          <t>Markdown loss</t>
        </is>
      </c>
      <c r="C9" s="26" t="inlineStr">
        <is>
          <t>'=Original Price-Markdown Price</t>
        </is>
      </c>
      <c r="D9" s="4" t="inlineStr">
        <is>
          <t>How many dollars of price did the markdown remove?</t>
        </is>
      </c>
    </row>
    <row r="10"/>
    <row r="11"/>
    <row r="12">
      <c r="B12" s="5" t="inlineStr">
        <is>
          <t>Tip</t>
        </is>
      </c>
    </row>
    <row r="13">
      <c r="B13" s="25" t="inlineStr">
        <is>
          <t>Use dollar answers to check percent answers. If the dollar markup is wrong, the markup rate and margin percent will also be wrong.</t>
        </is>
      </c>
    </row>
    <row r="14"/>
    <row r="15"/>
  </sheetData>
  <mergeCells count="3">
    <mergeCell ref="B13:D15"/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2026-05-22T00:45:57Z</dcterms:created>
  <dcterms:modified xmlns:dcterms="http://purl.org/dc/terms/" xmlns:xsi="http://www.w3.org/2001/XMLSchema-instance" xsi:type="dcterms:W3CDTF">2026-05-22T00:45:57Z</dcterms:modified>
</cp:coreProperties>
</file>