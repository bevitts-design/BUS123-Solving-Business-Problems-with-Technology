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0.0"/>
  </numFmts>
  <fonts count="10">
    <font>
      <name val="Calibri"/>
      <family val="2"/>
      <color theme="1"/>
      <sz val="11"/>
      <scheme val="minor"/>
    </font>
    <font>
      <name val="DM Sans"/>
      <b val="1"/>
      <color rgb="00FFFFFF"/>
      <sz val="18"/>
    </font>
    <font>
      <name val="DM Sans"/>
      <i val="1"/>
      <color rgb="004A5567"/>
      <sz val="11"/>
    </font>
    <font>
      <name val="DM Sans"/>
      <b val="1"/>
      <color rgb="004A7C5E"/>
      <sz val="14"/>
    </font>
    <font>
      <name val="DM Sans"/>
      <b val="1"/>
      <color rgb="00FFFFFF"/>
      <sz val="10"/>
    </font>
    <font>
      <name val="DM Sans"/>
      <b val="1"/>
      <color rgb="001A1F2C"/>
      <sz val="10"/>
    </font>
    <font>
      <name val="DM Sans"/>
      <color rgb="001A1F2C"/>
      <sz val="10"/>
    </font>
    <font>
      <name val="DM Sans"/>
      <b val="1"/>
      <color rgb="004A7C5E"/>
      <sz val="10"/>
    </font>
    <font>
      <name val="DM Sans"/>
      <color rgb="004A7C5E"/>
      <sz val="10"/>
    </font>
    <font>
      <name val="DM Sans"/>
      <color rgb="00355773"/>
      <sz val="10"/>
    </font>
  </fonts>
  <fills count="11">
    <fill>
      <patternFill/>
    </fill>
    <fill>
      <patternFill patternType="gray125"/>
    </fill>
    <fill>
      <patternFill patternType="solid">
        <fgColor rgb="000E1116"/>
      </patternFill>
    </fill>
    <fill>
      <patternFill patternType="solid">
        <fgColor rgb="00FAF8F3"/>
      </patternFill>
    </fill>
    <fill>
      <patternFill patternType="solid">
        <fgColor rgb="004A7C5E"/>
      </patternFill>
    </fill>
    <fill>
      <patternFill patternType="solid">
        <fgColor rgb="00F2EEE5"/>
      </patternFill>
    </fill>
    <fill>
      <patternFill patternType="solid">
        <fgColor rgb="00FFFFFF"/>
      </patternFill>
    </fill>
    <fill>
      <patternFill patternType="solid">
        <fgColor rgb="00EAF3EC"/>
      </patternFill>
    </fill>
    <fill>
      <patternFill patternType="solid">
        <fgColor rgb="00FFF3C4"/>
      </patternFill>
    </fill>
    <fill>
      <patternFill patternType="solid">
        <fgColor rgb="00E8F0FE"/>
      </patternFill>
    </fill>
    <fill>
      <patternFill patternType="solid">
        <fgColor rgb="00355773"/>
      </patternFill>
    </fill>
  </fills>
  <borders count="6">
    <border>
      <left/>
      <right/>
      <top/>
      <bottom/>
      <diagonal/>
    </border>
    <border>
      <left style="thin">
        <color rgb="00E5E1D6"/>
      </left>
      <right style="thin">
        <color rgb="00E5E1D6"/>
      </right>
      <top style="thin">
        <color rgb="00E5E1D6"/>
      </top>
      <bottom style="thin">
        <color rgb="00E5E1D6"/>
      </bottom>
    </border>
    <border>
      <left/>
      <right/>
      <top style="thin">
        <color rgb="00E5E1D6"/>
      </top>
      <bottom/>
      <diagonal/>
    </border>
    <border>
      <left/>
      <right style="thin">
        <color rgb="00E5E1D6"/>
      </right>
      <top style="thin">
        <color rgb="00E5E1D6"/>
      </top>
      <bottom/>
      <diagonal/>
    </border>
    <border>
      <left/>
      <right/>
      <top style="thin">
        <color rgb="00E5E1D6"/>
      </top>
      <bottom style="thin">
        <color rgb="00E5E1D6"/>
      </bottom>
      <diagonal/>
    </border>
    <border>
      <left/>
      <right style="thin">
        <color rgb="00E5E1D6"/>
      </right>
      <top style="thin">
        <color rgb="00E5E1D6"/>
      </top>
      <bottom style="thin">
        <color rgb="00E5E1D6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top" wrapText="1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1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164" fontId="6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2" fontId="6" fillId="8" borderId="1" applyAlignment="1" pivotButton="0" quotePrefix="0" xfId="0">
      <alignment horizontal="left" vertical="top" wrapText="1"/>
    </xf>
    <xf numFmtId="165" fontId="6" fillId="9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left" vertical="top" wrapText="1"/>
    </xf>
    <xf numFmtId="1" fontId="6" fillId="8" borderId="1" applyAlignment="1" pivotButton="0" quotePrefix="0" xfId="0">
      <alignment horizontal="left" vertical="top" wrapText="1"/>
    </xf>
    <xf numFmtId="164" fontId="6" fillId="9" borderId="1" applyAlignment="1" pivotButton="0" quotePrefix="0" xfId="0">
      <alignment horizontal="left" vertical="top" wrapText="1"/>
    </xf>
    <xf numFmtId="166" fontId="6" fillId="8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2" customWidth="1" min="2" max="2"/>
    <col width="4" customWidth="1" min="3" max="3"/>
    <col width="4" customWidth="1" min="4" max="4"/>
    <col width="4" customWidth="1" min="5" max="5"/>
    <col width="4" customWidth="1" min="6" max="6"/>
  </cols>
  <sheetData>
    <row r="1" ht="30" customHeight="1">
      <c r="A1" s="1" t="inlineStr">
        <is>
          <t>BUS123 - MATH M05 - L01</t>
        </is>
      </c>
    </row>
    <row r="2" ht="34" customHeight="1">
      <c r="A2" s="2" t="inlineStr">
        <is>
          <t>Payroll and Depreciation | Harborside Medical Center | Fall 2026</t>
        </is>
      </c>
    </row>
    <row r="4">
      <c r="A4" s="3" t="inlineStr">
        <is>
          <t>How to Use This Workbook</t>
        </is>
      </c>
    </row>
    <row r="6" ht="28" customHeight="1">
      <c r="A6" s="4" t="inlineStr">
        <is>
          <t>Step</t>
        </is>
      </c>
      <c r="B6" s="4" t="inlineStr">
        <is>
          <t>Student move</t>
        </is>
      </c>
    </row>
    <row r="7" ht="42" customHeight="1">
      <c r="A7" s="5" t="inlineStr">
        <is>
          <t>1. Work the live pauses</t>
        </is>
      </c>
      <c r="B7" s="6" t="inlineStr">
        <is>
          <t>During the deck, open Live You Try It for short Excel pauses after worked examples.</t>
        </is>
      </c>
    </row>
    <row r="8" ht="42" customHeight="1">
      <c r="A8" s="5" t="inlineStr">
        <is>
          <t>2. Use feedback to revise</t>
        </is>
      </c>
      <c r="B8" s="6" t="inlineStr">
        <is>
          <t>Live You Try It is self-graded. Hints and feedback help you fix formulas before moving on.</t>
        </is>
      </c>
    </row>
    <row r="9" ht="42" customHeight="1">
      <c r="A9" s="5" t="inlineStr">
        <is>
          <t>3. Complete the challenge</t>
        </is>
      </c>
      <c r="B9" s="6" t="inlineStr">
        <is>
          <t>Class Challenge is the graded or next-level activity. It combines payroll, overtime, depreciation, and business interpretation.</t>
        </is>
      </c>
    </row>
    <row r="10" ht="42" customHeight="1">
      <c r="A10" s="5" t="inlineStr">
        <is>
          <t>4. Use the reference card</t>
        </is>
      </c>
      <c r="B10" s="6" t="inlineStr">
        <is>
          <t>FormulaReferenceCard gives syntax reminders. Choose the formula based on the business context.</t>
        </is>
      </c>
    </row>
    <row r="13">
      <c r="A13" s="3" t="inlineStr">
        <is>
          <t>Learning Targets</t>
        </is>
      </c>
    </row>
    <row r="14">
      <c r="A14" s="7" t="inlineStr">
        <is>
          <t>I can</t>
        </is>
      </c>
      <c r="B14" s="6" t="inlineStr">
        <is>
          <t>Calculate gross pay for hourly, salary, overtime, and commission employees.</t>
        </is>
      </c>
    </row>
    <row r="15">
      <c r="A15" s="7" t="inlineStr">
        <is>
          <t>I can</t>
        </is>
      </c>
      <c r="B15" s="6" t="inlineStr">
        <is>
          <t>Explain how headcount and overtime change total payroll costs.</t>
        </is>
      </c>
    </row>
    <row r="16">
      <c r="A16" s="7" t="inlineStr">
        <is>
          <t>I can</t>
        </is>
      </c>
      <c r="B16" s="6" t="inlineStr">
        <is>
          <t>Build a straight-line depreciation schedule.</t>
        </is>
      </c>
    </row>
    <row r="17">
      <c r="A17" s="7" t="inlineStr">
        <is>
          <t>I can</t>
        </is>
      </c>
      <c r="B17" s="6" t="inlineStr">
        <is>
          <t>Connect payroll and depreciation decisions to Harborside Medical operations.</t>
        </is>
      </c>
    </row>
    <row r="20">
      <c r="A20" s="3" t="inlineStr">
        <is>
          <t>Color Key</t>
        </is>
      </c>
    </row>
    <row r="21">
      <c r="A21" s="8" t="inlineStr">
        <is>
          <t>Yellow cells</t>
        </is>
      </c>
      <c r="B21" s="6" t="inlineStr">
        <is>
          <t>Student input cells.</t>
        </is>
      </c>
    </row>
    <row r="22">
      <c r="A22" s="9" t="inlineStr">
        <is>
          <t>Green cells</t>
        </is>
      </c>
      <c r="B22" s="6" t="inlineStr">
        <is>
          <t>Self-check feedback on Live You Try It.</t>
        </is>
      </c>
    </row>
    <row r="23">
      <c r="A23" s="10" t="inlineStr">
        <is>
          <t>Blue cells</t>
        </is>
      </c>
      <c r="B23" s="6" t="inlineStr">
        <is>
          <t>Class Challenge formula/answer cells. These are graded or next-level work.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46" customWidth="1" min="3" max="3"/>
    <col width="22" customWidth="1" min="4" max="4"/>
    <col width="42" customWidth="1" min="5" max="5"/>
    <col width="42" customWidth="1" min="6" max="6"/>
  </cols>
  <sheetData>
    <row r="1" ht="30" customHeight="1">
      <c r="A1" s="1" t="inlineStr">
        <is>
          <t>M05 - Live You Try It</t>
        </is>
      </c>
    </row>
    <row r="2" ht="34" customHeight="1">
      <c r="A2" s="2" t="inlineStr">
        <is>
          <t>Self-graded Excel pauses using the exact numbers from the slides. Use feedback to revise; this tab is not the graded contract.</t>
        </is>
      </c>
    </row>
    <row r="4" ht="28" customHeight="1">
      <c r="A4" s="4" t="inlineStr">
        <is>
          <t>Slide</t>
        </is>
      </c>
      <c r="B4" s="4" t="inlineStr">
        <is>
          <t>Pause</t>
        </is>
      </c>
      <c r="C4" s="4" t="inlineStr">
        <is>
          <t>Given facts</t>
        </is>
      </c>
      <c r="D4" s="4" t="inlineStr">
        <is>
          <t>Your formula / result</t>
        </is>
      </c>
      <c r="E4" s="4" t="inlineStr">
        <is>
          <t>Hint</t>
        </is>
      </c>
      <c r="F4" s="4" t="inlineStr">
        <is>
          <t>Feedback</t>
        </is>
      </c>
    </row>
    <row r="5" ht="48" customHeight="1">
      <c r="A5" s="5" t="n">
        <v>7</v>
      </c>
      <c r="B5" s="5" t="inlineStr">
        <is>
          <t>Weekly salary check</t>
        </is>
      </c>
      <c r="C5" s="6" t="inlineStr">
        <is>
          <t>$52,000 annual salary and 52 weekly pay periods</t>
        </is>
      </c>
      <c r="D5" s="11" t="n"/>
      <c r="E5" s="6" t="inlineStr">
        <is>
          <t>Divide annual salary by weekly pay periods.</t>
        </is>
      </c>
      <c r="F5" s="12">
        <f>IF(D5="","Hint: "&amp;E5,IF(ROUND(D5,2)=ROUND(1000,2),"Correct - self-check complete","Try again - revise the formula or input."))</f>
        <v/>
      </c>
    </row>
    <row r="6" ht="48" customHeight="1">
      <c r="A6" s="5" t="n">
        <v>8</v>
      </c>
      <c r="B6" s="5" t="inlineStr">
        <is>
          <t>One nurse regular pay</t>
        </is>
      </c>
      <c r="C6" s="6" t="inlineStr">
        <is>
          <t>40 regular hours at $44 per hour</t>
        </is>
      </c>
      <c r="D6" s="11" t="n"/>
      <c r="E6" s="6" t="inlineStr">
        <is>
          <t>Regular pay uses the first 40 hours.</t>
        </is>
      </c>
      <c r="F6" s="12">
        <f>IF(D6="","Hint: "&amp;E6,IF(ROUND(D6,2)=ROUND(1760,2),"Correct - self-check complete","Try again - revise the formula or input."))</f>
        <v/>
      </c>
    </row>
    <row r="7" ht="48" customHeight="1">
      <c r="A7" s="5" t="n">
        <v>8</v>
      </c>
      <c r="B7" s="5" t="inlineStr">
        <is>
          <t>One nurse gross pay</t>
        </is>
      </c>
      <c r="C7" s="6" t="inlineStr">
        <is>
          <t>43 hours at $44 per hour with 1.5x overtime</t>
        </is>
      </c>
      <c r="D7" s="11" t="n"/>
      <c r="E7" s="6" t="inlineStr">
        <is>
          <t>Separate regular hours from overtime hours.</t>
        </is>
      </c>
      <c r="F7" s="12">
        <f>IF(D7="","Hint: "&amp;E7,IF(ROUND(D7,2)=ROUND(1958,2),"Correct - self-check complete","Try again - revise the formula or input."))</f>
        <v/>
      </c>
    </row>
    <row r="8" ht="8" customHeight="1"/>
    <row r="9" ht="48" customHeight="1">
      <c r="A9" s="5" t="n">
        <v>13</v>
      </c>
      <c r="B9" s="5" t="inlineStr">
        <is>
          <t>Team regular pay</t>
        </is>
      </c>
      <c r="C9" s="6" t="inlineStr">
        <is>
          <t>8 nurses, 40 regular hours each, $44 per hour</t>
        </is>
      </c>
      <c r="D9" s="11" t="n"/>
      <c r="E9" s="6" t="inlineStr">
        <is>
          <t>Multiply the regular pay by the number of nurses.</t>
        </is>
      </c>
      <c r="F9" s="12">
        <f>IF(D9="","Hint: "&amp;E9,IF(ROUND(D9,2)=ROUND(14080,2),"Correct - self-check complete","Try again - revise the formula or input."))</f>
        <v/>
      </c>
    </row>
    <row r="10" ht="48" customHeight="1">
      <c r="A10" s="5" t="n">
        <v>13</v>
      </c>
      <c r="B10" s="5" t="inlineStr">
        <is>
          <t>Team overtime pay</t>
        </is>
      </c>
      <c r="C10" s="6" t="inlineStr">
        <is>
          <t>8 nurses, 3 overtime hours each, $44 per hour, 1.5x OT</t>
        </is>
      </c>
      <c r="D10" s="11" t="n"/>
      <c r="E10" s="6" t="inlineStr">
        <is>
          <t>Overtime uses only the 3 hours above 40.</t>
        </is>
      </c>
      <c r="F10" s="12">
        <f>IF(D10="","Hint: "&amp;E10,IF(ROUND(D10,2)=ROUND(1584,2),"Correct - self-check complete","Try again - revise the formula or input."))</f>
        <v/>
      </c>
    </row>
    <row r="11" ht="48" customHeight="1">
      <c r="A11" s="5" t="n">
        <v>13</v>
      </c>
      <c r="B11" s="5" t="inlineStr">
        <is>
          <t>Team gross pay</t>
        </is>
      </c>
      <c r="C11" s="6" t="inlineStr">
        <is>
          <t>Team regular pay plus team overtime pay</t>
        </is>
      </c>
      <c r="D11" s="11" t="n"/>
      <c r="E11" s="6" t="inlineStr">
        <is>
          <t>Gross pay adds regular and overtime pay.</t>
        </is>
      </c>
      <c r="F11" s="12">
        <f>IF(D11="","Hint: "&amp;E11,IF(ROUND(D11,2)=ROUND(15664,2),"Correct - self-check complete","Try again - revise the formula or input."))</f>
        <v/>
      </c>
    </row>
    <row r="12" ht="8" customHeight="1"/>
    <row r="13" ht="48" customHeight="1">
      <c r="A13" s="5" t="n">
        <v>17</v>
      </c>
      <c r="B13" s="5" t="inlineStr">
        <is>
          <t>Annual depreciation</t>
        </is>
      </c>
      <c r="C13" s="6" t="inlineStr">
        <is>
          <t>$84,000 cost, $12,000 residual value, 6-year life</t>
        </is>
      </c>
      <c r="D13" s="11" t="n"/>
      <c r="E13" s="6" t="inlineStr">
        <is>
          <t>Subtract residual value before dividing by life.</t>
        </is>
      </c>
      <c r="F13" s="12">
        <f>IF(D13="","Hint: "&amp;E13,IF(ROUND(D13,2)=ROUND(12000,2),"Correct - self-check complete","Try again - revise the formula or input."))</f>
        <v/>
      </c>
    </row>
    <row r="14" ht="48" customHeight="1">
      <c r="A14" s="5" t="n">
        <v>18</v>
      </c>
      <c r="B14" s="5" t="inlineStr">
        <is>
          <t>Year 3 accumulated depreciation</t>
        </is>
      </c>
      <c r="C14" s="6" t="inlineStr">
        <is>
          <t>$12,000 annual depreciation for 3 years</t>
        </is>
      </c>
      <c r="D14" s="11" t="n"/>
      <c r="E14" s="6" t="inlineStr">
        <is>
          <t>Accumulated depreciation is the running total.</t>
        </is>
      </c>
      <c r="F14" s="12">
        <f>IF(D14="","Hint: "&amp;E14,IF(ROUND(D14,2)=ROUND(36000,2),"Correct - self-check complete","Try again - revise the formula or input."))</f>
        <v/>
      </c>
    </row>
    <row r="15" ht="48" customHeight="1">
      <c r="A15" s="5" t="n">
        <v>18</v>
      </c>
      <c r="B15" s="5" t="inlineStr">
        <is>
          <t>Year 3 book value</t>
        </is>
      </c>
      <c r="C15" s="6" t="inlineStr">
        <is>
          <t>$84,000 cost less Year 3 accumulated depreciation</t>
        </is>
      </c>
      <c r="D15" s="11" t="n"/>
      <c r="E15" s="6" t="inlineStr">
        <is>
          <t>Book value is cost minus accumulated depreciation.</t>
        </is>
      </c>
      <c r="F15" s="12">
        <f>IF(D15="","Hint: "&amp;E15,IF(ROUND(D15,2)=ROUND(48000,2),"Correct - self-check complete","Try again - revise the formula or input."))</f>
        <v/>
      </c>
    </row>
    <row r="16" ht="8" customHeight="1"/>
    <row r="17">
      <c r="A17" s="13" t="inlineStr">
        <is>
          <t>Self-check score</t>
        </is>
      </c>
      <c r="B17" s="14">
        <f>COUNTIF(F5:F15,"Correct*")&amp;" of 9 complete"</f>
        <v/>
      </c>
      <c r="C17" s="15" t="n"/>
      <c r="D17" s="15" t="n"/>
      <c r="E17" s="15" t="n"/>
      <c r="F17" s="16" t="n"/>
    </row>
  </sheetData>
  <mergeCells count="3">
    <mergeCell ref="A2:F2"/>
    <mergeCell ref="B17:F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38" customWidth="1" min="9" max="9"/>
    <col width="24" customWidth="1" min="10" max="10"/>
  </cols>
  <sheetData>
    <row r="1" ht="30" customHeight="1">
      <c r="A1" s="1" t="inlineStr">
        <is>
          <t>M05 - Class Challenge</t>
        </is>
      </c>
    </row>
    <row r="2" ht="34" customHeight="1">
      <c r="A2" s="2" t="inlineStr">
        <is>
          <t>Graded or next-level activity. Build formulas in the blue cells, then explain what the numbers mean for Harborside.</t>
        </is>
      </c>
    </row>
    <row r="4" ht="28" customHeight="1">
      <c r="A4" s="17" t="inlineStr">
        <is>
          <t>#</t>
        </is>
      </c>
      <c r="B4" s="17" t="inlineStr">
        <is>
          <t>Challenge scenario</t>
        </is>
      </c>
      <c r="C4" s="17" t="inlineStr">
        <is>
          <t>Input 1</t>
        </is>
      </c>
      <c r="D4" s="17" t="inlineStr">
        <is>
          <t>Input 2</t>
        </is>
      </c>
      <c r="E4" s="17" t="inlineStr">
        <is>
          <t>Input 3</t>
        </is>
      </c>
      <c r="F4" s="17" t="inlineStr">
        <is>
          <t>Input 4</t>
        </is>
      </c>
      <c r="G4" s="17" t="inlineStr">
        <is>
          <t>Input 5</t>
        </is>
      </c>
      <c r="H4" s="17" t="inlineStr">
        <is>
          <t>Your formula / answer</t>
        </is>
      </c>
      <c r="I4" s="17" t="inlineStr">
        <is>
          <t>Business interpretation</t>
        </is>
      </c>
      <c r="J4" s="17" t="inlineStr">
        <is>
          <t>Instructor review note</t>
        </is>
      </c>
    </row>
    <row r="5" ht="54" customHeight="1">
      <c r="A5" s="18" t="inlineStr">
        <is>
          <t>C1</t>
        </is>
      </c>
      <c r="B5" s="6" t="inlineStr">
        <is>
          <t>Weekly salary paycheck</t>
        </is>
      </c>
      <c r="C5" s="19" t="n">
        <v>52000</v>
      </c>
      <c r="D5" s="27" t="n">
        <v>52</v>
      </c>
      <c r="E5" s="19" t="n"/>
      <c r="F5" s="19" t="n"/>
      <c r="G5" s="19" t="n"/>
      <c r="H5" s="28" t="n"/>
      <c r="I5" s="6" t="inlineStr">
        <is>
          <t>Why does the weekly check look smaller than monthly pay?</t>
        </is>
      </c>
      <c r="J5" s="12" t="inlineStr">
        <is>
          <t>Formula required; interpretation reviewed separately.</t>
        </is>
      </c>
    </row>
    <row r="6" ht="54" customHeight="1">
      <c r="A6" s="18" t="inlineStr">
        <is>
          <t>C2</t>
        </is>
      </c>
      <c r="B6" s="6" t="inlineStr">
        <is>
          <t>Monthly salary paycheck</t>
        </is>
      </c>
      <c r="C6" s="19" t="n">
        <v>52000</v>
      </c>
      <c r="D6" s="27" t="n">
        <v>12</v>
      </c>
      <c r="E6" s="19" t="n"/>
      <c r="F6" s="19" t="n"/>
      <c r="G6" s="19" t="n"/>
      <c r="H6" s="28" t="n"/>
      <c r="I6" s="6" t="inlineStr">
        <is>
          <t>What changes when the pay period changes?</t>
        </is>
      </c>
      <c r="J6" s="12" t="inlineStr">
        <is>
          <t>Formula required; interpretation reviewed separately.</t>
        </is>
      </c>
    </row>
    <row r="7" ht="54" customHeight="1">
      <c r="A7" s="18" t="inlineStr">
        <is>
          <t>C3</t>
        </is>
      </c>
      <c r="B7" s="6" t="inlineStr">
        <is>
          <t>One nurse regular pay</t>
        </is>
      </c>
      <c r="C7" s="27" t="n">
        <v>40</v>
      </c>
      <c r="D7" s="19" t="n">
        <v>44</v>
      </c>
      <c r="E7" s="19" t="n"/>
      <c r="F7" s="19" t="n"/>
      <c r="G7" s="19" t="n"/>
      <c r="H7" s="28" t="n"/>
      <c r="I7" s="6" t="inlineStr">
        <is>
          <t>Why separate regular pay before overtime?</t>
        </is>
      </c>
      <c r="J7" s="12" t="inlineStr">
        <is>
          <t>Formula required; interpretation reviewed separately.</t>
        </is>
      </c>
    </row>
    <row r="8" ht="54" customHeight="1">
      <c r="A8" s="18" t="inlineStr">
        <is>
          <t>C4</t>
        </is>
      </c>
      <c r="B8" s="6" t="inlineStr">
        <is>
          <t>One nurse overtime pay</t>
        </is>
      </c>
      <c r="C8" s="27" t="n">
        <v>43</v>
      </c>
      <c r="D8" s="27" t="n">
        <v>40</v>
      </c>
      <c r="E8" s="19" t="n">
        <v>44</v>
      </c>
      <c r="F8" s="29" t="n">
        <v>1.5</v>
      </c>
      <c r="G8" s="21" t="n"/>
      <c r="H8" s="28" t="n"/>
      <c r="I8" s="6" t="inlineStr">
        <is>
          <t>What cost is created by the 3 overtime hours?</t>
        </is>
      </c>
      <c r="J8" s="12" t="inlineStr">
        <is>
          <t>Formula required; interpretation reviewed separately.</t>
        </is>
      </c>
    </row>
    <row r="9" ht="54" customHeight="1">
      <c r="A9" s="18" t="inlineStr">
        <is>
          <t>C5</t>
        </is>
      </c>
      <c r="B9" s="6" t="inlineStr">
        <is>
          <t>One nurse gross pay</t>
        </is>
      </c>
      <c r="C9" s="27" t="n">
        <v>40</v>
      </c>
      <c r="D9" s="19" t="n">
        <v>44</v>
      </c>
      <c r="E9" s="27" t="n">
        <v>43</v>
      </c>
      <c r="F9" s="29" t="n">
        <v>1.5</v>
      </c>
      <c r="G9" s="21" t="n"/>
      <c r="H9" s="28" t="n"/>
      <c r="I9" s="6" t="inlineStr">
        <is>
          <t>Why is gross pay higher than regular pay?</t>
        </is>
      </c>
      <c r="J9" s="12" t="inlineStr">
        <is>
          <t>Formula required; interpretation reviewed separately.</t>
        </is>
      </c>
    </row>
    <row r="10" ht="54" customHeight="1">
      <c r="A10" s="18" t="inlineStr">
        <is>
          <t>C6</t>
        </is>
      </c>
      <c r="B10" s="6" t="inlineStr">
        <is>
          <t>Team regular pay</t>
        </is>
      </c>
      <c r="C10" s="27" t="n">
        <v>8</v>
      </c>
      <c r="D10" s="27" t="n">
        <v>40</v>
      </c>
      <c r="E10" s="19" t="n">
        <v>44</v>
      </c>
      <c r="F10" s="19" t="n"/>
      <c r="G10" s="19" t="n"/>
      <c r="H10" s="28" t="n"/>
      <c r="I10" s="6" t="inlineStr">
        <is>
          <t>What part of payroll is predictable?</t>
        </is>
      </c>
      <c r="J10" s="12" t="inlineStr">
        <is>
          <t>Formula required; interpretation reviewed separately.</t>
        </is>
      </c>
    </row>
    <row r="11" ht="54" customHeight="1">
      <c r="A11" s="18" t="inlineStr">
        <is>
          <t>C7</t>
        </is>
      </c>
      <c r="B11" s="6" t="inlineStr">
        <is>
          <t>Team overtime pay</t>
        </is>
      </c>
      <c r="C11" s="27" t="n">
        <v>8</v>
      </c>
      <c r="D11" s="27" t="n">
        <v>43</v>
      </c>
      <c r="E11" s="27" t="n">
        <v>40</v>
      </c>
      <c r="F11" s="19" t="n">
        <v>44</v>
      </c>
      <c r="G11" s="29" t="n">
        <v>1.5</v>
      </c>
      <c r="H11" s="28" t="n"/>
      <c r="I11" s="6" t="inlineStr">
        <is>
          <t>What part of payroll is the premium cost?</t>
        </is>
      </c>
      <c r="J11" s="12" t="inlineStr">
        <is>
          <t>Formula required; interpretation reviewed separately.</t>
        </is>
      </c>
    </row>
    <row r="12" ht="54" customHeight="1">
      <c r="A12" s="18" t="inlineStr">
        <is>
          <t>C8</t>
        </is>
      </c>
      <c r="B12" s="6" t="inlineStr">
        <is>
          <t>Team gross pay</t>
        </is>
      </c>
      <c r="C12" s="27" t="n">
        <v>8</v>
      </c>
      <c r="D12" s="27" t="n">
        <v>43</v>
      </c>
      <c r="E12" s="27" t="n">
        <v>40</v>
      </c>
      <c r="F12" s="19" t="n">
        <v>44</v>
      </c>
      <c r="G12" s="29" t="n">
        <v>1.5</v>
      </c>
      <c r="H12" s="28" t="n"/>
      <c r="I12" s="6" t="inlineStr">
        <is>
          <t>Which staffing lever would you investigate first?</t>
        </is>
      </c>
      <c r="J12" s="12" t="inlineStr">
        <is>
          <t>Formula required; interpretation reviewed separately.</t>
        </is>
      </c>
    </row>
    <row r="13" ht="54" customHeight="1">
      <c r="A13" s="18" t="inlineStr">
        <is>
          <t>C9</t>
        </is>
      </c>
      <c r="B13" s="6" t="inlineStr">
        <is>
          <t>Annualized team payroll</t>
        </is>
      </c>
      <c r="C13" s="19" t="n">
        <v>15664</v>
      </c>
      <c r="D13" s="27" t="n">
        <v>52</v>
      </c>
      <c r="E13" s="19" t="n"/>
      <c r="F13" s="19" t="n"/>
      <c r="G13" s="19" t="n"/>
      <c r="H13" s="28" t="n"/>
      <c r="I13" s="6" t="inlineStr">
        <is>
          <t>Why does a weekly cost become a larger planning issue?</t>
        </is>
      </c>
      <c r="J13" s="12" t="inlineStr">
        <is>
          <t>Formula required; interpretation reviewed separately.</t>
        </is>
      </c>
    </row>
    <row r="14" ht="54" customHeight="1">
      <c r="A14" s="18" t="inlineStr">
        <is>
          <t>C10</t>
        </is>
      </c>
      <c r="B14" s="6" t="inlineStr">
        <is>
          <t>Regular-staffing alternative cost</t>
        </is>
      </c>
      <c r="C14" s="27" t="n">
        <v>8</v>
      </c>
      <c r="D14" s="27" t="n">
        <v>3</v>
      </c>
      <c r="E14" s="19" t="n">
        <v>44</v>
      </c>
      <c r="F14" s="19" t="n"/>
      <c r="G14" s="19" t="n"/>
      <c r="H14" s="28" t="n"/>
      <c r="I14" s="6" t="inlineStr">
        <is>
          <t>What if the same hours were paid at regular time?</t>
        </is>
      </c>
      <c r="J14" s="12" t="inlineStr">
        <is>
          <t>Formula required; interpretation reviewed separately.</t>
        </is>
      </c>
    </row>
    <row r="15" ht="54" customHeight="1">
      <c r="A15" s="18" t="inlineStr">
        <is>
          <t>C11</t>
        </is>
      </c>
      <c r="B15" s="6" t="inlineStr">
        <is>
          <t>Weekly savings from avoiding OT premium</t>
        </is>
      </c>
      <c r="C15" s="19" t="n">
        <v>1584</v>
      </c>
      <c r="D15" s="19" t="n">
        <v>1056</v>
      </c>
      <c r="E15" s="19" t="n"/>
      <c r="F15" s="19" t="n"/>
      <c r="G15" s="19" t="n"/>
      <c r="H15" s="28" t="n"/>
      <c r="I15" s="6" t="inlineStr">
        <is>
          <t>Would savings alone justify adding staff?</t>
        </is>
      </c>
      <c r="J15" s="12" t="inlineStr">
        <is>
          <t>Formula required; interpretation reviewed separately.</t>
        </is>
      </c>
    </row>
    <row r="16" ht="54" customHeight="1">
      <c r="A16" s="18" t="inlineStr">
        <is>
          <t>C12</t>
        </is>
      </c>
      <c r="B16" s="6" t="inlineStr">
        <is>
          <t>Annual depreciation</t>
        </is>
      </c>
      <c r="C16" s="19" t="n">
        <v>84000</v>
      </c>
      <c r="D16" s="19" t="n">
        <v>12000</v>
      </c>
      <c r="E16" s="27" t="n">
        <v>6</v>
      </c>
      <c r="F16" s="19" t="n"/>
      <c r="G16" s="19" t="n"/>
      <c r="H16" s="28" t="n"/>
      <c r="I16" s="6" t="inlineStr">
        <is>
          <t>Why subtract residual value first?</t>
        </is>
      </c>
      <c r="J16" s="12" t="inlineStr">
        <is>
          <t>Formula required; interpretation reviewed separately.</t>
        </is>
      </c>
    </row>
    <row r="17" ht="54" customHeight="1">
      <c r="A17" s="18" t="inlineStr">
        <is>
          <t>C13</t>
        </is>
      </c>
      <c r="B17" s="6" t="inlineStr">
        <is>
          <t>Year 3 accumulated depreciation</t>
        </is>
      </c>
      <c r="C17" s="19" t="n">
        <v>12000</v>
      </c>
      <c r="D17" s="27" t="n">
        <v>3</v>
      </c>
      <c r="E17" s="19" t="n"/>
      <c r="F17" s="19" t="n"/>
      <c r="G17" s="19" t="n"/>
      <c r="H17" s="28" t="n"/>
      <c r="I17" s="6" t="inlineStr">
        <is>
          <t>Why is accumulated depreciation more than one year?</t>
        </is>
      </c>
      <c r="J17" s="12" t="inlineStr">
        <is>
          <t>Formula required; interpretation reviewed separately.</t>
        </is>
      </c>
    </row>
    <row r="18" ht="54" customHeight="1">
      <c r="A18" s="18" t="inlineStr">
        <is>
          <t>C14</t>
        </is>
      </c>
      <c r="B18" s="6" t="inlineStr">
        <is>
          <t>Year 3 book value</t>
        </is>
      </c>
      <c r="C18" s="19" t="n">
        <v>84000</v>
      </c>
      <c r="D18" s="19" t="n">
        <v>36000</v>
      </c>
      <c r="E18" s="19" t="n"/>
      <c r="F18" s="19" t="n"/>
      <c r="G18" s="19" t="n"/>
      <c r="H18" s="28" t="n"/>
      <c r="I18" s="6" t="inlineStr">
        <is>
          <t>What does this book value tell a manager?</t>
        </is>
      </c>
      <c r="J18" s="12" t="inlineStr">
        <is>
          <t>Formula required; interpretation reviewed separately.</t>
        </is>
      </c>
    </row>
    <row r="19" ht="54" customHeight="1">
      <c r="A19" s="18" t="inlineStr">
        <is>
          <t>C15</t>
        </is>
      </c>
      <c r="B19" s="6" t="inlineStr">
        <is>
          <t>Year 3 percent of cost remaining</t>
        </is>
      </c>
      <c r="C19" s="19" t="n">
        <v>48000</v>
      </c>
      <c r="D19" s="19" t="n">
        <v>84000</v>
      </c>
      <c r="E19" s="21" t="n"/>
      <c r="F19" s="21" t="n"/>
      <c r="G19" s="21" t="n"/>
      <c r="H19" s="22" t="n"/>
      <c r="I19" s="6" t="inlineStr">
        <is>
          <t>How would you explain this percentage to a non-accountant?</t>
        </is>
      </c>
      <c r="J19" s="12" t="inlineStr">
        <is>
          <t>Formula required; interpretation reviewed separately.</t>
        </is>
      </c>
    </row>
    <row r="21">
      <c r="B21" s="13" t="inlineStr">
        <is>
          <t>Submission reminder</t>
        </is>
      </c>
      <c r="C21" s="23" t="inlineStr">
        <is>
          <t>Complete every blue formula cell and write a short interpretation. Live You Try It is practice; Class Challenge is the graded or next-level activity.</t>
        </is>
      </c>
      <c r="D21" s="15" t="n"/>
      <c r="E21" s="15" t="n"/>
      <c r="F21" s="15" t="n"/>
      <c r="G21" s="15" t="n"/>
      <c r="H21" s="15" t="n"/>
      <c r="I21" s="15" t="n"/>
      <c r="J21" s="16" t="n"/>
    </row>
  </sheetData>
  <mergeCells count="3">
    <mergeCell ref="A1:J1"/>
    <mergeCell ref="C21:J2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46" customWidth="1" min="3" max="3"/>
    <col width="48" customWidth="1" min="4" max="4"/>
  </cols>
  <sheetData>
    <row r="1" ht="30" customHeight="1">
      <c r="A1" s="1" t="inlineStr">
        <is>
          <t>Formula Reference Card - MATH M05 L01</t>
        </is>
      </c>
    </row>
    <row r="2" ht="34" customHeight="1">
      <c r="A2" s="2" t="inlineStr">
        <is>
          <t>Payroll and depreciation syntax reminders. Use cell references whenever possible.</t>
        </is>
      </c>
    </row>
    <row r="4" ht="28" customHeight="1">
      <c r="A4" s="24" t="inlineStr">
        <is>
          <t>Concept</t>
        </is>
      </c>
      <c r="B4" s="24" t="inlineStr">
        <is>
          <t>Excel Pattern</t>
        </is>
      </c>
      <c r="C4" s="24" t="inlineStr">
        <is>
          <t>Plain-English Meaning</t>
        </is>
      </c>
      <c r="D4" s="24" t="inlineStr">
        <is>
          <t>Watch Out For</t>
        </is>
      </c>
    </row>
    <row r="5" ht="40" customHeight="1">
      <c r="A5" s="25" t="inlineStr">
        <is>
          <t>Weekly salary pay</t>
        </is>
      </c>
      <c r="B5" s="26" t="inlineStr">
        <is>
          <t xml:space="preserve"> =AnnualSalary/52</t>
        </is>
      </c>
      <c r="C5" s="6" t="inlineStr">
        <is>
          <t>Converts annual salary into weekly pay.</t>
        </is>
      </c>
      <c r="D5" s="6" t="inlineStr">
        <is>
          <t>Pay frequency changes the check size, not total salary.</t>
        </is>
      </c>
    </row>
    <row r="6" ht="40" customHeight="1">
      <c r="A6" s="25" t="inlineStr">
        <is>
          <t>Regular pay</t>
        </is>
      </c>
      <c r="B6" s="26" t="inlineStr">
        <is>
          <t xml:space="preserve"> =MIN(Hours,40)*Rate</t>
        </is>
      </c>
      <c r="C6" s="6" t="inlineStr">
        <is>
          <t>Caps regular hours at 40.</t>
        </is>
      </c>
      <c r="D6" s="6" t="inlineStr">
        <is>
          <t>Do not pay all 43 hours at regular rate when OT exists.</t>
        </is>
      </c>
    </row>
    <row r="7" ht="40" customHeight="1">
      <c r="A7" s="25" t="inlineStr">
        <is>
          <t>Overtime pay</t>
        </is>
      </c>
      <c r="B7" s="26" t="inlineStr">
        <is>
          <t xml:space="preserve"> =MAX(Hours-40,0)*Rate*1.5</t>
        </is>
      </c>
      <c r="C7" s="6" t="inlineStr">
        <is>
          <t>Pays only hours above threshold at premium rate.</t>
        </is>
      </c>
      <c r="D7" s="6" t="inlineStr">
        <is>
          <t>MAX prevents negative overtime.</t>
        </is>
      </c>
    </row>
    <row r="8" ht="40" customHeight="1">
      <c r="A8" s="25" t="inlineStr">
        <is>
          <t>Gross pay</t>
        </is>
      </c>
      <c r="B8" s="26" t="inlineStr">
        <is>
          <t xml:space="preserve"> =RegularPay+OvertimePay</t>
        </is>
      </c>
      <c r="C8" s="6" t="inlineStr">
        <is>
          <t>Total before deductions.</t>
        </is>
      </c>
      <c r="D8" s="6" t="inlineStr">
        <is>
          <t>Gross pay is not take-home pay.</t>
        </is>
      </c>
    </row>
    <row r="9" ht="40" customHeight="1">
      <c r="A9" s="25" t="inlineStr">
        <is>
          <t>Team payroll</t>
        </is>
      </c>
      <c r="B9" s="26" t="inlineStr">
        <is>
          <t xml:space="preserve"> =Employees*GrossPayPerEmployee</t>
        </is>
      </c>
      <c r="C9" s="6" t="inlineStr">
        <is>
          <t>Scales one-person pay to a team.</t>
        </is>
      </c>
      <c r="D9" s="6" t="inlineStr">
        <is>
          <t>A small weekly difference compounds annually.</t>
        </is>
      </c>
    </row>
    <row r="10" ht="40" customHeight="1">
      <c r="A10" s="25" t="inlineStr">
        <is>
          <t>Annual depreciation</t>
        </is>
      </c>
      <c r="B10" s="26" t="inlineStr">
        <is>
          <t xml:space="preserve"> =(Cost-ResidualValue)/UsefulLife</t>
        </is>
      </c>
      <c r="C10" s="6" t="inlineStr">
        <is>
          <t>Spreads depreciable cost evenly.</t>
        </is>
      </c>
      <c r="D10" s="6" t="inlineStr">
        <is>
          <t>Subtract residual value before dividing.</t>
        </is>
      </c>
    </row>
    <row r="11" ht="40" customHeight="1">
      <c r="A11" s="25" t="inlineStr">
        <is>
          <t>Accumulated depreciation</t>
        </is>
      </c>
      <c r="B11" s="26" t="inlineStr">
        <is>
          <t xml:space="preserve"> =AnnualDepreciation*YearsRecorded</t>
        </is>
      </c>
      <c r="C11" s="6" t="inlineStr">
        <is>
          <t>Running total of depreciation so far.</t>
        </is>
      </c>
      <c r="D11" s="6" t="inlineStr">
        <is>
          <t>Accumulated is not the same as one-year expense.</t>
        </is>
      </c>
    </row>
    <row r="12" ht="40" customHeight="1">
      <c r="A12" s="25" t="inlineStr">
        <is>
          <t>Book value</t>
        </is>
      </c>
      <c r="B12" s="26" t="inlineStr">
        <is>
          <t xml:space="preserve"> =Cost-AccumulatedDepreciation</t>
        </is>
      </c>
      <c r="C12" s="6" t="inlineStr">
        <is>
          <t>Remaining recorded value.</t>
        </is>
      </c>
      <c r="D12" s="6" t="inlineStr">
        <is>
          <t>Book value should fall to residual value, not zero.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2026-06-21T21:07:27Z</dcterms:created>
  <dcterms:modified xmlns:dcterms="http://purl.org/dc/terms/" xmlns:xsi="http://www.w3.org/2001/XMLSchema-instance" xsi:type="dcterms:W3CDTF">2026-06-21T21:10:49Z</dcterms:modified>
</cp:coreProperties>
</file>