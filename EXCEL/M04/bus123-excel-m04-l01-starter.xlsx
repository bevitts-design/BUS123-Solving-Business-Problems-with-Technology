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yer Mix Analysis" sheetId="2" state="visible" r:id="rId4"/>
    <sheet name="Challenge" sheetId="3" state="visible" r:id="rId5"/>
    <sheet name="FormulaReferenc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<sst xmlns="http://schemas.openxmlformats.org/spreadsheetml/2006/main" count="93" uniqueCount="93">
  <si>
    <t xml:space="preserve">BUS123 · EXCEL-M04-L01 · Getting Data, Charts &amp; Visualization</t>
  </si>
  <si>
    <t xml:space="preserve">Harborside Medical Center — Payer Mix &amp; Patient Volume Analysis</t>
  </si>
  <si>
    <t xml:space="preserve">THE SCENARIO</t>
  </si>
  <si>
    <t xml:space="preserve">Harborside Medical Center's CFO needs a visual summary of Q3 performance for Friday's board meeting. You've been handed the raw numbers: patient visits and revenue by insurance (payer) category, plus 12 months of Emergency Department visit counts. Your job: structure the data, run the calculations, and build the charts that tell the story.</t>
  </si>
  <si>
    <t xml:space="preserve">LEARNING OBJECTIVES</t>
  </si>
  <si>
    <t xml:space="preserve">• Complete calculations in a structured Excel table (totals, averages, percent-of-total).</t>
  </si>
  <si>
    <t xml:space="preserve">• Choose the correct chart type for each business question — and explain why.</t>
  </si>
  <si>
    <t xml:space="preserve">• Build a formatted column chart and pie chart from your completed table.</t>
  </si>
  <si>
    <t xml:space="preserve">• (Challenge) Analyze a 12-month trend and present it with a line chart.</t>
  </si>
  <si>
    <t xml:space="preserve">HOW TO USE THIS WORKBOOK</t>
  </si>
  <si>
    <t xml:space="preserve">1.  Yellow cells are YOUR input cells. Enter a formula in every yellow cell — do not type hard numbers.</t>
  </si>
  <si>
    <t xml:space="preserve">2.  Cells turn GREEN when your result is correct and RED when something is off. Blank cells stay yellow.</t>
  </si>
  <si>
    <t xml:space="preserve">3.  Work through the 'Payer Mix Analysis' tab first, then try the 'Challenge' tab.</t>
  </si>
  <si>
    <t xml:space="preserve">4.  You decide which functions to use. Stuck? The FormulaReferenceCard tab is your cheat sheet.</t>
  </si>
  <si>
    <t xml:space="preserve">5.  Chart tasks are checked by your instructor — follow the instructions on each tab.</t>
  </si>
  <si>
    <t xml:space="preserve">Estimated time: 35–45 minutes  ·  Charts count — don't skip them!</t>
  </si>
  <si>
    <t xml:space="preserve">PART 1 · Complete the Payer Mix Table</t>
  </si>
  <si>
    <t xml:space="preserve">Harborside Medical Center · Q3 Patient Revenue by Payer Category</t>
  </si>
  <si>
    <t xml:space="preserve">Payer Category</t>
  </si>
  <si>
    <t xml:space="preserve">Q3 Visits</t>
  </si>
  <si>
    <t xml:space="preserve">Q3 Revenue</t>
  </si>
  <si>
    <t xml:space="preserve">Avg Bill per Visit</t>
  </si>
  <si>
    <t xml:space="preserve">% of Total Revenue</t>
  </si>
  <si>
    <t xml:space="preserve">Medicare</t>
  </si>
  <si>
    <t xml:space="preserve">Medicaid</t>
  </si>
  <si>
    <t xml:space="preserve">Private Insurance</t>
  </si>
  <si>
    <t xml:space="preserve">Self-Pay</t>
  </si>
  <si>
    <t xml:space="preserve">TOTAL</t>
  </si>
  <si>
    <t xml:space="preserve">PART 2 · Quick Analysis</t>
  </si>
  <si>
    <t xml:space="preserve">Highest Avg Bill per Visit:</t>
  </si>
  <si>
    <t xml:space="preserve">Lowest Avg Bill per Visit:</t>
  </si>
  <si>
    <t xml:space="preserve">PART 3 · Build the Charts</t>
  </si>
  <si>
    <t xml:space="preserve">Chart 1 — Revenue comparison:  Select B5:B9 and D5:D9 (hold Ctrl for the second range), then</t>
  </si>
  <si>
    <t xml:space="preserve">    Insert → Recommended Charts. Pick the chart type that best COMPARES revenue across categories.</t>
  </si>
  <si>
    <t xml:space="preserve">    Add a chart title, label the value axis, and delete the gridlines.</t>
  </si>
  <si>
    <t xml:space="preserve">Chart 2 — Revenue share:  Select B5:B9 and your completed F5:F9 range, then insert the chart type</t>
  </si>
  <si>
    <t xml:space="preserve">    that best shows PARTS OF A WHOLE. Add data labels showing percentages, then delete the legend.</t>
  </si>
  <si>
    <t xml:space="preserve">Place both charts below this section. Ask yourself: could the CFO read each chart in 5 seconds?</t>
  </si>
  <si>
    <t xml:space="preserve">CHALLENGE · ED Visit Trend</t>
  </si>
  <si>
    <t xml:space="preserve">12 months of Emergency Department visits — is there a seasonal pattern?</t>
  </si>
  <si>
    <t xml:space="preserve">Month</t>
  </si>
  <si>
    <t xml:space="preserve">ED Visits</t>
  </si>
  <si>
    <t xml:space="preserve">MoM Change %</t>
  </si>
  <si>
    <t xml:space="preserve">Jan</t>
  </si>
  <si>
    <t xml:space="preserve">—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</si>
  <si>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</si>
  <si>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</si>
  <si>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</si>
  <si>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</si>
  <si>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</si>
  <si>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</si>
  <si>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</si>
  <si>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</si>
  <si>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</si>
  <si>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</si>
  <si>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</si>
  <si>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Peak month visits:</t>
  </si>
  <si>
    <t xml:space="preserve">Average monthly visits:</t>
  </si>
  <si>
    <t xml:space="preserve">CHART TASK</t>
  </si>
  <si>
    <t xml:space="preserve">Select B5:C17 and insert the chart type that best shows CHANGE OVER TIME.</t>
  </si>
  <si>
    <t xml:space="preserve">Add a chart title (e.g., "ED Visits by Month") and delete the gridlines.</t>
  </si>
  <si>
    <t xml:space="preserve">Bonus: which month peaks — and what business explanation might Harborside's COO offer?</t>
  </si>
  <si>
    <t xml:space="preserve">FORMULA REFERENCE CARD</t>
  </si>
  <si>
    <t xml:space="preserve">Excel syntax first — that's how we work. Manual math shown last, for understanding only.</t>
  </si>
  <si>
    <t xml:space="preserve">What you need</t>
  </si>
  <si>
    <t xml:space="preserve">Excel syntax (use this first)</t>
  </si>
  <si>
    <t xml:space="preserve">Manual math (last step only)</t>
  </si>
  <si>
    <t xml:space="preserve">Add up a range</t>
  </si>
  <si>
    <t xml:space="preserve"> =SUM(range)</t>
  </si>
  <si>
    <t xml:space="preserve">Manual: value1 + value2 + value3 …</t>
  </si>
  <si>
    <t xml:space="preserve">Average of a range</t>
  </si>
  <si>
    <t xml:space="preserve"> =AVERAGE(range)</t>
  </si>
  <si>
    <t xml:space="preserve">Manual: (sum of values) ÷ (count of values)</t>
  </si>
  <si>
    <t xml:space="preserve">Largest value</t>
  </si>
  <si>
    <t xml:space="preserve"> =MAX(range)</t>
  </si>
  <si>
    <t xml:space="preserve">Manual: scan the list for the biggest number</t>
  </si>
  <si>
    <t xml:space="preserve">Smallest value</t>
  </si>
  <si>
    <t xml:space="preserve"> =MIN(range)</t>
  </si>
  <si>
    <t xml:space="preserve">Manual: scan the list for the smallest number</t>
  </si>
  <si>
    <t xml:space="preserve">Average bill per visit</t>
  </si>
  <si>
    <t xml:space="preserve"> =Revenue / Visits</t>
  </si>
  <si>
    <t xml:space="preserve">Manual: total revenue ÷ number of visits</t>
  </si>
  <si>
    <t xml:space="preserve">Percent of total</t>
  </si>
  <si>
    <t xml:space="preserve"> =Part / $Total$  (lock the total with $)</t>
  </si>
  <si>
    <t xml:space="preserve">Manual: category value ÷ grand total</t>
  </si>
  <si>
    <t xml:space="preserve">Percent change</t>
  </si>
  <si>
    <t xml:space="preserve"> =(New - Old) / Old</t>
  </si>
  <si>
    <t xml:space="preserve">Manual: change amount ÷ starting value</t>
  </si>
  <si>
    <t xml:space="preserve">CHART CHOICE CHEAT SHEET</t>
  </si>
  <si>
    <t xml:space="preserve">Compare values across categories  →  Column / Bar chart</t>
  </si>
  <si>
    <t xml:space="preserve">Change over time (months, years)  →  Line chart</t>
  </si>
  <si>
    <t xml:space="preserve">Parts of a whole (2–4 pieces)     →  Pie / Donut (always add data labels)</t>
  </si>
  <si>
    <t xml:space="preserve">Relationship between two numbers  →  XY Scatter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</si>
</sst>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"/>
    <numFmt numFmtId="167" formatCode="\$#,##0.00"/>
    <numFmt numFmtId="168" formatCode="0.0%"/>
    <numFmt numFmtId="169" formatCode="#,##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1116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4A7C5E"/>
      <name val="Arial"/>
      <family val="0"/>
      <charset val="1"/>
    </font>
    <font>
      <sz val="11"/>
      <color rgb="FF222222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b val="true"/>
      <sz val="11"/>
      <color rgb="FF355773"/>
      <name val="Courier Ne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116"/>
        <bgColor rgb="FF000000"/>
      </patternFill>
    </fill>
    <fill>
      <patternFill patternType="solid">
        <fgColor rgb="FFFFD966"/>
        <bgColor rgb="FFFFCC00"/>
      </patternFill>
    </fill>
    <fill>
      <patternFill patternType="solid">
        <fgColor rgb="FFFFFBF0"/>
        <bgColor rgb="FFFFFFFF"/>
      </patternFill>
    </fill>
    <fill>
      <patternFill patternType="solid">
        <fgColor rgb="FFEAF3EC"/>
        <bgColor rgb="FFFFFB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BF0"/>
      <rgbColor rgb="FFEAF3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4A7C5E"/>
      <rgbColor rgb="FF0E1116"/>
      <rgbColor rgb="FF555555"/>
      <rgbColor rgb="FF993300"/>
      <rgbColor rgb="FF993366"/>
      <rgbColor rgb="FF355773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60" hidden="false" customHeight="true" outlineLevel="0" collapsed="false">
      <c r="B6" s="4" t="s">
        <v>3</v>
      </c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5" t="s">
        <v>6</v>
      </c>
    </row>
    <row r="11" customFormat="false" ht="15" hidden="false" customHeight="false" outlineLevel="0" collapsed="false">
      <c r="B11" s="5" t="s">
        <v>7</v>
      </c>
    </row>
    <row r="12" customFormat="false" ht="15" hidden="false" customHeight="false" outlineLevel="0" collapsed="false">
      <c r="B12" s="5" t="s">
        <v>8</v>
      </c>
    </row>
    <row r="14" customFormat="false" ht="15" hidden="false" customHeight="false" outlineLevel="0" collapsed="false">
      <c r="B14" s="3" t="s">
        <v>9</v>
      </c>
    </row>
    <row r="15" customFormat="false" ht="15" hidden="false" customHeight="false" outlineLevel="0" collapsed="false">
      <c r="B15" s="5" t="s">
        <v>10</v>
      </c>
    </row>
    <row r="16" customFormat="false" ht="15" hidden="false" customHeight="false" outlineLevel="0" collapsed="false">
      <c r="B16" s="5" t="s">
        <v>11</v>
      </c>
    </row>
    <row r="17" customFormat="false" ht="15" hidden="false" customHeight="false" outlineLevel="0" collapsed="false">
      <c r="B17" s="5" t="s">
        <v>12</v>
      </c>
    </row>
    <row r="18" customFormat="false" ht="15" hidden="false" customHeight="false" outlineLevel="0" collapsed="false">
      <c r="B18" s="5" t="s">
        <v>13</v>
      </c>
    </row>
    <row r="19" customFormat="false" ht="15" hidden="false" customHeight="false" outlineLevel="0" collapsed="false">
      <c r="B19" s="5" t="s">
        <v>14</v>
      </c>
    </row>
    <row r="21" customFormat="false" ht="15" hidden="false" customHeight="false" outlineLevel="0" collapsed="false">
      <c r="B21" s="6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3"/>
  </cols>
  <sheetData>
    <row r="2" customFormat="false" ht="19.7" hidden="false" customHeight="false" outlineLevel="0" collapsed="false">
      <c r="B2" s="1" t="s">
        <v>16</v>
      </c>
    </row>
    <row r="3" customFormat="false" ht="15" hidden="false" customHeight="false" outlineLevel="0" collapsed="false">
      <c r="B3" s="2" t="s">
        <v>17</v>
      </c>
    </row>
    <row r="5" customFormat="false" ht="27.75" hidden="false" customHeight="true" outlineLevel="0" collapsed="false">
      <c r="B5" s="7" t="s">
        <v>18</v>
      </c>
      <c r="C5" s="7" t="s">
        <v>19</v>
      </c>
      <c r="D5" s="7" t="s">
        <v>20</v>
      </c>
      <c r="E5" s="7" t="s">
        <v>21</v>
      </c>
      <c r="F5" s="7" t="s">
        <v>22</v>
      </c>
    </row>
    <row r="6" customFormat="false" ht="15" hidden="false" customHeight="false" outlineLevel="0" collapsed="false">
      <c r="B6" s="8" t="s">
        <v>23</v>
      </c>
      <c r="C6" s="9" t="n">
        <v>4800</v>
      </c>
      <c r="D6" s="10" t="n">
        <v>2112000</v>
      </c>
      <c r="E6" s="11"/>
      <c r="F6" s="12"/>
    </row>
    <row r="7" customFormat="false" ht="15" hidden="false" customHeight="false" outlineLevel="0" collapsed="false">
      <c r="B7" s="8" t="s">
        <v>24</v>
      </c>
      <c r="C7" s="9" t="n">
        <v>3900</v>
      </c>
      <c r="D7" s="10" t="n">
        <v>1638000</v>
      </c>
      <c r="E7" s="11"/>
      <c r="F7" s="12"/>
    </row>
    <row r="8" customFormat="false" ht="15" hidden="false" customHeight="false" outlineLevel="0" collapsed="false">
      <c r="B8" s="8" t="s">
        <v>25</v>
      </c>
      <c r="C8" s="9" t="n">
        <v>2250</v>
      </c>
      <c r="D8" s="10" t="n">
        <v>1440000</v>
      </c>
      <c r="E8" s="11"/>
      <c r="F8" s="12"/>
    </row>
    <row r="9" customFormat="false" ht="15" hidden="false" customHeight="false" outlineLevel="0" collapsed="false">
      <c r="B9" s="8" t="s">
        <v>26</v>
      </c>
      <c r="C9" s="9" t="n">
        <v>850</v>
      </c>
      <c r="D9" s="10" t="n">
        <v>306000</v>
      </c>
      <c r="E9" s="11"/>
      <c r="F9" s="12"/>
    </row>
    <row r="10" customFormat="false" ht="15" hidden="false" customHeight="false" outlineLevel="0" collapsed="false">
      <c r="B10" s="13" t="s">
        <v>27</v>
      </c>
      <c r="C10" s="14"/>
      <c r="D10" s="15"/>
      <c r="E10" s="16"/>
      <c r="F10" s="16"/>
    </row>
    <row r="12" customFormat="false" ht="15" hidden="false" customHeight="false" outlineLevel="0" collapsed="false">
      <c r="B12" s="3" t="s">
        <v>28</v>
      </c>
    </row>
    <row r="13" customFormat="false" ht="15" hidden="false" customHeight="false" outlineLevel="0" collapsed="false">
      <c r="B13" s="5" t="s">
        <v>29</v>
      </c>
      <c r="D13" s="11"/>
    </row>
    <row r="14" customFormat="false" ht="15" hidden="false" customHeight="false" outlineLevel="0" collapsed="false">
      <c r="B14" s="5" t="s">
        <v>30</v>
      </c>
      <c r="D14" s="11"/>
    </row>
    <row r="16" customFormat="false" ht="15" hidden="false" customHeight="false" outlineLevel="0" collapsed="false">
      <c r="B16" s="3" t="s">
        <v>31</v>
      </c>
    </row>
    <row r="17" customFormat="false" ht="15" hidden="false" customHeight="false" outlineLevel="0" collapsed="false">
      <c r="B17" s="5" t="s">
        <v>32</v>
      </c>
    </row>
    <row r="18" customFormat="false" ht="15" hidden="false" customHeight="false" outlineLevel="0" collapsed="false">
      <c r="B18" s="5" t="s">
        <v>33</v>
      </c>
    </row>
    <row r="19" customFormat="false" ht="15" hidden="false" customHeight="false" outlineLevel="0" collapsed="false">
      <c r="B19" s="5" t="s">
        <v>34</v>
      </c>
    </row>
    <row r="20" customFormat="false" ht="15" hidden="false" customHeight="false" outlineLevel="0" collapsed="false">
      <c r="B20" s="5" t="s">
        <v>35</v>
      </c>
    </row>
    <row r="21" customFormat="false" ht="15" hidden="false" customHeight="false" outlineLevel="0" collapsed="false">
      <c r="B21" s="5" t="s">
        <v>36</v>
      </c>
    </row>
    <row r="22" customFormat="false" ht="15" hidden="false" customHeight="false" outlineLevel="0" collapsed="false">
      <c r="B22" s="5" t="s">
        <v>37</v>
      </c>
    </row>
  </sheetData>
  <conditionalFormatting sqref="E6">
    <cfRule type="expression" priority="2" aboveAverage="0" equalAverage="0" bottom="0" percent="0" rank="0" text="" dxfId="0">
      <formula>AND(E6&lt;&gt;"",ISNUMBER(E6),ABS(E6-440)&lt;0.05)</formula>
    </cfRule>
    <cfRule type="expression" priority="3" aboveAverage="0" equalAverage="0" bottom="0" percent="0" rank="0" text="" dxfId="1">
      <formula>AND(E6&lt;&gt;"",NOT(AND(ISNUMBER(E6),ABS(E6-440)&lt;0.05)))</formula>
    </cfRule>
  </conditionalFormatting>
  <conditionalFormatting sqref="F6">
    <cfRule type="expression" priority="4" aboveAverage="0" equalAverage="0" bottom="0" percent="0" rank="0" text="" dxfId="0">
      <formula>AND(F6&lt;&gt;"",ISNUMBER(F6),ABS(F6-0.384279)&lt;0.001)</formula>
    </cfRule>
    <cfRule type="expression" priority="5" aboveAverage="0" equalAverage="0" bottom="0" percent="0" rank="0" text="" dxfId="1">
      <formula>AND(F6&lt;&gt;"",NOT(AND(ISNUMBER(F6),ABS(F6-0.384279)&lt;0.001)))</formula>
    </cfRule>
  </conditionalFormatting>
  <conditionalFormatting sqref="E7">
    <cfRule type="expression" priority="6" aboveAverage="0" equalAverage="0" bottom="0" percent="0" rank="0" text="" dxfId="0">
      <formula>AND(E7&lt;&gt;"",ISNUMBER(E7),ABS(E7-420)&lt;0.05)</formula>
    </cfRule>
    <cfRule type="expression" priority="7" aboveAverage="0" equalAverage="0" bottom="0" percent="0" rank="0" text="" dxfId="1">
      <formula>AND(E7&lt;&gt;"",NOT(AND(ISNUMBER(E7),ABS(E7-420)&lt;0.05)))</formula>
    </cfRule>
  </conditionalFormatting>
  <conditionalFormatting sqref="F7">
    <cfRule type="expression" priority="8" aboveAverage="0" equalAverage="0" bottom="0" percent="0" rank="0" text="" dxfId="0">
      <formula>AND(F7&lt;&gt;"",ISNUMBER(F7),ABS(F7-0.298035)&lt;0.001)</formula>
    </cfRule>
    <cfRule type="expression" priority="9" aboveAverage="0" equalAverage="0" bottom="0" percent="0" rank="0" text="" dxfId="1">
      <formula>AND(F7&lt;&gt;"",NOT(AND(ISNUMBER(F7),ABS(F7-0.298035)&lt;0.001)))</formula>
    </cfRule>
  </conditionalFormatting>
  <conditionalFormatting sqref="E8">
    <cfRule type="expression" priority="10" aboveAverage="0" equalAverage="0" bottom="0" percent="0" rank="0" text="" dxfId="0">
      <formula>AND(E8&lt;&gt;"",ISNUMBER(E8),ABS(E8-640)&lt;0.05)</formula>
    </cfRule>
    <cfRule type="expression" priority="11" aboveAverage="0" equalAverage="0" bottom="0" percent="0" rank="0" text="" dxfId="1">
      <formula>AND(E8&lt;&gt;"",NOT(AND(ISNUMBER(E8),ABS(E8-640)&lt;0.05)))</formula>
    </cfRule>
  </conditionalFormatting>
  <conditionalFormatting sqref="F8">
    <cfRule type="expression" priority="12" aboveAverage="0" equalAverage="0" bottom="0" percent="0" rank="0" text="" dxfId="0">
      <formula>AND(F8&lt;&gt;"",ISNUMBER(F8),ABS(F8-0.262009)&lt;0.001)</formula>
    </cfRule>
    <cfRule type="expression" priority="13" aboveAverage="0" equalAverage="0" bottom="0" percent="0" rank="0" text="" dxfId="1">
      <formula>AND(F8&lt;&gt;"",NOT(AND(ISNUMBER(F8),ABS(F8-0.262009)&lt;0.001)))</formula>
    </cfRule>
  </conditionalFormatting>
  <conditionalFormatting sqref="E9">
    <cfRule type="expression" priority="14" aboveAverage="0" equalAverage="0" bottom="0" percent="0" rank="0" text="" dxfId="0">
      <formula>AND(E9&lt;&gt;"",ISNUMBER(E9),ABS(E9-360)&lt;0.05)</formula>
    </cfRule>
    <cfRule type="expression" priority="15" aboveAverage="0" equalAverage="0" bottom="0" percent="0" rank="0" text="" dxfId="1">
      <formula>AND(E9&lt;&gt;"",NOT(AND(ISNUMBER(E9),ABS(E9-360)&lt;0.05)))</formula>
    </cfRule>
  </conditionalFormatting>
  <conditionalFormatting sqref="F9">
    <cfRule type="expression" priority="16" aboveAverage="0" equalAverage="0" bottom="0" percent="0" rank="0" text="" dxfId="0">
      <formula>AND(F9&lt;&gt;"",ISNUMBER(F9),ABS(F9-0.055677)&lt;0.001)</formula>
    </cfRule>
    <cfRule type="expression" priority="17" aboveAverage="0" equalAverage="0" bottom="0" percent="0" rank="0" text="" dxfId="1">
      <formula>AND(F9&lt;&gt;"",NOT(AND(ISNUMBER(F9),ABS(F9-0.055677)&lt;0.001)))</formula>
    </cfRule>
  </conditionalFormatting>
  <conditionalFormatting sqref="C10">
    <cfRule type="expression" priority="18" aboveAverage="0" equalAverage="0" bottom="0" percent="0" rank="0" text="" dxfId="0">
      <formula>AND(C10&lt;&gt;"",ISNUMBER(C10),ABS(C10-11800)&lt;0.5)</formula>
    </cfRule>
    <cfRule type="expression" priority="19" aboveAverage="0" equalAverage="0" bottom="0" percent="0" rank="0" text="" dxfId="1">
      <formula>AND(C10&lt;&gt;"",NOT(AND(ISNUMBER(C10),ABS(C10-11800)&lt;0.5)))</formula>
    </cfRule>
  </conditionalFormatting>
  <conditionalFormatting sqref="D10">
    <cfRule type="expression" priority="20" aboveAverage="0" equalAverage="0" bottom="0" percent="0" rank="0" text="" dxfId="0">
      <formula>AND(D10&lt;&gt;"",ISNUMBER(D10),ABS(D10-5496000)&lt;0.5)</formula>
    </cfRule>
    <cfRule type="expression" priority="21" aboveAverage="0" equalAverage="0" bottom="0" percent="0" rank="0" text="" dxfId="1">
      <formula>AND(D10&lt;&gt;"",NOT(AND(ISNUMBER(D10),ABS(D10-5496000)&lt;0.5)))</formula>
    </cfRule>
  </conditionalFormatting>
  <conditionalFormatting sqref="D13">
    <cfRule type="expression" priority="22" aboveAverage="0" equalAverage="0" bottom="0" percent="0" rank="0" text="" dxfId="0">
      <formula>AND(D13&lt;&gt;"",ISNUMBER(D13),ABS(D13-640)&lt;0.05)</formula>
    </cfRule>
    <cfRule type="expression" priority="23" aboveAverage="0" equalAverage="0" bottom="0" percent="0" rank="0" text="" dxfId="1">
      <formula>AND(D13&lt;&gt;"",NOT(AND(ISNUMBER(D13),ABS(D13-640)&lt;0.05)))</formula>
    </cfRule>
  </conditionalFormatting>
  <conditionalFormatting sqref="D14">
    <cfRule type="expression" priority="24" aboveAverage="0" equalAverage="0" bottom="0" percent="0" rank="0" text="" dxfId="0">
      <formula>AND(D14&lt;&gt;"",ISNUMBER(D14),ABS(D14-360)&lt;0.05)</formula>
    </cfRule>
    <cfRule type="expression" priority="25" aboveAverage="0" equalAverage="0" bottom="0" percent="0" rank="0" text="" dxfId="1">
      <formula>AND(D14&lt;&gt;"",NOT(AND(ISNUMBER(D14),ABS(D14-360)&lt;0.05)))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14"/>
    <col collapsed="false" customWidth="true" hidden="false" outlineLevel="0" max="4" min="4" style="0" width="18"/>
    <col collapsed="false" customWidth="true" hidden="false" outlineLevel="0" max="5" min="5" style="0" width="3"/>
  </cols>
  <sheetData>
    <row r="2" customFormat="false" ht="19.7" hidden="false" customHeight="false" outlineLevel="0" collapsed="false">
      <c r="B2" s="1" t="s">
        <v>38</v>
      </c>
    </row>
    <row r="3" customFormat="false" ht="15" hidden="false" customHeight="false" outlineLevel="0" collapsed="false">
      <c r="B3" s="2" t="s">
        <v>39</v>
      </c>
    </row>
    <row r="5" customFormat="false" ht="27.75" hidden="false" customHeight="true" outlineLevel="0" collapsed="false">
      <c r="B5" s="7" t="s">
        <v>40</v>
      </c>
      <c r="C5" s="7" t="s">
        <v>41</v>
      </c>
      <c r="D5" s="7" t="s">
        <v>42</v>
      </c>
    </row>
    <row r="6" customFormat="false" ht="15" hidden="false" customHeight="false" outlineLevel="0" collapsed="false">
      <c r="B6" s="8" t="s">
        <v>43</v>
      </c>
      <c r="C6" s="9" t="n">
        <v>1480</v>
      </c>
      <c r="D6" s="17" t="s">
        <v>44</v>
      </c>
    </row>
    <row r="7" customFormat="false" ht="15" hidden="false" customHeight="false" outlineLevel="0" collapsed="false">
      <c r="B7" s="8" t="s">
        <v>45</v>
      </c>
      <c r="C7" s="9" t="n">
        <v>1420</v>
      </c>
      <c r="D7" s="12"/>
    </row>
    <row r="8" customFormat="false" ht="15" hidden="false" customHeight="false" outlineLevel="0" collapsed="false">
      <c r="B8" s="8" t="s">
        <v>46</v>
      </c>
      <c r="C8" s="9" t="n">
        <v>1510</v>
      </c>
      <c r="D8" s="12"/>
    </row>
    <row r="9" customFormat="false" ht="15" hidden="false" customHeight="false" outlineLevel="0" collapsed="false">
      <c r="B9" s="8" t="s">
        <v>47</v>
      </c>
      <c r="C9" s="9" t="n">
        <v>1560</v>
      </c>
      <c r="D9" s="12"/>
    </row>
    <row r="10" customFormat="false" ht="15" hidden="false" customHeight="false" outlineLevel="0" collapsed="false">
      <c r="B10" s="8" t="s">
        <v>48</v>
      </c>
      <c r="C10" s="9" t="n">
        <v>1650</v>
      </c>
      <c r="D10" s="12"/>
    </row>
    <row r="11" customFormat="false" ht="15" hidden="false" customHeight="false" outlineLevel="0" collapsed="false">
      <c r="B11" s="8" t="s">
        <v>49</v>
      </c>
      <c r="C11" s="9" t="n">
        <v>1740</v>
      </c>
      <c r="D11" s="12"/>
    </row>
    <row r="12" customFormat="false" ht="15" hidden="false" customHeight="false" outlineLevel="0" collapsed="false">
      <c r="B12" s="8" t="s">
        <v>50</v>
      </c>
      <c r="C12" s="9" t="n">
        <v>1820</v>
      </c>
      <c r="D12" s="12"/>
    </row>
    <row r="13" customFormat="false" ht="15" hidden="false" customHeight="false" outlineLevel="0" collapsed="false">
      <c r="B13" s="8" t="s">
        <v>51</v>
      </c>
      <c r="C13" s="9" t="n">
        <v>1760</v>
      </c>
      <c r="D13" s="12"/>
    </row>
    <row r="14" customFormat="false" ht="15" hidden="false" customHeight="false" outlineLevel="0" collapsed="false">
      <c r="B14" s="8" t="s">
        <v>52</v>
      </c>
      <c r="C14" s="9" t="n">
        <v>1640</v>
      </c>
      <c r="D14" s="12"/>
    </row>
    <row r="15" customFormat="false" ht="15" hidden="false" customHeight="false" outlineLevel="0" collapsed="false">
      <c r="B15" s="8" t="s">
        <v>53</v>
      </c>
      <c r="C15" s="9" t="n">
        <v>1580</v>
      </c>
      <c r="D15" s="12"/>
    </row>
    <row r="16" customFormat="false" ht="15" hidden="false" customHeight="false" outlineLevel="0" collapsed="false">
      <c r="B16" s="8" t="s">
        <v>54</v>
      </c>
      <c r="C16" s="9" t="n">
        <v>1520</v>
      </c>
      <c r="D16" s="12"/>
    </row>
    <row r="17" customFormat="false" ht="15" hidden="false" customHeight="false" outlineLevel="0" collapsed="false">
      <c r="B17" s="8" t="s">
        <v>55</v>
      </c>
      <c r="C17" s="9" t="n">
        <v>1490</v>
      </c>
      <c r="D17" s="12"/>
    </row>
    <row r="19" customFormat="false" ht="15" hidden="false" customHeight="false" outlineLevel="0" collapsed="false">
      <c r="B19" s="5" t="s">
        <v>56</v>
      </c>
      <c r="C19" s="14"/>
    </row>
    <row r="20" customFormat="false" ht="15" hidden="false" customHeight="false" outlineLevel="0" collapsed="false">
      <c r="B20" s="5" t="s">
        <v>57</v>
      </c>
      <c r="C20" s="18"/>
    </row>
    <row r="22" customFormat="false" ht="15" hidden="false" customHeight="false" outlineLevel="0" collapsed="false">
      <c r="B22" s="3" t="s">
        <v>58</v>
      </c>
    </row>
    <row r="23" customFormat="false" ht="15" hidden="false" customHeight="false" outlineLevel="0" collapsed="false">
      <c r="B23" s="5" t="s">
        <v>59</v>
      </c>
    </row>
    <row r="24" customFormat="false" ht="15" hidden="false" customHeight="false" outlineLevel="0" collapsed="false">
      <c r="B24" s="5" t="s">
        <v>60</v>
      </c>
    </row>
    <row r="25" customFormat="false" ht="15" hidden="false" customHeight="false" outlineLevel="0" collapsed="false">
      <c r="B25" s="5" t="s">
        <v>61</v>
      </c>
    </row>
  </sheetData>
  <conditionalFormatting sqref="D7">
    <cfRule type="expression" priority="2" aboveAverage="0" equalAverage="0" bottom="0" percent="0" rank="0" text="" dxfId="0">
      <formula>AND(D7&lt;&gt;"",ISNUMBER(D7),ABS(D7--0.040541)&lt;0.0005)</formula>
    </cfRule>
    <cfRule type="expression" priority="3" aboveAverage="0" equalAverage="0" bottom="0" percent="0" rank="0" text="" dxfId="1">
      <formula>AND(D7&lt;&gt;"",NOT(AND(ISNUMBER(D7),ABS(D7--0.040541)&lt;0.0005)))</formula>
    </cfRule>
  </conditionalFormatting>
  <conditionalFormatting sqref="D8">
    <cfRule type="expression" priority="4" aboveAverage="0" equalAverage="0" bottom="0" percent="0" rank="0" text="" dxfId="0">
      <formula>AND(D8&lt;&gt;"",ISNUMBER(D8),ABS(D8-0.06338)&lt;0.0005)</formula>
    </cfRule>
    <cfRule type="expression" priority="5" aboveAverage="0" equalAverage="0" bottom="0" percent="0" rank="0" text="" dxfId="1">
      <formula>AND(D8&lt;&gt;"",NOT(AND(ISNUMBER(D8),ABS(D8-0.06338)&lt;0.0005)))</formula>
    </cfRule>
  </conditionalFormatting>
  <conditionalFormatting sqref="D9">
    <cfRule type="expression" priority="6" aboveAverage="0" equalAverage="0" bottom="0" percent="0" rank="0" text="" dxfId="0">
      <formula>AND(D9&lt;&gt;"",ISNUMBER(D9),ABS(D9-0.033113)&lt;0.0005)</formula>
    </cfRule>
    <cfRule type="expression" priority="7" aboveAverage="0" equalAverage="0" bottom="0" percent="0" rank="0" text="" dxfId="1">
      <formula>AND(D9&lt;&gt;"",NOT(AND(ISNUMBER(D9),ABS(D9-0.033113)&lt;0.0005)))</formula>
    </cfRule>
  </conditionalFormatting>
  <conditionalFormatting sqref="D10">
    <cfRule type="expression" priority="8" aboveAverage="0" equalAverage="0" bottom="0" percent="0" rank="0" text="" dxfId="0">
      <formula>AND(D10&lt;&gt;"",ISNUMBER(D10),ABS(D10-0.057692)&lt;0.0005)</formula>
    </cfRule>
    <cfRule type="expression" priority="9" aboveAverage="0" equalAverage="0" bottom="0" percent="0" rank="0" text="" dxfId="1">
      <formula>AND(D10&lt;&gt;"",NOT(AND(ISNUMBER(D10),ABS(D10-0.057692)&lt;0.0005)))</formula>
    </cfRule>
  </conditionalFormatting>
  <conditionalFormatting sqref="D11">
    <cfRule type="expression" priority="10" aboveAverage="0" equalAverage="0" bottom="0" percent="0" rank="0" text="" dxfId="0">
      <formula>AND(D11&lt;&gt;"",ISNUMBER(D11),ABS(D11-0.054545)&lt;0.0005)</formula>
    </cfRule>
    <cfRule type="expression" priority="11" aboveAverage="0" equalAverage="0" bottom="0" percent="0" rank="0" text="" dxfId="1">
      <formula>AND(D11&lt;&gt;"",NOT(AND(ISNUMBER(D11),ABS(D11-0.054545)&lt;0.0005)))</formula>
    </cfRule>
  </conditionalFormatting>
  <conditionalFormatting sqref="D12">
    <cfRule type="expression" priority="12" aboveAverage="0" equalAverage="0" bottom="0" percent="0" rank="0" text="" dxfId="0">
      <formula>AND(D12&lt;&gt;"",ISNUMBER(D12),ABS(D12-0.045977)&lt;0.0005)</formula>
    </cfRule>
    <cfRule type="expression" priority="13" aboveAverage="0" equalAverage="0" bottom="0" percent="0" rank="0" text="" dxfId="1">
      <formula>AND(D12&lt;&gt;"",NOT(AND(ISNUMBER(D12),ABS(D12-0.045977)&lt;0.0005)))</formula>
    </cfRule>
  </conditionalFormatting>
  <conditionalFormatting sqref="D13">
    <cfRule type="expression" priority="14" aboveAverage="0" equalAverage="0" bottom="0" percent="0" rank="0" text="" dxfId="0">
      <formula>AND(D13&lt;&gt;"",ISNUMBER(D13),ABS(D13--0.032967)&lt;0.0005)</formula>
    </cfRule>
    <cfRule type="expression" priority="15" aboveAverage="0" equalAverage="0" bottom="0" percent="0" rank="0" text="" dxfId="1">
      <formula>AND(D13&lt;&gt;"",NOT(AND(ISNUMBER(D13),ABS(D13--0.032967)&lt;0.0005)))</formula>
    </cfRule>
  </conditionalFormatting>
  <conditionalFormatting sqref="D14">
    <cfRule type="expression" priority="16" aboveAverage="0" equalAverage="0" bottom="0" percent="0" rank="0" text="" dxfId="0">
      <formula>AND(D14&lt;&gt;"",ISNUMBER(D14),ABS(D14--0.068182)&lt;0.0005)</formula>
    </cfRule>
    <cfRule type="expression" priority="17" aboveAverage="0" equalAverage="0" bottom="0" percent="0" rank="0" text="" dxfId="1">
      <formula>AND(D14&lt;&gt;"",NOT(AND(ISNUMBER(D14),ABS(D14--0.068182)&lt;0.0005)))</formula>
    </cfRule>
  </conditionalFormatting>
  <conditionalFormatting sqref="D15">
    <cfRule type="expression" priority="18" aboveAverage="0" equalAverage="0" bottom="0" percent="0" rank="0" text="" dxfId="0">
      <formula>AND(D15&lt;&gt;"",ISNUMBER(D15),ABS(D15--0.036585)&lt;0.0005)</formula>
    </cfRule>
    <cfRule type="expression" priority="19" aboveAverage="0" equalAverage="0" bottom="0" percent="0" rank="0" text="" dxfId="1">
      <formula>AND(D15&lt;&gt;"",NOT(AND(ISNUMBER(D15),ABS(D15--0.036585)&lt;0.0005)))</formula>
    </cfRule>
  </conditionalFormatting>
  <conditionalFormatting sqref="D16">
    <cfRule type="expression" priority="20" aboveAverage="0" equalAverage="0" bottom="0" percent="0" rank="0" text="" dxfId="0">
      <formula>AND(D16&lt;&gt;"",ISNUMBER(D16),ABS(D16--0.037975)&lt;0.0005)</formula>
    </cfRule>
    <cfRule type="expression" priority="21" aboveAverage="0" equalAverage="0" bottom="0" percent="0" rank="0" text="" dxfId="1">
      <formula>AND(D16&lt;&gt;"",NOT(AND(ISNUMBER(D16),ABS(D16--0.037975)&lt;0.0005)))</formula>
    </cfRule>
  </conditionalFormatting>
  <conditionalFormatting sqref="D17">
    <cfRule type="expression" priority="22" aboveAverage="0" equalAverage="0" bottom="0" percent="0" rank="0" text="" dxfId="0">
      <formula>AND(D17&lt;&gt;"",ISNUMBER(D17),ABS(D17--0.019737)&lt;0.0005)</formula>
    </cfRule>
    <cfRule type="expression" priority="23" aboveAverage="0" equalAverage="0" bottom="0" percent="0" rank="0" text="" dxfId="1">
      <formula>AND(D17&lt;&gt;"",NOT(AND(ISNUMBER(D17),ABS(D17--0.019737)&lt;0.0005)))</formula>
    </cfRule>
  </conditionalFormatting>
  <conditionalFormatting sqref="C19">
    <cfRule type="expression" priority="24" aboveAverage="0" equalAverage="0" bottom="0" percent="0" rank="0" text="" dxfId="0">
      <formula>AND(C19&lt;&gt;"",ISNUMBER(C19),ABS(C19-1820)&lt;0.5)</formula>
    </cfRule>
    <cfRule type="expression" priority="25" aboveAverage="0" equalAverage="0" bottom="0" percent="0" rank="0" text="" dxfId="1">
      <formula>AND(C19&lt;&gt;"",NOT(AND(ISNUMBER(C19),ABS(C19-1820)&lt;0.5)))</formula>
    </cfRule>
  </conditionalFormatting>
  <conditionalFormatting sqref="C20">
    <cfRule type="expression" priority="26" aboveAverage="0" equalAverage="0" bottom="0" percent="0" rank="0" text="" dxfId="0">
      <formula>AND(C20&lt;&gt;"",ISNUMBER(C20),ABS(C20-1597.5)&lt;0.05)</formula>
    </cfRule>
    <cfRule type="expression" priority="27" aboveAverage="0" equalAverage="0" bottom="0" percent="0" rank="0" text="" dxfId="1">
      <formula>AND(C20&lt;&gt;"",NOT(AND(ISNUMBER(C20),ABS(C20-1597.5)&lt;0.05)))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50"/>
    <col collapsed="false" customWidth="true" hidden="false" outlineLevel="0" max="5" min="5" style="0" width="3"/>
  </cols>
  <sheetData>
    <row r="2" customFormat="false" ht="19.7" hidden="false" customHeight="false" outlineLevel="0" collapsed="false">
      <c r="B2" s="1" t="s">
        <v>62</v>
      </c>
    </row>
    <row r="3" customFormat="false" ht="15" hidden="false" customHeight="false" outlineLevel="0" collapsed="false">
      <c r="B3" s="2" t="s">
        <v>63</v>
      </c>
    </row>
    <row r="5" customFormat="false" ht="15" hidden="false" customHeight="false" outlineLevel="0" collapsed="false">
      <c r="B5" s="19" t="s">
        <v>64</v>
      </c>
      <c r="C5" s="19" t="s">
        <v>65</v>
      </c>
      <c r="D5" s="19" t="s">
        <v>66</v>
      </c>
    </row>
    <row r="6" customFormat="false" ht="21.75" hidden="false" customHeight="true" outlineLevel="0" collapsed="false">
      <c r="B6" s="8" t="s">
        <v>67</v>
      </c>
      <c r="C6" s="20" t="s">
        <v>68</v>
      </c>
      <c r="D6" s="21" t="s">
        <v>69</v>
      </c>
    </row>
    <row r="7" customFormat="false" ht="21.75" hidden="false" customHeight="true" outlineLevel="0" collapsed="false">
      <c r="B7" s="8" t="s">
        <v>70</v>
      </c>
      <c r="C7" s="20" t="s">
        <v>71</v>
      </c>
      <c r="D7" s="21" t="s">
        <v>72</v>
      </c>
    </row>
    <row r="8" customFormat="false" ht="21.75" hidden="false" customHeight="true" outlineLevel="0" collapsed="false">
      <c r="B8" s="8" t="s">
        <v>73</v>
      </c>
      <c r="C8" s="20" t="s">
        <v>74</v>
      </c>
      <c r="D8" s="21" t="s">
        <v>75</v>
      </c>
    </row>
    <row r="9" customFormat="false" ht="21.75" hidden="false" customHeight="true" outlineLevel="0" collapsed="false">
      <c r="B9" s="8" t="s">
        <v>76</v>
      </c>
      <c r="C9" s="20" t="s">
        <v>77</v>
      </c>
      <c r="D9" s="21" t="s">
        <v>78</v>
      </c>
    </row>
    <row r="10" customFormat="false" ht="21.75" hidden="false" customHeight="true" outlineLevel="0" collapsed="false">
      <c r="B10" s="8" t="s">
        <v>79</v>
      </c>
      <c r="C10" s="20" t="s">
        <v>80</v>
      </c>
      <c r="D10" s="21" t="s">
        <v>81</v>
      </c>
    </row>
    <row r="11" customFormat="false" ht="21.75" hidden="false" customHeight="true" outlineLevel="0" collapsed="false">
      <c r="B11" s="8" t="s">
        <v>82</v>
      </c>
      <c r="C11" s="20" t="s">
        <v>83</v>
      </c>
      <c r="D11" s="21" t="s">
        <v>84</v>
      </c>
    </row>
    <row r="12" customFormat="false" ht="21.75" hidden="false" customHeight="true" outlineLevel="0" collapsed="false">
      <c r="B12" s="8" t="s">
        <v>85</v>
      </c>
      <c r="C12" s="20" t="s">
        <v>86</v>
      </c>
      <c r="D12" s="21" t="s">
        <v>87</v>
      </c>
    </row>
    <row r="14" customFormat="false" ht="15" hidden="false" customHeight="false" outlineLevel="0" collapsed="false">
      <c r="B14" s="3" t="s">
        <v>88</v>
      </c>
    </row>
    <row r="15" customFormat="false" ht="15" hidden="false" customHeight="false" outlineLevel="0" collapsed="false">
      <c r="B15" s="5" t="s">
        <v>89</v>
      </c>
    </row>
    <row r="16" customFormat="false" ht="15" hidden="false" customHeight="false" outlineLevel="0" collapsed="false">
      <c r="B16" s="5" t="s">
        <v>90</v>
      </c>
    </row>
    <row r="17" customFormat="false" ht="15" hidden="false" customHeight="false" outlineLevel="0" collapsed="false">
      <c r="B17" s="5" t="s">
        <v>91</v>
      </c>
    </row>
    <row r="18" customFormat="false" ht="15" hidden="false" customHeight="false" outlineLevel="0" collapsed="false">
      <c r="B18" s="5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2026-06-12T01:55:56Z</dcterms:created>
  <dc:creator>openpyxl</dc:creator>
  <dc:description/>
  <dc:language>en-US</dc:language>
  <cp:lastModifiedBy/>
  <dcterms:modified xsi:type="dcterms:W3CDTF">2026-06-12T01:55:56Z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