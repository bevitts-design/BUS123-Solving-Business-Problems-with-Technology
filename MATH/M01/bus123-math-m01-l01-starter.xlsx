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80" windowWidth="25600" windowHeight="15240" tabRatio="600" firstSheet="0" activeTab="1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Live You Try It" sheetId="2" state="visible" r:id="rId2"/>
    <sheet xmlns:r="http://schemas.openxmlformats.org/officeDocument/2006/relationships" name="Class Challenge" sheetId="3" state="visible" r:id="rId3"/>
    <sheet xmlns:r="http://schemas.openxmlformats.org/officeDocument/2006/relationships" name="FormulaReferenceCard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"/>
      <b val="1"/>
      <color rgb="FFFFFFFF"/>
      <sz val="16"/>
    </font>
    <font>
      <name val="Aptos"/>
      <b val="1"/>
      <color rgb="FFFFFFFF"/>
      <sz val="12"/>
    </font>
    <font>
      <name val="Aptos"/>
      <b val="1"/>
      <color rgb="FF355773"/>
      <sz val="12"/>
    </font>
    <font>
      <name val="Aptos"/>
      <color rgb="FF1A1F2C"/>
      <sz val="11"/>
    </font>
    <font>
      <name val="Aptos"/>
      <b val="1"/>
      <color rgb="FFB8843D"/>
      <sz val="11"/>
    </font>
    <font>
      <name val="Calibri"/>
      <family val="2"/>
      <color rgb="FF1A1F2C"/>
      <sz val="11"/>
      <scheme val="minor"/>
    </font>
    <font>
      <name val="Aptos"/>
      <b val="1"/>
      <color rgb="FF355773"/>
      <sz val="11"/>
    </font>
    <font>
      <name val="Aptos"/>
      <color rgb="FF4A5567"/>
      <sz val="10"/>
    </font>
    <font>
      <name val="Aptos"/>
      <b val="1"/>
      <i val="1"/>
      <color rgb="FF355773"/>
      <sz val="10"/>
    </font>
  </fonts>
  <fills count="12">
    <fill>
      <patternFill/>
    </fill>
    <fill>
      <patternFill patternType="gray125"/>
    </fill>
    <fill>
      <patternFill patternType="solid">
        <fgColor rgb="FF0E1116"/>
      </patternFill>
    </fill>
    <fill>
      <patternFill patternType="solid">
        <fgColor rgb="FF4A7C5E"/>
      </patternFill>
    </fill>
    <fill>
      <patternFill patternType="solid">
        <fgColor rgb="FFEAF3EC"/>
      </patternFill>
    </fill>
    <fill>
      <patternFill patternType="solid">
        <fgColor rgb="FFFFFFFF"/>
      </patternFill>
    </fill>
    <fill>
      <patternFill patternType="solid">
        <fgColor rgb="FFFAF8F3"/>
      </patternFill>
    </fill>
    <fill>
      <patternFill patternType="solid">
        <fgColor rgb="FF355773"/>
      </patternFill>
    </fill>
    <fill>
      <patternFill patternType="solid">
        <fgColor rgb="FFFFD966"/>
      </patternFill>
    </fill>
    <fill>
      <patternFill patternType="solid">
        <fgColor rgb="FFDDEBF7"/>
      </patternFill>
    </fill>
    <fill>
      <patternFill patternType="solid">
        <fgColor rgb="FF9C4A2B"/>
      </patternFill>
    </fill>
    <fill>
      <patternFill patternType="solid">
        <fgColor rgb="FFB8843D"/>
      </patternFill>
    </fill>
  </fills>
  <borders count="12">
    <border>
      <left/>
      <right/>
      <top/>
      <bottom/>
      <diagonal/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  <diagonal/>
    </border>
    <border>
      <left style="medium">
        <color rgb="FF4A7C5E"/>
      </left>
      <right style="thin">
        <color rgb="FFE5E1D6"/>
      </right>
      <top style="thin">
        <color rgb="FFE5E1D6"/>
      </top>
      <bottom style="thin">
        <color rgb="FFE5E1D6"/>
      </bottom>
      <diagonal/>
    </border>
    <border>
      <left/>
      <right/>
      <top style="thin">
        <color rgb="FFE5E1D6"/>
      </top>
      <bottom style="thin">
        <color rgb="FFE5E1D6"/>
      </bottom>
      <diagonal/>
    </border>
    <border>
      <left/>
      <right style="thin">
        <color rgb="FFE5E1D6"/>
      </right>
      <top style="thin">
        <color rgb="FFE5E1D6"/>
      </top>
      <bottom style="thin">
        <color rgb="FFE5E1D6"/>
      </bottom>
      <diagonal/>
    </border>
    <border>
      <left/>
      <right/>
      <top style="thin">
        <color rgb="FFE5E1D6"/>
      </top>
      <bottom/>
      <diagonal/>
    </border>
    <border>
      <left/>
      <right style="thin">
        <color rgb="FFE5E1D6"/>
      </right>
      <top style="thin">
        <color rgb="FFE5E1D6"/>
      </top>
      <bottom/>
      <diagonal/>
    </border>
    <border>
      <left style="medium">
        <color rgb="FF4A7C5E"/>
      </left>
      <right/>
      <top/>
      <bottom/>
      <diagonal/>
    </border>
    <border>
      <left/>
      <right style="thin">
        <color rgb="FFE5E1D6"/>
      </right>
      <top/>
      <bottom/>
      <diagonal/>
    </border>
    <border>
      <left style="medium">
        <color rgb="FF4A7C5E"/>
      </left>
      <right/>
      <top/>
      <bottom style="thin">
        <color rgb="FFE5E1D6"/>
      </bottom>
      <diagonal/>
    </border>
    <border>
      <left/>
      <right/>
      <top/>
      <bottom style="thin">
        <color rgb="FFE5E1D6"/>
      </bottom>
      <diagonal/>
    </border>
    <border>
      <left/>
      <right style="thin">
        <color rgb="FFE5E1D6"/>
      </right>
      <top/>
      <bottom style="thin">
        <color rgb="FFE5E1D6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4" fillId="8" borderId="2" applyAlignment="1" pivotButton="0" quotePrefix="0" xfId="0">
      <alignment vertical="top" wrapText="1"/>
    </xf>
    <xf numFmtId="0" fontId="7" fillId="9" borderId="1" applyAlignment="1" pivotButton="0" quotePrefix="0" xfId="0">
      <alignment vertical="top" wrapText="1"/>
    </xf>
    <xf numFmtId="0" fontId="8" fillId="6" borderId="1" applyAlignment="1" pivotButton="0" quotePrefix="0" xfId="0">
      <alignment vertical="top" wrapText="1"/>
    </xf>
    <xf numFmtId="0" fontId="8" fillId="5" borderId="1" applyAlignment="1" pivotButton="0" quotePrefix="0" xfId="0">
      <alignment vertical="top" wrapText="1"/>
    </xf>
    <xf numFmtId="9" fontId="6" fillId="5" borderId="1" applyAlignment="1" pivotButton="0" quotePrefix="0" xfId="0">
      <alignment vertical="top" wrapText="1"/>
    </xf>
    <xf numFmtId="10" fontId="4" fillId="8" borderId="2" applyAlignment="1" pivotButton="0" quotePrefix="0" xfId="0">
      <alignment vertical="top" wrapText="1"/>
    </xf>
    <xf numFmtId="0" fontId="6" fillId="8" borderId="1" applyAlignment="1" pivotButton="0" quotePrefix="0" xfId="0">
      <alignment vertical="top" wrapText="1"/>
    </xf>
    <xf numFmtId="10" fontId="6" fillId="8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9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4" fontId="4" fillId="8" borderId="2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0" fontId="4" fillId="6" borderId="1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4" fillId="0" borderId="0" applyAlignment="1" pivotButton="0" quotePrefix="0" xfId="0">
      <alignment vertical="center" wrapText="1"/>
    </xf>
    <xf numFmtId="0" fontId="6" fillId="5" borderId="1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6" fillId="6" borderId="1" applyAlignment="1" pivotButton="0" quotePrefix="0" xfId="0">
      <alignment vertical="top" wrapText="1"/>
    </xf>
    <xf numFmtId="0" fontId="2" fillId="3" borderId="0" applyAlignment="1" pivotButton="0" quotePrefix="0" xfId="0">
      <alignment horizontal="left" vertical="center" wrapText="1"/>
    </xf>
    <xf numFmtId="0" fontId="2" fillId="7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vertical="center" wrapText="1"/>
    </xf>
    <xf numFmtId="0" fontId="2" fillId="7" borderId="0" applyAlignment="1" pivotButton="0" quotePrefix="0" xfId="0">
      <alignment horizontal="left"/>
    </xf>
    <xf numFmtId="0" fontId="2" fillId="3" borderId="0" pivotButton="0" quotePrefix="0" xfId="0"/>
    <xf numFmtId="0" fontId="7" fillId="4" borderId="2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2" fillId="10" borderId="0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left" vertical="center" wrapText="1"/>
    </xf>
    <xf numFmtId="1" fontId="4" fillId="5" borderId="1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</cellXfs>
  <cellStyles count="1">
    <cellStyle name="Normal" xfId="0" builtinId="0"/>
  </cellStyles>
  <dxfs count="4">
    <dxf>
      <fill>
        <patternFill patternType="solid">
          <fgColor rgb="FFF4CCCC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selection activeCell="A1" sqref="A1:H1"/>
    </sheetView>
  </sheetViews>
  <sheetFormatPr baseColWidth="10" defaultColWidth="8.83203125" defaultRowHeight="15"/>
  <cols>
    <col width="18" customWidth="1" style="20" min="1" max="8"/>
  </cols>
  <sheetData>
    <row r="1" ht="30" customHeight="1" s="20">
      <c r="A1" s="19" t="inlineStr">
        <is>
          <t>BUS 123 · MATH-M01-L01 · Whole Numbers, Fractions &amp; Percents</t>
        </is>
      </c>
    </row>
    <row r="2" ht="24" customHeight="1" s="20">
      <c r="A2" s="26" t="inlineStr">
        <is>
          <t>Meridian Advisory Group — Slide-to-Excel Starter Workbook</t>
        </is>
      </c>
    </row>
    <row r="3"/>
    <row r="4"/>
    <row r="5" ht="24" customHeight="1" s="20">
      <c r="A5" s="26" t="inlineStr">
        <is>
          <t>How This Workbook Fits the Lesson</t>
        </is>
      </c>
    </row>
    <row r="6"/>
    <row r="7" ht="24" customHeight="1" s="20">
      <c r="A7" s="1" t="inlineStr">
        <is>
          <t>1</t>
        </is>
      </c>
      <c r="B7" s="21" t="inlineStr">
        <is>
          <t>Open this workbook during the slide presentation.</t>
        </is>
      </c>
    </row>
    <row r="8" ht="24" customHeight="1" s="20">
      <c r="A8" s="1" t="inlineStr">
        <is>
          <t>2</t>
        </is>
      </c>
      <c r="B8" s="21" t="inlineStr">
        <is>
          <t>Use the Live You Try It tab when the deck pauses. The yellow cells are yours.</t>
        </is>
      </c>
    </row>
    <row r="9" ht="24" customHeight="1" s="20">
      <c r="A9" s="1" t="inlineStr">
        <is>
          <t>3</t>
        </is>
      </c>
      <c r="B9" s="21" t="inlineStr">
        <is>
          <t>Type formulas that start with = whenever possible. Use the visible input cells, not hardcoded answers.</t>
        </is>
      </c>
    </row>
    <row r="10" ht="24" customHeight="1" s="20">
      <c r="A10" s="1" t="inlineStr">
        <is>
          <t>4</t>
        </is>
      </c>
      <c r="B10" s="21" t="inlineStr">
        <is>
          <t>Feedback is gentle: Correct, Try again, or Check formula. The goal is practice, not grading.</t>
        </is>
      </c>
    </row>
    <row r="11" ht="24" customHeight="1" s="20">
      <c r="A11" s="1" t="inlineStr">
        <is>
          <t>5</t>
        </is>
      </c>
      <c r="B11" s="21" t="inlineStr">
        <is>
          <t>The Class Challenge is intentionally harder. Use it to connect separate formulas into a small model when class time allows.</t>
        </is>
      </c>
    </row>
    <row r="12"/>
    <row r="13"/>
    <row r="14" ht="24" customHeight="1" s="20">
      <c r="A14" s="26" t="inlineStr">
        <is>
          <t>Tabs in This Workbook</t>
        </is>
      </c>
    </row>
    <row r="15"/>
    <row r="16" ht="28" customHeight="1" s="20">
      <c r="A16" s="2" t="inlineStr">
        <is>
          <t>Tab</t>
        </is>
      </c>
      <c r="B16" s="2" t="inlineStr">
        <is>
          <t>Purpose</t>
        </is>
      </c>
      <c r="C16" s="2" t="n"/>
      <c r="D16" s="2" t="n"/>
      <c r="E16" s="2" t="n"/>
      <c r="F16" s="2" t="n"/>
      <c r="G16" s="2" t="n"/>
      <c r="H16" s="2" t="n"/>
    </row>
    <row r="17" ht="34" customHeight="1" s="20">
      <c r="A17" s="22" t="inlineStr">
        <is>
          <t>Live You Try It</t>
        </is>
      </c>
      <c r="B17" s="22" t="inlineStr">
        <is>
          <t>Matches the slide deck micro-pauses exactly: whole numbers, fractions, and percents.</t>
        </is>
      </c>
      <c r="C17" s="23" t="n"/>
      <c r="D17" s="23" t="n"/>
      <c r="E17" s="23" t="n"/>
      <c r="F17" s="23" t="n"/>
      <c r="G17" s="23" t="n"/>
      <c r="H17" s="24" t="n"/>
    </row>
    <row r="18" ht="34" customHeight="1" s="20">
      <c r="A18" s="25" t="inlineStr">
        <is>
          <t>Class Challenge</t>
        </is>
      </c>
      <c r="B18" s="25" t="inlineStr">
        <is>
          <t>A richer next-class workshop that extends the same Meridian numbers into a multi-step model.</t>
        </is>
      </c>
      <c r="C18" s="23" t="n"/>
      <c r="D18" s="23" t="n"/>
      <c r="E18" s="23" t="n"/>
      <c r="F18" s="23" t="n"/>
      <c r="G18" s="23" t="n"/>
      <c r="H18" s="24" t="n"/>
    </row>
    <row r="19" ht="34" customHeight="1" s="20">
      <c r="A19" s="22" t="inlineStr">
        <is>
          <t>FormulaReferenceCard</t>
        </is>
      </c>
      <c r="B19" s="22" t="inlineStr">
        <is>
          <t>Quick syntax reminders for arithmetic, fractions, and percent formulas.</t>
        </is>
      </c>
      <c r="C19" s="23" t="n"/>
      <c r="D19" s="23" t="n"/>
      <c r="E19" s="23" t="n"/>
      <c r="F19" s="23" t="n"/>
      <c r="G19" s="23" t="n"/>
      <c r="H19" s="24" t="n"/>
    </row>
    <row r="20"/>
    <row r="21"/>
    <row r="22" ht="24" customHeight="1" s="20">
      <c r="A22" s="27" t="inlineStr">
        <is>
          <t>Before Class Ends</t>
        </is>
      </c>
    </row>
    <row r="23"/>
    <row r="24">
      <c r="A24" s="28" t="inlineStr">
        <is>
          <t>Complete the Live You Try It tab. If you are moving quickly, preview the Class Challenge; we can use it whenever class time allows.</t>
        </is>
      </c>
    </row>
    <row r="25"/>
  </sheetData>
  <mergeCells count="14">
    <mergeCell ref="A1:H1"/>
    <mergeCell ref="B8:H8"/>
    <mergeCell ref="B17:H17"/>
    <mergeCell ref="B18:H18"/>
    <mergeCell ref="B9:H9"/>
    <mergeCell ref="A2:H2"/>
    <mergeCell ref="A14:H14"/>
    <mergeCell ref="B7:H7"/>
    <mergeCell ref="A5:H5"/>
    <mergeCell ref="B10:H10"/>
    <mergeCell ref="B11:H11"/>
    <mergeCell ref="B19:H19"/>
    <mergeCell ref="A22:H22"/>
    <mergeCell ref="A24:H25"/>
  </mergeCells>
  <pageMargins left="0.75" right="0.75" top="1" bottom="1" header="0.5" footer="0.5"/>
  <pageSetup orientation="portrait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tabSelected="1" workbookViewId="0">
      <pane ySplit="5" topLeftCell="A6" activePane="bottomLeft" state="frozen"/>
      <selection pane="bottomLeft" activeCell="D11" sqref="D11"/>
    </sheetView>
  </sheetViews>
  <sheetFormatPr baseColWidth="10" defaultColWidth="8.83203125" defaultRowHeight="15"/>
  <cols>
    <col width="17" customWidth="1" style="20" min="1" max="1"/>
    <col width="34" customWidth="1" style="20" min="2" max="2"/>
    <col width="14" customWidth="1" style="20" min="3" max="4"/>
    <col width="18" customWidth="1" style="20" min="5" max="6"/>
    <col width="31" customWidth="1" style="20" min="7" max="7"/>
    <col width="14" customWidth="1" style="20" min="8" max="8"/>
  </cols>
  <sheetData>
    <row r="1" ht="30" customHeight="1" s="20">
      <c r="A1" s="32" t="inlineStr">
        <is>
          <t>Live You Try It · Match the Slide Numbers</t>
        </is>
      </c>
    </row>
    <row r="2" ht="16" customHeight="1" s="20">
      <c r="A2" s="30" t="inlineStr">
        <is>
          <t>Type formulas in yellow cells while the deck pauses.</t>
        </is>
      </c>
    </row>
    <row r="3"/>
    <row r="4"/>
    <row r="5" ht="32" customHeight="1" s="20">
      <c r="A5" s="2" t="inlineStr">
        <is>
          <t>Slide</t>
        </is>
      </c>
      <c r="B5" s="2" t="inlineStr">
        <is>
          <t>Step</t>
        </is>
      </c>
      <c r="C5" s="2" t="inlineStr">
        <is>
          <t>Input A</t>
        </is>
      </c>
      <c r="D5" s="2" t="inlineStr">
        <is>
          <t>Input B</t>
        </is>
      </c>
      <c r="E5" s="2" t="inlineStr">
        <is>
          <t>Your Formula / Answer</t>
        </is>
      </c>
      <c r="F5" s="2" t="inlineStr">
        <is>
          <t>Feedback</t>
        </is>
      </c>
      <c r="G5" s="2" t="inlineStr">
        <is>
          <t>Formula Hint</t>
        </is>
      </c>
      <c r="H5" s="2" t="inlineStr">
        <is>
          <t>Skill</t>
        </is>
      </c>
    </row>
    <row r="6" ht="40" customHeight="1" s="20">
      <c r="A6" s="15" t="inlineStr">
        <is>
          <t>09</t>
        </is>
      </c>
      <c r="B6" s="15" t="inlineStr">
        <is>
          <t>Whole Numbers 1: New account count</t>
        </is>
      </c>
      <c r="C6" s="15" t="n">
        <v>57</v>
      </c>
      <c r="D6" s="15" t="n">
        <v>4</v>
      </c>
      <c r="E6" s="16" t="n"/>
      <c r="F6" s="6">
        <f>IF(E6="","",IF(ABS(E6-(C6-D6))&lt;0.0001,"Correct","Try again"))</f>
        <v/>
      </c>
      <c r="G6" s="7" t="inlineStr">
        <is>
          <t>'=starting accounts - lost accounts</t>
        </is>
      </c>
      <c r="H6" s="15" t="inlineStr">
        <is>
          <t>Subtract</t>
        </is>
      </c>
    </row>
    <row r="7" ht="40" customHeight="1" s="20">
      <c r="A7" s="17" t="inlineStr">
        <is>
          <t>09</t>
        </is>
      </c>
      <c r="B7" s="17" t="inlineStr">
        <is>
          <t>Whole Numbers 2: New quarterly fee revenue</t>
        </is>
      </c>
      <c r="C7" s="17">
        <f>E6</f>
        <v/>
      </c>
      <c r="D7" s="17" t="n">
        <v>4200</v>
      </c>
      <c r="E7" s="16" t="n"/>
      <c r="F7" s="6">
        <f>IF(E7="","",IF(ABS(E7-(E6*D7))&lt;0.01,"Correct","Try again"))</f>
        <v/>
      </c>
      <c r="G7" s="8" t="inlineStr">
        <is>
          <t>'=new accounts * fee per account</t>
        </is>
      </c>
      <c r="H7" s="17" t="inlineStr">
        <is>
          <t>Multiply</t>
        </is>
      </c>
    </row>
    <row r="8" ht="40" customHeight="1" s="20">
      <c r="A8" s="15" t="inlineStr">
        <is>
          <t>09</t>
        </is>
      </c>
      <c r="B8" s="15" t="inlineStr">
        <is>
          <t>Whole Numbers 3: Is the new revenue lower than prior $239,400?</t>
        </is>
      </c>
      <c r="C8" s="15" t="n"/>
      <c r="D8" s="15" t="n"/>
      <c r="E8" s="5" t="n"/>
      <c r="F8" s="6">
        <f>IF(E8="","",IF(OR(LOWER(E8)="yes",LOWER(E8)="y"),"Correct","Check formula"))</f>
        <v/>
      </c>
      <c r="G8" s="7" t="inlineStr">
        <is>
          <t>Answer yes/no after comparing to prior revenue</t>
        </is>
      </c>
      <c r="H8" s="15" t="inlineStr">
        <is>
          <t>Interpret</t>
        </is>
      </c>
    </row>
    <row r="9" ht="10" customHeight="1" s="20"/>
    <row r="10" ht="40" customHeight="1" s="20">
      <c r="A10" s="15" t="inlineStr">
        <is>
          <t>14</t>
        </is>
      </c>
      <c r="B10" s="15" t="inlineStr">
        <is>
          <t>Fractions 1: Tax advisors as decimal</t>
        </is>
      </c>
      <c r="C10" s="15" t="n">
        <v>5</v>
      </c>
      <c r="D10" s="15" t="n">
        <v>9</v>
      </c>
      <c r="E10" s="16" t="n"/>
      <c r="F10" s="6">
        <f>IF(E10="","",IF(ABS(E10-(C10/D10))&lt;0.0001,"Correct","Try again"))</f>
        <v/>
      </c>
      <c r="G10" s="7" t="inlineStr">
        <is>
          <t>'=part / whole</t>
        </is>
      </c>
      <c r="H10" s="15" t="inlineStr">
        <is>
          <t>Fraction</t>
        </is>
      </c>
    </row>
    <row r="11" ht="40" customHeight="1" s="20">
      <c r="A11" s="17" t="inlineStr">
        <is>
          <t>14</t>
        </is>
      </c>
      <c r="B11" s="17" t="inlineStr">
        <is>
          <t>Fractions 2: Same result formatted as percent</t>
        </is>
      </c>
      <c r="C11" s="17" t="n">
        <v>5</v>
      </c>
      <c r="D11" s="35" t="n">
        <v>9</v>
      </c>
      <c r="E11" s="10" t="n"/>
      <c r="F11" s="6">
        <f>IF(E11="","",IF(ABS(E11-(C11/D11))&lt;0.0001,"Correct","Try again"))</f>
        <v/>
      </c>
      <c r="G11" s="8" t="inlineStr">
        <is>
          <t>'=part / whole, then format as %</t>
        </is>
      </c>
      <c r="H11" s="17" t="inlineStr">
        <is>
          <t>Percent format</t>
        </is>
      </c>
    </row>
    <row r="12" ht="40" customHeight="1" s="20">
      <c r="A12" s="15" t="inlineStr">
        <is>
          <t>14</t>
        </is>
      </c>
      <c r="B12" s="15" t="inlineStr">
        <is>
          <t>Fractions 3: Did the denominator change from 6 to 9?</t>
        </is>
      </c>
      <c r="C12" s="15" t="n"/>
      <c r="D12" s="15" t="n"/>
      <c r="E12" s="5" t="n"/>
      <c r="F12" s="6">
        <f>IF(E12="","",IF(OR(LOWER(E12)="yes",LOWER(E12)="y"),"Correct","Check denominator"))</f>
        <v/>
      </c>
      <c r="G12" s="7" t="inlineStr">
        <is>
          <t>Answer yes/no</t>
        </is>
      </c>
      <c r="H12" s="15" t="inlineStr">
        <is>
          <t>Interpret</t>
        </is>
      </c>
    </row>
    <row r="13" ht="10" customHeight="1" s="20"/>
    <row r="14" ht="40" customHeight="1" s="20">
      <c r="A14" s="15" t="inlineStr">
        <is>
          <t>20</t>
        </is>
      </c>
      <c r="B14" s="15" t="inlineStr">
        <is>
          <t>Percents 1: 12% growth target</t>
        </is>
      </c>
      <c r="C14" s="15" t="n">
        <v>239400</v>
      </c>
      <c r="D14" s="18" t="n">
        <v>0.12</v>
      </c>
      <c r="E14" s="16" t="n"/>
      <c r="F14" s="6">
        <f>IF(E14="","",IF(ABS(E14-(C14*(1+D14)))&lt;0.01,"Correct","Try again"))</f>
        <v/>
      </c>
      <c r="G14" s="7" t="inlineStr">
        <is>
          <t>'=base * (1 + rate)</t>
        </is>
      </c>
      <c r="H14" s="15" t="inlineStr">
        <is>
          <t>Growth target</t>
        </is>
      </c>
    </row>
    <row r="15" ht="40" customHeight="1" s="20">
      <c r="A15" s="17" t="inlineStr">
        <is>
          <t>20</t>
        </is>
      </c>
      <c r="B15" s="17" t="inlineStr">
        <is>
          <t>Percents 2: Actual % change</t>
        </is>
      </c>
      <c r="C15" s="17" t="n">
        <v>239400</v>
      </c>
      <c r="D15" s="17" t="n">
        <v>268200</v>
      </c>
      <c r="E15" s="10" t="n"/>
      <c r="F15" s="6">
        <f>IF(E15="","",IF(ABS(E15-((D15-C15)/C15))&lt;0.0002,"Correct","Try again"))</f>
        <v/>
      </c>
      <c r="G15" s="8" t="inlineStr">
        <is>
          <t>'=(new - old) / old</t>
        </is>
      </c>
      <c r="H15" s="17" t="inlineStr">
        <is>
          <t>Percent change</t>
        </is>
      </c>
    </row>
    <row r="16" ht="40" customHeight="1" s="20">
      <c r="A16" s="15" t="inlineStr">
        <is>
          <t>20</t>
        </is>
      </c>
      <c r="B16" s="15" t="inlineStr">
        <is>
          <t>Percents 3: Did actual beat the 12% target?</t>
        </is>
      </c>
      <c r="C16" s="15" t="n"/>
      <c r="D16" s="15" t="n"/>
      <c r="E16" s="5" t="n"/>
      <c r="F16" s="6">
        <f>IF(E16="","",IF(OR(LOWER(E16)="yes",LOWER(E16)="y"),"Correct","Check target vs actual"))</f>
        <v/>
      </c>
      <c r="G16" s="7" t="inlineStr">
        <is>
          <t>Answer yes/no after comparing</t>
        </is>
      </c>
      <c r="H16" s="15" t="inlineStr">
        <is>
          <t>Interpret</t>
        </is>
      </c>
    </row>
    <row r="17"/>
    <row r="18" ht="16" customHeight="1" s="20">
      <c r="A18" s="29" t="inlineStr">
        <is>
          <t>Prompt for Students</t>
        </is>
      </c>
    </row>
    <row r="19"/>
    <row r="20">
      <c r="A20" s="31" t="inlineStr">
        <is>
          <t>When the slide says You Try It, complete only the matching slide-number block. Use formulas where the prompt asks for a calculation; short yes/no interpretation checks can be typed as words.</t>
        </is>
      </c>
      <c r="B20" s="36" t="n"/>
      <c r="C20" s="36" t="n"/>
      <c r="D20" s="36" t="n"/>
      <c r="E20" s="36" t="n"/>
      <c r="F20" s="36" t="n"/>
      <c r="G20" s="36" t="n"/>
      <c r="H20" s="37" t="n"/>
    </row>
    <row r="21">
      <c r="A21" s="38" t="n"/>
      <c r="B21" s="39" t="n"/>
      <c r="C21" s="39" t="n"/>
      <c r="D21" s="39" t="n"/>
      <c r="E21" s="39" t="n"/>
      <c r="F21" s="39" t="n"/>
      <c r="G21" s="39" t="n"/>
      <c r="H21" s="40" t="n"/>
    </row>
  </sheetData>
  <mergeCells count="4">
    <mergeCell ref="A18:H18"/>
    <mergeCell ref="A2:H2"/>
    <mergeCell ref="A20:H21"/>
    <mergeCell ref="A1:H1"/>
  </mergeCells>
  <conditionalFormatting sqref="F6:F16">
    <cfRule type="expression" priority="1" dxfId="1">
      <formula>ISNUMBER(SEARCH("Correct",F6))</formula>
    </cfRule>
    <cfRule type="expression" priority="2" dxfId="0">
      <formula>OR(ISNUMBER(SEARCH("Try",F6)),ISNUMBER(SEARCH("Check",F6)))</formula>
    </cfRule>
  </conditionalFormatting>
  <dataValidations count="1">
    <dataValidation sqref="E8 E12 E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selection activeCell="A1" sqref="A1"/>
    </sheetView>
  </sheetViews>
  <sheetFormatPr baseColWidth="10" defaultColWidth="8.83203125" defaultRowHeight="15"/>
  <cols>
    <col width="12" customWidth="1" style="20" min="1" max="1"/>
    <col width="42" customWidth="1" style="20" min="2" max="2"/>
    <col width="18" customWidth="1" style="20" min="3" max="5"/>
    <col width="24" customWidth="1" style="20" min="6" max="6"/>
    <col width="28" customWidth="1" style="20" min="7" max="7"/>
    <col width="16" customWidth="1" style="20" min="8" max="8"/>
  </cols>
  <sheetData>
    <row r="1" ht="30" customHeight="1" s="20">
      <c r="A1" s="19" t="inlineStr">
        <is>
          <t>Class Challenge · Connect the Formulas</t>
        </is>
      </c>
    </row>
    <row r="2" ht="24" customHeight="1" s="20">
      <c r="A2" s="26" t="inlineStr">
        <is>
          <t>Use the same Meridian numbers to build a small model together in class.</t>
        </is>
      </c>
    </row>
    <row r="3"/>
    <row r="4"/>
    <row r="5" ht="24" customHeight="1" s="20">
      <c r="A5" s="26" t="inlineStr">
        <is>
          <t>Challenge 1 — Three-Quarter Revenue Model</t>
        </is>
      </c>
    </row>
    <row r="6"/>
    <row r="7" ht="28" customHeight="1" s="20">
      <c r="A7" s="2" t="inlineStr">
        <is>
          <t>Step</t>
        </is>
      </c>
      <c r="B7" s="2" t="inlineStr">
        <is>
          <t>Task</t>
        </is>
      </c>
      <c r="C7" s="2" t="inlineStr">
        <is>
          <t>Input A</t>
        </is>
      </c>
      <c r="D7" s="2" t="inlineStr">
        <is>
          <t>Input B</t>
        </is>
      </c>
      <c r="E7" s="2" t="inlineStr">
        <is>
          <t>Formula / Answer</t>
        </is>
      </c>
      <c r="F7" s="2" t="inlineStr">
        <is>
          <t>Coach Check</t>
        </is>
      </c>
      <c r="G7" s="2" t="inlineStr">
        <is>
          <t>Interpretation Prompt</t>
        </is>
      </c>
      <c r="H7" s="2" t="inlineStr">
        <is>
          <t>Skill</t>
        </is>
      </c>
    </row>
    <row r="8" ht="42" customHeight="1" s="20">
      <c r="A8" s="25" t="inlineStr">
        <is>
          <t>1</t>
        </is>
      </c>
      <c r="B8" s="25" t="inlineStr">
        <is>
          <t>Q1-end accounts from 48 start, +12, -3</t>
        </is>
      </c>
      <c r="C8" s="25" t="n">
        <v>48</v>
      </c>
      <c r="D8" s="25" t="inlineStr">
        <is>
          <t>+12 / -3</t>
        </is>
      </c>
      <c r="E8" s="11" t="n"/>
      <c r="F8" s="6">
        <f>IF(E8="","",IF(ABS(E8-57)&lt;0.0001,"Correct","Try again"))</f>
        <v/>
      </c>
      <c r="G8" s="25" t="inlineStr">
        <is>
          <t>What changed from the starting count?</t>
        </is>
      </c>
      <c r="H8" s="25" t="inlineStr">
        <is>
          <t>Arithmetic</t>
        </is>
      </c>
    </row>
    <row r="9" ht="42" customHeight="1" s="20">
      <c r="A9" s="22" t="inlineStr">
        <is>
          <t>2</t>
        </is>
      </c>
      <c r="B9" s="22" t="inlineStr">
        <is>
          <t>Q2-end accounts after +7, -2 from Q1-end</t>
        </is>
      </c>
      <c r="C9" s="22">
        <f>E8</f>
        <v/>
      </c>
      <c r="D9" s="22" t="inlineStr">
        <is>
          <t>+7 / -2</t>
        </is>
      </c>
      <c r="E9" s="11" t="n"/>
      <c r="F9" s="6">
        <f>IF(E9="","",IF(ABS(E9-(E8+7-2))&lt;0.0001,"Correct","Try again"))</f>
        <v/>
      </c>
      <c r="G9" s="22" t="inlineStr">
        <is>
          <t>How does a model reuse prior-period outputs?</t>
        </is>
      </c>
      <c r="H9" s="22" t="inlineStr">
        <is>
          <t>Linked formula</t>
        </is>
      </c>
    </row>
    <row r="10" ht="42" customHeight="1" s="20">
      <c r="A10" s="25" t="inlineStr">
        <is>
          <t>3</t>
        </is>
      </c>
      <c r="B10" s="25" t="inlineStr">
        <is>
          <t>Q3-end accounts after +5, -1 from Q2-end</t>
        </is>
      </c>
      <c r="C10" s="25">
        <f>E9</f>
        <v/>
      </c>
      <c r="D10" s="25" t="inlineStr">
        <is>
          <t>+5 / -1</t>
        </is>
      </c>
      <c r="E10" s="11" t="n"/>
      <c r="F10" s="6">
        <f>IF(E10="","",IF(ABS(E10-(E9+5-1))&lt;0.0001,"Correct","Try again"))</f>
        <v/>
      </c>
      <c r="G10" s="25" t="inlineStr">
        <is>
          <t>Why is linking safer than retyping?</t>
        </is>
      </c>
      <c r="H10" s="25" t="inlineStr">
        <is>
          <t>Linked formula</t>
        </is>
      </c>
    </row>
    <row r="11" ht="42" customHeight="1" s="20">
      <c r="A11" s="22" t="inlineStr">
        <is>
          <t>4</t>
        </is>
      </c>
      <c r="B11" s="22" t="inlineStr">
        <is>
          <t>Q1 fee revenue at $4,200/account</t>
        </is>
      </c>
      <c r="C11" s="22">
        <f>E8</f>
        <v/>
      </c>
      <c r="D11" s="22" t="n">
        <v>4200</v>
      </c>
      <c r="E11" s="11" t="n"/>
      <c r="F11" s="6">
        <f>IF(E11="","",IF(ABS(E11-(E8*D11))&lt;0.01,"Correct","Try again"))</f>
        <v/>
      </c>
      <c r="G11" s="22" t="inlineStr">
        <is>
          <t>What unit is the fee rate using?</t>
        </is>
      </c>
      <c r="H11" s="22" t="inlineStr">
        <is>
          <t>Revenue</t>
        </is>
      </c>
    </row>
    <row r="12" ht="42" customHeight="1" s="20">
      <c r="A12" s="25" t="inlineStr">
        <is>
          <t>5</t>
        </is>
      </c>
      <c r="B12" s="25" t="inlineStr">
        <is>
          <t>Q2 fee revenue at $4,200/account</t>
        </is>
      </c>
      <c r="C12" s="25">
        <f>E9</f>
        <v/>
      </c>
      <c r="D12" s="25" t="n">
        <v>4200</v>
      </c>
      <c r="E12" s="11" t="n"/>
      <c r="F12" s="6">
        <f>IF(E12="","",IF(ABS(E12-(E9*D12))&lt;0.01,"Correct","Try again"))</f>
        <v/>
      </c>
      <c r="G12" s="25" t="inlineStr">
        <is>
          <t>What would break if the fee were annual?</t>
        </is>
      </c>
      <c r="H12" s="25" t="inlineStr">
        <is>
          <t>Revenue</t>
        </is>
      </c>
    </row>
    <row r="13" ht="42" customHeight="1" s="20">
      <c r="A13" s="22" t="inlineStr">
        <is>
          <t>6</t>
        </is>
      </c>
      <c r="B13" s="22" t="inlineStr">
        <is>
          <t>Q3 fee revenue at $4,200/account</t>
        </is>
      </c>
      <c r="C13" s="22">
        <f>E10</f>
        <v/>
      </c>
      <c r="D13" s="22" t="n">
        <v>4200</v>
      </c>
      <c r="E13" s="11" t="n"/>
      <c r="F13" s="6">
        <f>IF(E13="","",IF(ABS(E13-(E10*D13))&lt;0.01,"Correct","Try again"))</f>
        <v/>
      </c>
      <c r="G13" s="22" t="inlineStr">
        <is>
          <t>What trend do you see?</t>
        </is>
      </c>
      <c r="H13" s="22" t="inlineStr">
        <is>
          <t>Revenue</t>
        </is>
      </c>
    </row>
    <row r="14" ht="42" customHeight="1" s="20">
      <c r="A14" s="25" t="inlineStr">
        <is>
          <t>7</t>
        </is>
      </c>
      <c r="B14" s="25" t="inlineStr">
        <is>
          <t>Cumulative three-quarter fee revenue</t>
        </is>
      </c>
      <c r="C14" s="25">
        <f>SUM(E11:E13)</f>
        <v/>
      </c>
      <c r="D14" s="25" t="n"/>
      <c r="E14" s="11" t="n"/>
      <c r="F14" s="6">
        <f>IF(E14="","",IF(ABS(E14-SUM(E11:E13))&lt;0.01,"Correct","Try again"))</f>
        <v/>
      </c>
      <c r="G14" s="25" t="inlineStr">
        <is>
          <t>Why use SUM instead of adding manually?</t>
        </is>
      </c>
      <c r="H14" s="25" t="inlineStr">
        <is>
          <t>SUM</t>
        </is>
      </c>
    </row>
    <row r="15" ht="42" customHeight="1" s="20">
      <c r="A15" s="22" t="inlineStr">
        <is>
          <t>8</t>
        </is>
      </c>
      <c r="B15" s="22" t="inlineStr">
        <is>
          <t>Percent change from Q1 fees to Q3 fees</t>
        </is>
      </c>
      <c r="C15" s="22">
        <f>E11</f>
        <v/>
      </c>
      <c r="D15" s="22">
        <f>E13</f>
        <v/>
      </c>
      <c r="E15" s="12" t="n"/>
      <c r="F15" s="6">
        <f>IF(E15="","",IF(ABS(E15-((E13-E11)/E11))&lt;0.0002,"Correct","Try again"))</f>
        <v/>
      </c>
      <c r="G15" s="22" t="inlineStr">
        <is>
          <t>Which number is the base?</t>
        </is>
      </c>
      <c r="H15" s="22" t="inlineStr">
        <is>
          <t>Percent change</t>
        </is>
      </c>
    </row>
    <row r="16"/>
    <row r="17"/>
    <row r="18" ht="24" customHeight="1" s="20">
      <c r="A18" s="27" t="inlineStr">
        <is>
          <t>Challenge 2 — Service-Line Mix</t>
        </is>
      </c>
    </row>
    <row r="19"/>
    <row r="20" ht="28" customHeight="1" s="20">
      <c r="A20" s="2" t="inlineStr">
        <is>
          <t>Step</t>
        </is>
      </c>
      <c r="B20" s="2" t="inlineStr">
        <is>
          <t>Task</t>
        </is>
      </c>
      <c r="C20" s="2" t="inlineStr">
        <is>
          <t>Input A</t>
        </is>
      </c>
      <c r="D20" s="2" t="inlineStr">
        <is>
          <t>Input B</t>
        </is>
      </c>
      <c r="E20" s="2" t="inlineStr">
        <is>
          <t>Formula / Answer</t>
        </is>
      </c>
      <c r="F20" s="2" t="inlineStr">
        <is>
          <t>Coach Check</t>
        </is>
      </c>
      <c r="G20" s="2" t="inlineStr">
        <is>
          <t>Interpretation Prompt</t>
        </is>
      </c>
      <c r="H20" s="2" t="inlineStr">
        <is>
          <t>Skill</t>
        </is>
      </c>
    </row>
    <row r="21" ht="42" customHeight="1" s="20">
      <c r="A21" s="22" t="inlineStr">
        <is>
          <t>1</t>
        </is>
      </c>
      <c r="B21" s="22" t="inlineStr">
        <is>
          <t>Total Meridian clients</t>
        </is>
      </c>
      <c r="C21" s="22" t="n">
        <v>57</v>
      </c>
      <c r="D21" s="22" t="n"/>
      <c r="E21" s="11" t="n"/>
      <c r="F21" s="6">
        <f>IF(E21="","",IF(ABS(E21-57)&lt;0.0001,"Correct","Try again"))</f>
        <v/>
      </c>
      <c r="G21" s="22" t="inlineStr">
        <is>
          <t>Use this total for the first mix checks.</t>
        </is>
      </c>
      <c r="H21" s="22" t="inlineStr">
        <is>
          <t>Input</t>
        </is>
      </c>
    </row>
    <row r="22" ht="42" customHeight="1" s="20">
      <c r="A22" s="25" t="inlineStr">
        <is>
          <t>2</t>
        </is>
      </c>
      <c r="B22" s="25" t="inlineStr">
        <is>
          <t>Tax clients as % of total</t>
        </is>
      </c>
      <c r="C22" s="25" t="n">
        <v>22</v>
      </c>
      <c r="D22" s="25">
        <f>E21</f>
        <v/>
      </c>
      <c r="E22" s="12" t="n"/>
      <c r="F22" s="6">
        <f>IF(E22="","",IF(ABS(E22-(C22/D22))&lt;0.0002,"Correct","Try again"))</f>
        <v/>
      </c>
      <c r="G22" s="25" t="inlineStr">
        <is>
          <t>Format as Percentage.</t>
        </is>
      </c>
      <c r="H22" s="25" t="inlineStr">
        <is>
          <t>Ratio as %</t>
        </is>
      </c>
    </row>
    <row r="23" ht="42" customHeight="1" s="20">
      <c r="A23" s="22" t="inlineStr">
        <is>
          <t>3</t>
        </is>
      </c>
      <c r="B23" s="22" t="inlineStr">
        <is>
          <t>Estate clients as % of total</t>
        </is>
      </c>
      <c r="C23" s="22" t="n">
        <v>18</v>
      </c>
      <c r="D23" s="22">
        <f>E21</f>
        <v/>
      </c>
      <c r="E23" s="12" t="n"/>
      <c r="F23" s="6">
        <f>IF(E23="","",IF(ABS(E23-(C23/D23))&lt;0.0002,"Correct","Try again"))</f>
        <v/>
      </c>
      <c r="G23" s="22" t="inlineStr">
        <is>
          <t>Is this a change or a share?</t>
        </is>
      </c>
      <c r="H23" s="22" t="inlineStr">
        <is>
          <t>Ratio as %</t>
        </is>
      </c>
    </row>
    <row r="24" ht="42" customHeight="1" s="20">
      <c r="A24" s="25" t="inlineStr">
        <is>
          <t>4</t>
        </is>
      </c>
      <c r="B24" s="25" t="inlineStr">
        <is>
          <t>Tax + Estate combined % of total</t>
        </is>
      </c>
      <c r="C24" s="25" t="n">
        <v>40</v>
      </c>
      <c r="D24" s="25">
        <f>E21</f>
        <v/>
      </c>
      <c r="E24" s="12" t="n"/>
      <c r="F24" s="6">
        <f>IF(E24="","",IF(ABS(E24-(C24/D24))&lt;0.0002,"Correct","Try again"))</f>
        <v/>
      </c>
      <c r="G24" s="25" t="inlineStr">
        <is>
          <t>Combine parts before dividing by whole.</t>
        </is>
      </c>
      <c r="H24" s="25" t="inlineStr">
        <is>
          <t>Ratio as %</t>
        </is>
      </c>
    </row>
    <row r="25" ht="42" customHeight="1" s="20">
      <c r="A25" s="22" t="inlineStr">
        <is>
          <t>5</t>
        </is>
      </c>
      <c r="B25" s="22" t="inlineStr">
        <is>
          <t>Investment clients after 30% growth</t>
        </is>
      </c>
      <c r="C25" s="22" t="n">
        <v>17</v>
      </c>
      <c r="D25" s="9" t="n">
        <v>0.3</v>
      </c>
      <c r="E25" s="11" t="n"/>
      <c r="F25" s="6">
        <f>IF(E25="","",IF(ABS(E25-(C25*(1+D25)))&lt;0.01,"Correct","Try again"))</f>
        <v/>
      </c>
      <c r="G25" s="22" t="inlineStr">
        <is>
          <t>Should client counts be rounded for a final business recommendation?</t>
        </is>
      </c>
      <c r="H25" s="22" t="inlineStr">
        <is>
          <t>Growth</t>
        </is>
      </c>
    </row>
    <row r="26" ht="42" customHeight="1" s="20">
      <c r="A26" s="25" t="inlineStr">
        <is>
          <t>6</t>
        </is>
      </c>
      <c r="B26" s="25" t="inlineStr">
        <is>
          <t>New total clients after investment growth</t>
        </is>
      </c>
      <c r="C26" s="25" t="n">
        <v>40</v>
      </c>
      <c r="D26" s="25">
        <f>E25</f>
        <v/>
      </c>
      <c r="E26" s="11" t="n"/>
      <c r="F26" s="6">
        <f>IF(E26="","",IF(ABS(E26-(C26+D26))&lt;0.01,"Correct","Try again"))</f>
        <v/>
      </c>
      <c r="G26" s="25" t="inlineStr">
        <is>
          <t>Old tax + estate plus new investment count.</t>
        </is>
      </c>
      <c r="H26" s="25" t="inlineStr">
        <is>
          <t>Total</t>
        </is>
      </c>
    </row>
    <row r="27" ht="42" customHeight="1" s="20">
      <c r="A27" s="22" t="inlineStr">
        <is>
          <t>7</t>
        </is>
      </c>
      <c r="B27" s="22" t="inlineStr">
        <is>
          <t>New investment % of new total</t>
        </is>
      </c>
      <c r="C27" s="22">
        <f>E25</f>
        <v/>
      </c>
      <c r="D27" s="22">
        <f>E26</f>
        <v/>
      </c>
      <c r="E27" s="12" t="n"/>
      <c r="F27" s="6">
        <f>IF(E27="","",IF(ABS(E27-(C27/D27))&lt;0.0002,"Correct","Try again"))</f>
        <v/>
      </c>
      <c r="G27" s="22" t="inlineStr">
        <is>
          <t>How did the mix change?</t>
        </is>
      </c>
      <c r="H27" s="22" t="inlineStr">
        <is>
          <t>Ratio as %</t>
        </is>
      </c>
    </row>
    <row r="28" ht="42" customHeight="1" s="20">
      <c r="A28" s="25" t="inlineStr">
        <is>
          <t>8</t>
        </is>
      </c>
      <c r="B28" s="25" t="inlineStr">
        <is>
          <t>One-sentence business interpretation</t>
        </is>
      </c>
      <c r="C28" s="25" t="n"/>
      <c r="D28" s="25" t="n"/>
      <c r="E28" s="11" t="n"/>
      <c r="F28" s="6" t="n"/>
      <c r="G28" s="25" t="inlineStr">
        <is>
          <t>Explain what changed in the service-line mix.</t>
        </is>
      </c>
      <c r="H28" s="25" t="inlineStr">
        <is>
          <t>Interpret</t>
        </is>
      </c>
    </row>
  </sheetData>
  <mergeCells count="4">
    <mergeCell ref="A18:H18"/>
    <mergeCell ref="A2:H2"/>
    <mergeCell ref="A5:H5"/>
    <mergeCell ref="A1:H1"/>
  </mergeCells>
  <conditionalFormatting sqref="F8:F27">
    <cfRule type="expression" priority="1" dxfId="1">
      <formula>ISNUMBER(SEARCH("Correct",F8))</formula>
    </cfRule>
    <cfRule type="expression" priority="2" dxfId="0">
      <formula>OR(ISNUMBER(SEARCH("Try",F8)),ISNUMBER(SEARCH("Check",F8)))</formula>
    </cfRule>
  </conditionalFormatting>
  <pageMargins left="0.75" right="0.75" top="1" bottom="1" header="0.5" footer="0.5"/>
  <pageSetup orientation="portrait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showGridLines="0" workbookViewId="0">
      <selection activeCell="A1" sqref="A1"/>
    </sheetView>
  </sheetViews>
  <sheetFormatPr baseColWidth="10" defaultColWidth="8.83203125" defaultRowHeight="15"/>
  <cols>
    <col width="24" customWidth="1" style="20" min="1" max="1"/>
    <col width="34" customWidth="1" style="20" min="2" max="2"/>
    <col width="46" customWidth="1" style="20" min="3" max="3"/>
    <col width="36" customWidth="1" style="20" min="4" max="4"/>
  </cols>
  <sheetData>
    <row r="1" ht="30" customHeight="1" s="20">
      <c r="A1" s="19" t="inlineStr">
        <is>
          <t>Formula Reference Card · BUS123 MATH-M01</t>
        </is>
      </c>
    </row>
    <row r="2" ht="24" customHeight="1" s="20">
      <c r="A2" s="26" t="inlineStr">
        <is>
          <t>Use this as a syntax reminder, then return to the yellow cells.</t>
        </is>
      </c>
    </row>
    <row r="3"/>
    <row r="4" ht="24" customHeight="1" s="20">
      <c r="A4" s="26" t="inlineStr">
        <is>
          <t>ARITHMETIC OPERATIONS</t>
        </is>
      </c>
    </row>
    <row r="5" ht="28" customHeight="1" s="20">
      <c r="A5" s="2" t="inlineStr">
        <is>
          <t>Concept</t>
        </is>
      </c>
      <c r="B5" s="2" t="inlineStr">
        <is>
          <t>Excel Syntax</t>
        </is>
      </c>
      <c r="C5" s="2" t="inlineStr">
        <is>
          <t>Use It For</t>
        </is>
      </c>
      <c r="D5" s="2" t="inlineStr">
        <is>
          <t>Watch Out For</t>
        </is>
      </c>
    </row>
    <row r="6" ht="34" customHeight="1" s="20">
      <c r="A6" s="25" t="inlineStr">
        <is>
          <t>Addition range</t>
        </is>
      </c>
      <c r="B6" s="13" t="inlineStr">
        <is>
          <t>'=SUM(B2:B10)</t>
        </is>
      </c>
      <c r="C6" s="25" t="inlineStr">
        <is>
          <t>Adds a range</t>
        </is>
      </c>
      <c r="D6" s="25" t="inlineStr">
        <is>
          <t>Do not type every number if a range exists</t>
        </is>
      </c>
    </row>
    <row r="7" ht="34" customHeight="1" s="20">
      <c r="A7" s="22" t="inlineStr">
        <is>
          <t>Subtraction</t>
        </is>
      </c>
      <c r="B7" s="14" t="inlineStr">
        <is>
          <t>'=B5-C5</t>
        </is>
      </c>
      <c r="C7" s="22" t="inlineStr">
        <is>
          <t>Difference between two cells</t>
        </is>
      </c>
      <c r="D7" s="22" t="inlineStr">
        <is>
          <t>Check units</t>
        </is>
      </c>
    </row>
    <row r="8" ht="34" customHeight="1" s="20">
      <c r="A8" s="25" t="inlineStr">
        <is>
          <t>Multiplication</t>
        </is>
      </c>
      <c r="B8" s="13" t="inlineStr">
        <is>
          <t>'=B3*C3</t>
        </is>
      </c>
      <c r="C8" s="25" t="inlineStr">
        <is>
          <t>Quantity times fee/rate</t>
        </is>
      </c>
      <c r="D8" s="25" t="inlineStr">
        <is>
          <t>Check time period</t>
        </is>
      </c>
    </row>
    <row r="9" ht="34" customHeight="1" s="20">
      <c r="A9" s="22" t="inlineStr">
        <is>
          <t>Division</t>
        </is>
      </c>
      <c r="B9" s="14" t="inlineStr">
        <is>
          <t>'=B7/C7</t>
        </is>
      </c>
      <c r="C9" s="22" t="inlineStr">
        <is>
          <t>Total divided by count</t>
        </is>
      </c>
      <c r="D9" s="22" t="inlineStr">
        <is>
          <t>Denominator cannot be zero</t>
        </is>
      </c>
    </row>
    <row r="10"/>
    <row r="11" ht="24" customHeight="1" s="20">
      <c r="A11" s="27" t="inlineStr">
        <is>
          <t>FRACTIONS &amp; RATIOS</t>
        </is>
      </c>
    </row>
    <row r="12" ht="28" customHeight="1" s="20">
      <c r="A12" s="2" t="inlineStr">
        <is>
          <t>Concept</t>
        </is>
      </c>
      <c r="B12" s="2" t="inlineStr">
        <is>
          <t>Excel Syntax</t>
        </is>
      </c>
      <c r="C12" s="2" t="inlineStr">
        <is>
          <t>Use It For</t>
        </is>
      </c>
      <c r="D12" s="2" t="inlineStr">
        <is>
          <t>Watch Out For</t>
        </is>
      </c>
    </row>
    <row r="13" ht="34" customHeight="1" s="20">
      <c r="A13" s="22" t="inlineStr">
        <is>
          <t>Fraction to decimal</t>
        </is>
      </c>
      <c r="B13" s="14" t="inlineStr">
        <is>
          <t>'=B2/C2</t>
        </is>
      </c>
      <c r="C13" s="22" t="inlineStr">
        <is>
          <t>Numerator divided by denominator</t>
        </is>
      </c>
      <c r="D13" s="22" t="inlineStr">
        <is>
          <t>Denominator is the whole</t>
        </is>
      </c>
    </row>
    <row r="14" ht="34" customHeight="1" s="20">
      <c r="A14" s="25" t="inlineStr">
        <is>
          <t>Fraction as percent</t>
        </is>
      </c>
      <c r="B14" s="13" t="inlineStr">
        <is>
          <t>'=B2/C2</t>
        </is>
      </c>
      <c r="C14" s="25" t="inlineStr">
        <is>
          <t>Same formula, formatted as %</t>
        </is>
      </c>
      <c r="D14" s="25" t="inlineStr">
        <is>
          <t>Do not multiply by 100</t>
        </is>
      </c>
    </row>
    <row r="15" ht="34" customHeight="1" s="20">
      <c r="A15" s="22" t="inlineStr">
        <is>
          <t>Part of total</t>
        </is>
      </c>
      <c r="B15" s="14" t="inlineStr">
        <is>
          <t>'=part/whole</t>
        </is>
      </c>
      <c r="C15" s="22" t="inlineStr">
        <is>
          <t>Share of a total</t>
        </is>
      </c>
      <c r="D15" s="22" t="inlineStr">
        <is>
          <t>Use current total</t>
        </is>
      </c>
    </row>
    <row r="16"/>
    <row r="17" ht="24" customHeight="1" s="20">
      <c r="A17" s="33" t="inlineStr">
        <is>
          <t>PERCENT CALCULATIONS</t>
        </is>
      </c>
    </row>
    <row r="18" ht="28" customHeight="1" s="20">
      <c r="A18" s="2" t="inlineStr">
        <is>
          <t>Concept</t>
        </is>
      </c>
      <c r="B18" s="2" t="inlineStr">
        <is>
          <t>Excel Syntax</t>
        </is>
      </c>
      <c r="C18" s="2" t="inlineStr">
        <is>
          <t>Use It For</t>
        </is>
      </c>
      <c r="D18" s="2" t="inlineStr">
        <is>
          <t>Watch Out For</t>
        </is>
      </c>
    </row>
    <row r="19" ht="34" customHeight="1" s="20">
      <c r="A19" s="22" t="inlineStr">
        <is>
          <t>% of a whole</t>
        </is>
      </c>
      <c r="B19" s="14" t="inlineStr">
        <is>
          <t>'=B4*B5</t>
        </is>
      </c>
      <c r="C19" s="22" t="inlineStr">
        <is>
          <t>Whole times rate</t>
        </is>
      </c>
      <c r="D19" s="22" t="inlineStr">
        <is>
          <t>Rate as decimal or percent</t>
        </is>
      </c>
    </row>
    <row r="20" ht="34" customHeight="1" s="20">
      <c r="A20" s="25" t="inlineStr">
        <is>
          <t>Grow by X%</t>
        </is>
      </c>
      <c r="B20" s="13" t="inlineStr">
        <is>
          <t>'=B4*(1+B5)</t>
        </is>
      </c>
      <c r="C20" s="25" t="inlineStr">
        <is>
          <t>Base increased by rate</t>
        </is>
      </c>
      <c r="D20" s="25" t="inlineStr">
        <is>
          <t>Use 1 + rate</t>
        </is>
      </c>
    </row>
    <row r="21" ht="34" customHeight="1" s="20">
      <c r="A21" s="22" t="inlineStr">
        <is>
          <t>% change</t>
        </is>
      </c>
      <c r="B21" s="14" t="inlineStr">
        <is>
          <t>'=(new-old)/old</t>
        </is>
      </c>
      <c r="C21" s="22" t="inlineStr">
        <is>
          <t>Change over time</t>
        </is>
      </c>
      <c r="D21" s="22" t="inlineStr">
        <is>
          <t>Old value is the denominator</t>
        </is>
      </c>
    </row>
    <row r="22" ht="34" customHeight="1" s="20">
      <c r="A22" s="25" t="inlineStr">
        <is>
          <t>Ratio as %</t>
        </is>
      </c>
      <c r="B22" s="13" t="inlineStr">
        <is>
          <t>'=part/whole</t>
        </is>
      </c>
      <c r="C22" s="25" t="inlineStr">
        <is>
          <t>Share at one point in time</t>
        </is>
      </c>
      <c r="D22" s="25" t="inlineStr">
        <is>
          <t>Different from percent change</t>
        </is>
      </c>
    </row>
    <row r="23"/>
    <row r="24" ht="24" customHeight="1" s="20">
      <c r="A24" s="34" t="inlineStr">
        <is>
          <t>COMMON MISTAKES</t>
        </is>
      </c>
    </row>
    <row r="25" ht="28" customHeight="1" s="20">
      <c r="A25" s="2" t="inlineStr">
        <is>
          <t>Concept</t>
        </is>
      </c>
      <c r="B25" s="2" t="inlineStr">
        <is>
          <t>Excel Syntax</t>
        </is>
      </c>
      <c r="C25" s="2" t="inlineStr">
        <is>
          <t>Use It For</t>
        </is>
      </c>
      <c r="D25" s="2" t="inlineStr">
        <is>
          <t>Watch Out For</t>
        </is>
      </c>
    </row>
    <row r="26" ht="34" customHeight="1" s="20">
      <c r="A26" s="25" t="inlineStr">
        <is>
          <t>Unit mismatch</t>
        </is>
      </c>
      <c r="B26" s="13" t="inlineStr">
        <is>
          <t>Label units in headers</t>
        </is>
      </c>
      <c r="C26" s="25" t="inlineStr">
        <is>
          <t>Quarterly vs annual, dollars vs cents</t>
        </is>
      </c>
      <c r="D26" s="25" t="inlineStr">
        <is>
          <t>Excel will not warn you</t>
        </is>
      </c>
    </row>
    <row r="27" ht="34" customHeight="1" s="20">
      <c r="A27" s="22" t="inlineStr">
        <is>
          <t>Wrong base</t>
        </is>
      </c>
      <c r="B27" s="14" t="inlineStr">
        <is>
          <t>'=(new-old)/old</t>
        </is>
      </c>
      <c r="C27" s="22" t="inlineStr">
        <is>
          <t>Base is older number</t>
        </is>
      </c>
      <c r="D27" s="22" t="inlineStr">
        <is>
          <t>Do not divide by new value</t>
        </is>
      </c>
    </row>
    <row r="28" ht="34" customHeight="1" s="20">
      <c r="A28" s="25" t="inlineStr">
        <is>
          <t>Hardcoded values</t>
        </is>
      </c>
      <c r="B28" s="13" t="inlineStr">
        <is>
          <t>'=B2*B3</t>
        </is>
      </c>
      <c r="C28" s="25" t="inlineStr">
        <is>
          <t>Reference cells so formulas update</t>
        </is>
      </c>
      <c r="D28" s="25" t="inlineStr">
        <is>
          <t>Avoid =57*4200 when cells exist</t>
        </is>
      </c>
    </row>
  </sheetData>
  <mergeCells count="6">
    <mergeCell ref="A1:D1"/>
    <mergeCell ref="A17:D17"/>
    <mergeCell ref="A4:D4"/>
    <mergeCell ref="A24:D24"/>
    <mergeCell ref="A2:D2"/>
    <mergeCell ref="A11:D11"/>
  </mergeCells>
  <pageMargins left="0.75" right="0.75" top="1" bottom="1" header="0.5" footer="0.5"/>
  <pageSetup orientation="portrait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2026-06-15T19:58:15Z</dcterms:created>
  <dcterms:modified xmlns:dcterms="http://purl.org/dc/terms/" xmlns:xsi="http://www.w3.org/2001/XMLSchema-instance" xsi:type="dcterms:W3CDTF">2026-06-15T21:17:05Z</dcterms:modified>
  <cp:lastModifiedBy>Bethany Evitts</cp:lastModifiedBy>
</cp:coreProperties>
</file>