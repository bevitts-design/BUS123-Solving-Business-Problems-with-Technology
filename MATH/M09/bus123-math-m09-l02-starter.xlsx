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0d21818fae4e9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8e17dd49d95e494b"/>
    <x:sheet xmlns:r="http://schemas.openxmlformats.org/officeDocument/2006/relationships" name="Live You Try It" sheetId="2" r:id="R487bc27381684e32"/>
    <x:sheet xmlns:r="http://schemas.openxmlformats.org/officeDocument/2006/relationships" name="Class Challenge" sheetId="3" r:id="R14d9bd77461b4ac1"/>
    <x:sheet xmlns:r="http://schemas.openxmlformats.org/officeDocument/2006/relationships" name="FormulaReferenceCard" sheetId="4" r:id="R970a89dd1add46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$#,##0.00"/>
    <x:numFmt numFmtId="200" formatCode="@"/>
  </x:numFmts>
  <x:fonts count="10">
    <x:font>
      <x:sz val="11"/>
      <x:color theme="1"/>
      <x:name val="Calibri"/>
    </x:font>
    <x:font>
      <x:b/>
      <x:sz val="16"/>
      <x:color rgb="FFFFFFFF"/>
    </x:font>
    <x:font>
      <x:sz val="10"/>
      <x:color rgb="FF4A5567"/>
    </x:font>
    <x:font>
      <x:b/>
      <x:color rgb="FFFFFFFF"/>
    </x:font>
    <x:font>
      <x:b/>
      <x:sz val="16"/>
      <x:color rgb="FFFFFFFF"/>
      <x:name val="DM Sans"/>
    </x:font>
    <x:font>
      <x:sz val="11"/>
      <x:color theme="1"/>
      <x:name val="DM Sans"/>
    </x:font>
    <x:font>
      <x:sz val="10"/>
      <x:color rgb="FF4A5567"/>
      <x:name val="DM Sans"/>
    </x:font>
    <x:font>
      <x:b/>
      <x:color rgb="FFFFFFFF"/>
      <x:name val="DM Sans"/>
    </x:font>
    <x:font>
      <x:sz val="10"/>
      <x:color rgb="FF355773"/>
      <x:name val="Courier New"/>
    </x:font>
    <x:font>
      <x:sz val="10"/>
      <x:color rgb="FF355773"/>
      <x:name val="DM Sans"/>
    </x:font>
  </x:fonts>
  <x:fills count="10">
    <x:fill>
      <x:patternFill patternType="none"/>
    </x:fill>
    <x:fill>
      <x:patternFill patternType="gray125"/>
    </x:fill>
    <x:fill>
      <x:patternFill patternType="solid">
        <x:fgColor rgb="FF0E1116"/>
      </x:patternFill>
    </x:fill>
    <x:fill>
      <x:patternFill patternType="solid">
        <x:fgColor rgb="FFF2EEE5"/>
      </x:patternFill>
    </x:fill>
    <x:fill>
      <x:patternFill patternType="solid">
        <x:fgColor rgb="FF4A7C5E"/>
      </x:patternFill>
    </x:fill>
    <x:fill>
      <x:patternFill patternType="solid">
        <x:fgColor rgb="FFB8843D"/>
      </x:patternFill>
    </x:fill>
    <x:fill>
      <x:patternFill patternType="solid">
        <x:fgColor rgb="FF9C4A2B"/>
      </x:patternFill>
    </x:fill>
    <x:fill>
      <x:patternFill patternType="solid">
        <x:fgColor rgb="FFFFD966"/>
      </x:patternFill>
    </x:fill>
    <x:fill>
      <x:patternFill patternType="solid">
        <x:fgColor rgb="FFDDEBF7"/>
      </x:patternFill>
    </x:fill>
    <x:fill>
      <x:patternFill patternType="solid">
        <x:fgColor rgb="FFEAF3EC"/>
      </x:patternFill>
    </x:fill>
  </x:fills>
  <x:borders count="4">
    <x:border/>
    <x:border>
      <x:bottom style="thin">
        <x:color rgb="FFD9E2D0"/>
      </x:bottom>
    </x:border>
    <x:border>
      <x:bottom style="thin">
        <x:color rgb="FFD9E2D0"/>
      </x:bottom>
    </x:border>
    <x:border>
      <x:bottom style="thin">
        <x:color rgb="FFD9E2D0"/>
      </x:bottom>
    </x:border>
  </x:borders>
  <x:cellStyleXfs count="1">
    <x:xf numFmtId="0" fontId="0" fillId="0" borderId="0"/>
  </x:cellStyleXfs>
  <x:cellXfs count="27">
    <x:xf numFmtId="0" fontId="0" fillId="0" borderId="0" xfId="0"/>
    <x:xf numFmtId="0" fontId="4" fillId="2" borderId="1" xfId="0" applyAlignment="1">
      <x:alignment vertical="top" wrapText="1"/>
    </x:xf>
    <x:xf numFmtId="0" fontId="5" fillId="0" borderId="1" xfId="0" applyAlignment="1">
      <x:alignment vertical="top" wrapText="1"/>
    </x:xf>
    <x:xf numFmtId="0" fontId="6" fillId="3" borderId="1" xfId="0" applyAlignment="1">
      <x:alignment vertical="top" wrapText="1"/>
    </x:xf>
    <x:xf numFmtId="0" fontId="7" fillId="4" borderId="1" xfId="0" applyAlignment="1">
      <x:alignment vertical="top" wrapText="1"/>
    </x:xf>
    <x:xf numFmtId="0" fontId="7" fillId="5" borderId="1" xfId="0" applyAlignment="1">
      <x:alignment vertical="top" wrapText="1"/>
    </x:xf>
    <x:xf numFmtId="0" fontId="7" fillId="6" borderId="1" xfId="0" applyAlignment="1">
      <x:alignment vertical="top" wrapText="1"/>
    </x:xf>
    <x:xf numFmtId="0" fontId="7" fillId="2" borderId="1" xfId="0" applyAlignment="1">
      <x:alignment vertical="top" wrapText="1"/>
    </x:xf>
    <x:xf numFmtId="0" fontId="5" fillId="7" borderId="1" xfId="0" applyAlignment="1">
      <x:alignment vertical="top" wrapText="1"/>
    </x:xf>
    <x:xf numFmtId="164" fontId="5" fillId="8" borderId="1" xfId="0" applyAlignment="1">
      <x:alignment vertical="top" wrapText="1"/>
    </x:xf>
    <x:xf numFmtId="0" fontId="6" fillId="0" borderId="1" xfId="0" applyAlignment="1">
      <x:alignment vertical="top" wrapText="1"/>
    </x:xf>
    <x:xf numFmtId="0" fontId="5" fillId="9" borderId="1" xfId="0" applyAlignment="1">
      <x:alignment vertical="top" wrapText="1"/>
    </x:xf>
    <x:xf numFmtId="0" fontId="9" fillId="0" borderId="1" xfId="0" applyAlignment="1">
      <x:alignment vertical="top" wrapText="1"/>
    </x:xf>
    <x:xf numFmtId="10" fontId="5" fillId="8" borderId="1" xfId="0" applyAlignment="1">
      <x:alignment vertical="top" wrapText="1"/>
    </x:xf>
    <x:xf numFmtId="0" fontId="9" fillId="9" borderId="1" xfId="0" applyAlignment="1">
      <x:alignment vertical="top" wrapText="1"/>
    </x:xf>
    <x:xf numFmtId="0" fontId="0" fillId="0" borderId="2" xfId="0"/>
    <x:xf numFmtId="0" fontId="4" fillId="2" borderId="3" xfId="0" applyAlignment="1">
      <x:alignment vertical="top" wrapText="1"/>
    </x:xf>
    <x:xf numFmtId="0" fontId="6" fillId="3" borderId="3" xfId="0" applyAlignment="1">
      <x:alignment vertical="top" wrapText="1"/>
    </x:xf>
    <x:xf numFmtId="0" fontId="7" fillId="4" borderId="3" xfId="0" applyAlignment="1">
      <x:alignment vertical="top" wrapText="1"/>
    </x:xf>
    <x:xf numFmtId="0" fontId="7" fillId="5" borderId="3" xfId="0" applyAlignment="1">
      <x:alignment vertical="top" wrapText="1"/>
    </x:xf>
    <x:xf numFmtId="0" fontId="7" fillId="6" borderId="3" xfId="0" applyAlignment="1">
      <x:alignment vertical="top" wrapText="1"/>
    </x:xf>
    <x:xf numFmtId="0" fontId="5" fillId="0" borderId="1" xfId="0" applyAlignment="1">
      <x:alignment horizontal="center" vertical="center" wrapText="1"/>
    </x:xf>
    <x:xf numFmtId="0" fontId="5" fillId="0" borderId="1" xfId="0" applyAlignment="1">
      <x:alignment horizontal="left" vertical="center" wrapText="1"/>
    </x:xf>
    <x:xf numFmtId="0" fontId="5" fillId="7" borderId="1" xfId="0" applyAlignment="1">
      <x:alignment horizontal="center" vertical="center" wrapText="1"/>
    </x:xf>
    <x:xf numFmtId="164" fontId="5" fillId="8" borderId="1" xfId="0" applyAlignment="1">
      <x:alignment horizontal="center" vertical="center" wrapText="1"/>
    </x:xf>
    <x:xf numFmtId="10" fontId="5" fillId="8" borderId="1" xfId="0" applyAlignment="1">
      <x:alignment horizontal="center" vertical="center" wrapText="1"/>
    </x:xf>
    <x:xf numFmtId="200" fontId="9" fillId="9" borderId="1" xfId="0" applyNumberFormat="1" applyFont="1" applyFill="1" applyBorder="1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dba71c3e4e4604" /><Relationship Type="http://schemas.openxmlformats.org/officeDocument/2006/relationships/theme" Target="/xl/theme/theme1.xml" Id="Rec61aa91a37e4928" /><Relationship Type="http://schemas.openxmlformats.org/officeDocument/2006/relationships/sharedStrings" Target="/xl/sharedStrings.xml" Id="R3b398d3e194746b4" /><Relationship Type="http://schemas.openxmlformats.org/officeDocument/2006/relationships/worksheet" Target="/xl/worksheets/sheet1.xml" Id="R8e17dd49d95e494b" /><Relationship Type="http://schemas.openxmlformats.org/officeDocument/2006/relationships/worksheet" Target="/xl/worksheets/sheet2.xml" Id="R487bc27381684e32" /><Relationship Type="http://schemas.openxmlformats.org/officeDocument/2006/relationships/worksheet" Target="/xl/worksheets/sheet3.xml" Id="R14d9bd77461b4ac1" /><Relationship Type="http://schemas.openxmlformats.org/officeDocument/2006/relationships/worksheet" Target="/xl/worksheets/sheet4.xml" Id="R970a89dd1add46e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customWidth="1"/>
    <x:col min="2" max="2" width="70" customWidth="1"/>
    <x:col min="3" max="3" width="20" customWidth="1"/>
    <x:col min="4" max="4" width="16" customWidth="1"/>
    <x:col min="5" max="5" width="16" customWidth="1"/>
    <x:col min="6" max="6" width="16" customWidth="1"/>
  </x:cols>
  <x:sheetData>
    <x:row r="1" ht="26" customHeight="1">
      <x:c r="A1" s="16" t="inlineStr">
        <x:is>
          <x:t xml:space="preserve">BUS123 - MATH-M09-L02</x:t>
        </x:is>
      </x:c>
      <x:c r="B1" s="15" t="n"/>
      <x:c r="C1" s="15" t="n"/>
      <x:c r="D1" s="15" t="n"/>
      <x:c r="E1" s="15" t="n"/>
      <x:c r="F1" s="15" t="n"/>
    </x:row>
    <x:row r="2" ht="32" customHeight="1">
      <x:c r="A2" s="17" t="inlineStr">
        <x:is>
          <x:t xml:space="preserve">PMT Function and Annuities</x:t>
        </x:is>
      </x:c>
      <x:c r="B2" s="15" t="n"/>
      <x:c r="C2" s="15" t="n"/>
      <x:c r="D2" s="15" t="n"/>
      <x:c r="E2" s="15" t="n"/>
      <x:c r="F2" s="15" t="n"/>
    </x:row>
    <x:row r="3">
      <x:c r="A3" s="2" t="n"/>
      <x:c r="B3" s="2" t="n"/>
      <x:c r="C3" s="2" t="n"/>
      <x:c r="D3" s="2" t="n"/>
      <x:c r="E3" s="2" t="n"/>
      <x:c r="F3" s="2" t="n"/>
    </x:row>
    <x:row r="4" ht="22" customHeight="1">
      <x:c r="A4" s="18" t="inlineStr">
        <x:is>
          <x:t xml:space="preserve">How to Use This Workbook</x:t>
        </x:is>
      </x:c>
      <x:c r="B4" s="15" t="n"/>
      <x:c r="C4" s="15" t="n"/>
      <x:c r="D4" s="15" t="n"/>
      <x:c r="E4" s="15" t="n"/>
      <x:c r="F4" s="15" t="n"/>
    </x:row>
    <x:row r="5">
      <x:c r="A5" s="2" t="inlineStr">
        <x:is>
          <x:t xml:space="preserve">1</x:t>
        </x:is>
      </x:c>
      <x:c r="B5" s="2" t="inlineStr">
        <x:is>
          <x:t xml:space="preserve">Open the slide deck and stop at each Live You Try It pause.</x:t>
        </x:is>
      </x:c>
      <x:c r="C5" s="2" t="n"/>
      <x:c r="D5" s="2" t="n"/>
      <x:c r="E5" s="2" t="n"/>
      <x:c r="F5" s="2" t="n"/>
    </x:row>
    <x:row r="6">
      <x:c r="A6" s="2" t="inlineStr">
        <x:is>
          <x:t xml:space="preserve">2</x:t>
        </x:is>
      </x:c>
      <x:c r="B6" s="2" t="inlineStr">
        <x:is>
          <x:t xml:space="preserve">Enter the slide givens into the yellow input cells first.</x:t>
        </x:is>
      </x:c>
      <x:c r="C6" s="2" t="n"/>
      <x:c r="D6" s="2" t="n"/>
      <x:c r="E6" s="2" t="n"/>
      <x:c r="F6" s="2" t="n"/>
    </x:row>
    <x:row r="7">
      <x:c r="A7" s="2" t="inlineStr">
        <x:is>
          <x:t xml:space="preserve">3</x:t>
        </x:is>
      </x:c>
      <x:c r="B7" s="2" t="inlineStr">
        <x:is>
          <x:t xml:space="preserve">Build formulas by referencing the input cells. Do not type numbers inside formulas.</x:t>
        </x:is>
      </x:c>
      <x:c r="C7" s="2" t="n"/>
      <x:c r="D7" s="2" t="n"/>
      <x:c r="E7" s="2" t="n"/>
      <x:c r="F7" s="2" t="n"/>
    </x:row>
    <x:row r="8">
      <x:c r="A8" s="2" t="inlineStr">
        <x:is>
          <x:t xml:space="preserve">4</x:t>
        </x:is>
      </x:c>
      <x:c r="B8" s="2" t="inlineStr">
        <x:is>
          <x:t xml:space="preserve">Use the feedback cells to revise your Live You Try It work.</x:t>
        </x:is>
      </x:c>
      <x:c r="C8" s="2" t="n"/>
      <x:c r="D8" s="2" t="n"/>
      <x:c r="E8" s="2" t="n"/>
      <x:c r="F8" s="2" t="n"/>
    </x:row>
    <x:row r="9">
      <x:c r="A9" s="2" t="inlineStr">
        <x:is>
          <x:t xml:space="preserve">5</x:t>
        </x:is>
      </x:c>
      <x:c r="B9" s="2" t="inlineStr">
        <x:is>
          <x:t xml:space="preserve">Complete Class Challenge with formulas. The blue answer cells start blank in the public starter.</x:t>
        </x:is>
      </x:c>
      <x:c r="C9" s="2" t="n"/>
      <x:c r="D9" s="2" t="n"/>
      <x:c r="E9" s="2" t="n"/>
      <x:c r="F9" s="2" t="n"/>
    </x:row>
    <x:row r="10">
      <x:c r="A10" s="2" t="n"/>
      <x:c r="B10" s="2" t="n"/>
      <x:c r="C10" s="2" t="n"/>
      <x:c r="D10" s="2" t="n"/>
      <x:c r="E10" s="2" t="n"/>
      <x:c r="F10" s="2" t="n"/>
    </x:row>
    <x:row r="11" ht="22" customHeight="1">
      <x:c r="A11" s="19" t="inlineStr">
        <x:is>
          <x:t xml:space="preserve">Required Public Tabs</x:t>
        </x:is>
      </x:c>
      <x:c r="B11" s="15" t="n"/>
      <x:c r="C11" s="15" t="n"/>
      <x:c r="D11" s="15" t="n"/>
      <x:c r="E11" s="15" t="n"/>
      <x:c r="F11" s="15" t="n"/>
    </x:row>
    <x:row r="12">
      <x:c r="A12" s="2" t="inlineStr">
        <x:is>
          <x:t xml:space="preserve">Live You Try It</x:t>
        </x:is>
      </x:c>
      <x:c r="B12" s="2" t="inlineStr">
        <x:is>
          <x:t xml:space="preserve">Self-graded practice with hints and feedback; not part of the private rubric.</x:t>
        </x:is>
      </x:c>
      <x:c r="C12" s="2" t="n"/>
      <x:c r="D12" s="2" t="n"/>
      <x:c r="E12" s="2" t="n"/>
      <x:c r="F12" s="2" t="n"/>
    </x:row>
    <x:row r="13">
      <x:c r="A13" s="2" t="inlineStr">
        <x:is>
          <x:t xml:space="preserve">Class Challenge</x:t>
        </x:is>
      </x:c>
      <x:c r="B13" s="2" t="inlineStr">
        <x:is>
          <x:t xml:space="preserve">The only graded/next-level activity tab.</x:t>
        </x:is>
      </x:c>
      <x:c r="C13" s="2" t="n"/>
      <x:c r="D13" s="2" t="n"/>
      <x:c r="E13" s="2" t="n"/>
      <x:c r="F13" s="2" t="n"/>
    </x:row>
    <x:row r="14">
      <x:c r="A14" s="2" t="inlineStr">
        <x:is>
          <x:t xml:space="preserve">FormulaReferenceCard</x:t>
        </x:is>
      </x:c>
      <x:c r="B14" s="2" t="inlineStr">
        <x:is>
          <x:t xml:space="preserve">Formula syntax reminders for this lesson.</x:t>
        </x:is>
      </x:c>
      <x:c r="C14" s="2" t="n"/>
      <x:c r="D14" s="2" t="n"/>
      <x:c r="E14" s="2" t="n"/>
      <x:c r="F14" s="2" t="n"/>
    </x:row>
    <x:row r="15">
      <x:c r="A15" s="2" t="n"/>
      <x:c r="B15" s="2" t="n"/>
      <x:c r="C15" s="2" t="n"/>
      <x:c r="D15" s="2" t="n"/>
      <x:c r="E15" s="2" t="n"/>
      <x:c r="F15" s="2" t="n"/>
    </x:row>
    <x:row r="16">
      <x:c r="A16" s="2" t="n"/>
      <x:c r="B16" s="2" t="n"/>
      <x:c r="C16" s="2" t="n"/>
      <x:c r="D16" s="2" t="n"/>
      <x:c r="E16" s="2" t="n"/>
      <x:c r="F16" s="2" t="n"/>
    </x:row>
    <x:row r="17" ht="22" customHeight="1">
      <x:c r="A17" s="20" t="inlineStr">
        <x:is>
          <x:t xml:space="preserve">I Can</x:t>
        </x:is>
      </x:c>
      <x:c r="B17" s="15" t="n"/>
      <x:c r="C17" s="15" t="n"/>
      <x:c r="D17" s="15" t="n"/>
      <x:c r="E17" s="15" t="n"/>
      <x:c r="F17" s="15" t="n"/>
    </x:row>
    <x:row r="18">
      <x:c r="A18" s="2" t="n">
        <x:v>1</x:v>
      </x:c>
      <x:c r="B18" s="2" t="inlineStr">
        <x:is>
          <x:t xml:space="preserve">Calculate loan payments with =PMT().</x:t>
        </x:is>
      </x:c>
      <x:c r="C18" s="2" t="n"/>
      <x:c r="D18" s="2" t="n"/>
      <x:c r="E18" s="2" t="n"/>
      <x:c r="F18" s="2" t="n"/>
    </x:row>
    <x:row r="19">
      <x:c r="A19" s="2" t="n">
        <x:v>2</x:v>
      </x:c>
      <x:c r="B19" s="2" t="inlineStr">
        <x:is>
          <x:t xml:space="preserve">Calculate total paid and total interest for a loan.</x:t>
        </x:is>
      </x:c>
      <x:c r="C19" s="2" t="n"/>
      <x:c r="D19" s="2" t="n"/>
      <x:c r="E19" s="2" t="n"/>
      <x:c r="F19" s="2" t="n"/>
    </x:row>
    <x:row r="20">
      <x:c r="A20" s="2" t="n">
        <x:v>3</x:v>
      </x:c>
      <x:c r="B20" s="2" t="inlineStr">
        <x:is>
          <x:t xml:space="preserve">Project savings balances using =FV() with payments.</x:t>
        </x:is>
      </x:c>
      <x:c r="C20" s="2" t="n"/>
      <x:c r="D20" s="2" t="n"/>
      <x:c r="E20" s="2" t="n"/>
      <x:c r="F20" s="2" t="n"/>
    </x:row>
    <x:row r="21">
      <x:c r="A21" s="2" t="n">
        <x:v>4</x:v>
      </x:c>
      <x:c r="B21" s="2" t="inlineStr">
        <x:is>
          <x:t xml:space="preserve">Value payment streams using =PV() with payments.</x:t>
        </x:is>
      </x:c>
      <x:c r="C21" s="2" t="n"/>
      <x:c r="D21" s="2" t="n"/>
      <x:c r="E21" s="2" t="n"/>
      <x:c r="F21" s="2" t="n"/>
    </x:row>
    <x:row r="22">
      <x:c r="A22" s="2" t="n"/>
      <x:c r="B22" s="2" t="n"/>
      <x:c r="C22" s="2" t="n"/>
      <x:c r="D22" s="2" t="n"/>
      <x:c r="E22" s="2" t="n"/>
      <x:c r="F22" s="2" t="n"/>
    </x:row>
  </x:sheetData>
  <x:mergeCells>
    <x:mergeCell ref="A2:F2"/>
    <x:mergeCell ref="A11:F11"/>
    <x:mergeCell ref="A1:F1"/>
    <x:mergeCell ref="A17:F17"/>
    <x:mergeCell ref="A4:F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3" customWidth="1"/>
    <x:col min="2" max="2" width="10" customWidth="1"/>
    <x:col min="3" max="3" width="38" customWidth="1"/>
    <x:col min="4" max="4" width="14" customWidth="1"/>
    <x:col min="5" max="5" width="14" customWidth="1"/>
    <x:col min="6" max="6" width="14" customWidth="1"/>
    <x:col min="7" max="7" width="14" customWidth="1"/>
    <x:col min="8" max="8" width="20" customWidth="1"/>
    <x:col min="9" max="9" width="34" customWidth="1"/>
    <x:col min="10" max="10" width="28" customWidth="1"/>
  </x:cols>
  <x:sheetData>
    <x:row r="1" ht="26" customHeight="1">
      <x:c r="A1" s="16" t="inlineStr">
        <x:is>
          <x:t xml:space="preserve">MATH-M09-L02 - Live You Try It</x:t>
        </x:is>
      </x:c>
      <x:c r="B1" s="15" t="n"/>
      <x:c r="C1" s="15" t="n"/>
      <x:c r="D1" s="15" t="n"/>
      <x:c r="E1" s="15" t="n"/>
      <x:c r="F1" s="15" t="n"/>
      <x:c r="G1" s="15" t="n"/>
      <x:c r="H1" s="15" t="n"/>
      <x:c r="I1" s="15" t="n"/>
      <x:c r="J1" s="15" t="n"/>
    </x:row>
    <x:row r="2" ht="32" customHeight="1">
      <x:c r="A2" s="17" t="inlineStr">
        <x:is>
          <x:t xml:space="preserve">Self-graded Excel pauses. Enter slide givens into yellow cells, then build formulas with cell references.</x:t>
        </x:is>
      </x:c>
      <x:c r="B2" s="15" t="n"/>
      <x:c r="C2" s="15" t="n"/>
      <x:c r="D2" s="15" t="n"/>
      <x:c r="E2" s="15" t="n"/>
      <x:c r="F2" s="15" t="n"/>
      <x:c r="G2" s="15" t="n"/>
      <x:c r="H2" s="15" t="n"/>
      <x:c r="I2" s="15" t="n"/>
      <x:c r="J2" s="15" t="n"/>
    </x:row>
    <x:row r="3">
      <x:c r="A3" s="2" t="n"/>
      <x:c r="B3" s="2" t="n"/>
      <x:c r="C3" s="2" t="n"/>
      <x:c r="D3" s="2" t="n"/>
      <x:c r="E3" s="2" t="n"/>
      <x:c r="F3" s="2" t="n"/>
      <x:c r="G3" s="2" t="n"/>
      <x:c r="H3" s="2" t="n"/>
      <x:c r="I3" s="2" t="n"/>
      <x:c r="J3" s="2" t="n"/>
    </x:row>
    <x:row r="4" ht="22" customHeight="1">
      <x:c r="A4" s="18" t="inlineStr">
        <x:is>
          <x:t xml:space="preserve">Practice Rows</x:t>
        </x:is>
      </x:c>
      <x:c r="B4" s="15" t="n"/>
      <x:c r="C4" s="15" t="n"/>
      <x:c r="D4" s="15" t="n"/>
      <x:c r="E4" s="15" t="n"/>
      <x:c r="F4" s="15" t="n"/>
      <x:c r="G4" s="15" t="n"/>
      <x:c r="H4" s="15" t="n"/>
      <x:c r="I4" s="15" t="n"/>
      <x:c r="J4" s="15" t="n"/>
    </x:row>
    <x:row r="5" ht="32" customHeight="1">
      <x:c r="A5" s="7" t="inlineStr">
        <x:is>
          <x:t xml:space="preserve">Pause</x:t>
        </x:is>
      </x:c>
      <x:c r="B5" s="7" t="inlineStr">
        <x:is>
          <x:t xml:space="preserve">Slide</x:t>
        </x:is>
      </x:c>
      <x:c r="C5" s="7" t="inlineStr">
        <x:is>
          <x:t xml:space="preserve">Build This</x:t>
        </x:is>
      </x:c>
      <x:c r="D5" s="7" t="inlineStr">
        <x:is>
          <x:t xml:space="preserve">Input 1</x:t>
        </x:is>
      </x:c>
      <x:c r="E5" s="7" t="inlineStr">
        <x:is>
          <x:t xml:space="preserve">Input 2</x:t>
        </x:is>
      </x:c>
      <x:c r="F5" s="7" t="inlineStr">
        <x:is>
          <x:t xml:space="preserve">Input 3</x:t>
        </x:is>
      </x:c>
      <x:c r="G5" s="7" t="inlineStr">
        <x:is>
          <x:t xml:space="preserve">Input 4</x:t>
        </x:is>
      </x:c>
      <x:c r="H5" s="7" t="inlineStr">
        <x:is>
          <x:t xml:space="preserve">Your Formula / Answer</x:t>
        </x:is>
      </x:c>
      <x:c r="I5" s="7" t="inlineStr">
        <x:is>
          <x:t xml:space="preserve">Formula Hint</x:t>
        </x:is>
      </x:c>
      <x:c r="J5" s="7" t="inlineStr">
        <x:is>
          <x:t xml:space="preserve">Feedback</x:t>
        </x:is>
      </x:c>
    </x:row>
    <x:row r="6">
      <x:c r="A6" s="2" t="inlineStr">
        <x:is>
          <x:t xml:space="preserve">Mortgage</x:t>
        </x:is>
      </x:c>
      <x:c r="B6" s="2" t="inlineStr">
        <x:is>
          <x:t xml:space="preserve">07</x:t>
        </x:is>
      </x:c>
      <x:c r="C6" s="2" t="inlineStr">
        <x:is>
          <x:t xml:space="preserve">Calculate monthly payment for the worked mortgage.</x:t>
        </x:is>
      </x:c>
      <x:c r="D6" s="8" t="n"/>
      <x:c r="E6" s="8" t="n"/>
      <x:c r="F6" s="8" t="n"/>
      <x:c r="G6" s="8" t="n"/>
      <x:c r="H6" s="9" t="n"/>
      <x:c r="I6" s="10" t="inlineStr">
        <x:is>
          <x:t xml:space="preserve">Use monthly rate and total months.</x:t>
        </x:is>
      </x:c>
      <x:c r="J6" s="11" t="str">
        <x:f>IF(H6="","Enter the PMT formula.",IF(ABS(H6+2022.62)&lt;0.02,"Correct - payment is about $2,022.62 outflow.","Check monthly rate, total months, and signs."))</x:f>
        <x:v>Enter the PMT formula.</x:v>
      </x:c>
    </x:row>
    <x:row r="7">
      <x:c r="A7" s="2" t="inlineStr">
        <x:is>
          <x:t xml:space="preserve">Mortgage</x:t>
        </x:is>
      </x:c>
      <x:c r="B7" s="2" t="inlineStr">
        <x:is>
          <x:t xml:space="preserve">07</x:t>
        </x:is>
      </x:c>
      <x:c r="C7" s="2" t="inlineStr">
        <x:is>
          <x:t xml:space="preserve">Calculate total paid over the loan.</x:t>
        </x:is>
      </x:c>
      <x:c r="D7" s="8" t="n"/>
      <x:c r="E7" s="8" t="n"/>
      <x:c r="F7" s="8" t="n"/>
      <x:c r="G7" s="8" t="n"/>
      <x:c r="H7" s="9" t="n"/>
      <x:c r="I7" s="10" t="inlineStr">
        <x:is>
          <x:t xml:space="preserve">ABS(monthly PMT) times total payments.</x:t>
        </x:is>
      </x:c>
      <x:c r="J7" s="11" t="str">
        <x:f>IF(H7="","Enter the total-paid formula.",IF(ABS(H7-728142.36)&lt;2,"Correct - total paid is about $728,142.","Use the payment from row 6 and total months."))</x:f>
        <x:v>Enter the total-paid formula.</x:v>
      </x:c>
    </x:row>
    <x:row r="8">
      <x:c r="A8" s="2" t="inlineStr">
        <x:is>
          <x:t xml:space="preserve">Mortgage</x:t>
        </x:is>
      </x:c>
      <x:c r="B8" s="2" t="inlineStr">
        <x:is>
          <x:t xml:space="preserve">07</x:t>
        </x:is>
      </x:c>
      <x:c r="C8" s="2" t="inlineStr">
        <x:is>
          <x:t xml:space="preserve">Calculate total interest.</x:t>
        </x:is>
      </x:c>
      <x:c r="D8" s="8" t="n"/>
      <x:c r="E8" s="8" t="n"/>
      <x:c r="F8" s="8" t="n"/>
      <x:c r="G8" s="8" t="n"/>
      <x:c r="H8" s="9" t="n"/>
      <x:c r="I8" s="10" t="inlineStr">
        <x:is>
          <x:t xml:space="preserve">Total paid minus original loan.</x:t>
        </x:is>
      </x:c>
      <x:c r="J8" s="11" t="str">
        <x:f>IF(H8="","Enter the total-interest formula.",IF(ABS(H8-408142.36)&lt;2,"Correct - interest is about $408,142.","Subtract the original loan amount."))</x:f>
        <x:v>Enter the total-interest formula.</x:v>
      </x:c>
    </x:row>
    <x:row r="9">
      <x:c r="A9" s="2" t="inlineStr">
        <x:is>
          <x:t xml:space="preserve">Savings</x:t>
        </x:is>
      </x:c>
      <x:c r="B9" s="2" t="inlineStr">
        <x:is>
          <x:t xml:space="preserve">08</x:t>
        </x:is>
      </x:c>
      <x:c r="C9" s="2" t="inlineStr">
        <x:is>
          <x:t xml:space="preserve">Project retirement value from monthly deposits.</x:t>
        </x:is>
      </x:c>
      <x:c r="D9" s="8" t="n"/>
      <x:c r="E9" s="8" t="n"/>
      <x:c r="F9" s="8" t="n"/>
      <x:c r="G9" s="8" t="n"/>
      <x:c r="H9" s="9" t="n"/>
      <x:c r="I9" s="10" t="inlineStr">
        <x:is>
          <x:t xml:space="preserve">Monthly contribution is negative in =FV().</x:t>
        </x:is>
      </x:c>
      <x:c r="J9" s="11" t="str">
        <x:f>IF(H9="","Enter the FV formula.",IF(ABS(H9-609985.50)&lt;0.5,"Correct - future value matches the formula result.","Check pmt sign and monthly timing."))</x:f>
        <x:v>Enter the FV formula.</x:v>
      </x:c>
    </x:row>
    <x:row r="10">
      <x:c r="A10" s="2" t="inlineStr">
        <x:is>
          <x:t xml:space="preserve">Savings</x:t>
        </x:is>
      </x:c>
      <x:c r="B10" s="2" t="inlineStr">
        <x:is>
          <x:t xml:space="preserve">08</x:t>
        </x:is>
      </x:c>
      <x:c r="C10" s="2" t="inlineStr">
        <x:is>
          <x:t xml:space="preserve">Calculate total contributed.</x:t>
        </x:is>
      </x:c>
      <x:c r="D10" s="8" t="n"/>
      <x:c r="E10" s="8" t="n"/>
      <x:c r="F10" s="8" t="n"/>
      <x:c r="G10" s="8" t="n"/>
      <x:c r="H10" s="9" t="n"/>
      <x:c r="I10" s="10" t="inlineStr">
        <x:is>
          <x:t xml:space="preserve">Monthly deposit times total months.</x:t>
        </x:is>
      </x:c>
      <x:c r="J10" s="11" t="str">
        <x:f>IF(H10="","Enter total contributed.",IF(ABS(H10-180000)&lt;0.01,"Correct - total contributed is $180,000.","Use contribution x years x 12."))</x:f>
        <x:v>Enter total contributed.</x:v>
      </x:c>
    </x:row>
    <x:row r="11">
      <x:c r="A11" s="2" t="inlineStr">
        <x:is>
          <x:t xml:space="preserve">Payment Stream</x:t>
        </x:is>
      </x:c>
      <x:c r="B11" s="2" t="inlineStr">
        <x:is>
          <x:t xml:space="preserve">09</x:t>
        </x:is>
      </x:c>
      <x:c r="C11" s="2" t="inlineStr">
        <x:is>
          <x:t xml:space="preserve">Value the $1,500 monthly payment stream.</x:t>
        </x:is>
      </x:c>
      <x:c r="D11" s="8" t="n"/>
      <x:c r="E11" s="8" t="n"/>
      <x:c r="F11" s="8" t="n"/>
      <x:c r="G11" s="8" t="n"/>
      <x:c r="H11" s="9" t="n"/>
      <x:c r="I11" s="10" t="inlineStr">
        <x:is>
          <x:t xml:space="preserve">Payment received is positive; PV result is negative.</x:t>
        </x:is>
      </x:c>
      <x:c r="J11" s="11" t="str">
        <x:f>IF(H11="","Enter the PV formula.",IF(ABS(H11+141422.03)&lt;2,"Correct - PV is about -$141,422.","Check sign and monthly discount rate."))</x:f>
        <x:v>Enter the PV formula.</x:v>
      </x:c>
    </x:row>
    <x:row r="12">
      <x:c r="A12" s="2" t="inlineStr">
        <x:is>
          <x:t xml:space="preserve">Timing</x:t>
        </x:is>
      </x:c>
      <x:c r="B12" s="2" t="inlineStr">
        <x:is>
          <x:t xml:space="preserve">10</x:t>
        </x:is>
      </x:c>
      <x:c r="C12" s="2" t="inlineStr">
        <x:is>
          <x:t xml:space="preserve">Ordinary annuity payment for $25,000 at 6% over 60 months.</x:t>
        </x:is>
      </x:c>
      <x:c r="D12" s="8" t="n"/>
      <x:c r="E12" s="8" t="n"/>
      <x:c r="F12" s="8" t="n"/>
      <x:c r="G12" s="8" t="n"/>
      <x:c r="H12" s="9" t="n"/>
      <x:c r="I12" s="10" t="inlineStr">
        <x:is>
          <x:t xml:space="preserve">type=0 is ordinary annuity.</x:t>
        </x:is>
      </x:c>
      <x:c r="J12" s="11" t="str">
        <x:f>IF(H12="","Enter ordinary annuity PMT.",IF(ABS(H12+483.32)&lt;0.02,"Correct - ordinary payment is about $483.32.","Use type 0 or omit type."))</x:f>
        <x:v>Enter ordinary annuity PMT.</x:v>
      </x:c>
    </x:row>
    <x:row r="13">
      <x:c r="A13" s="2" t="inlineStr">
        <x:is>
          <x:t xml:space="preserve">Timing</x:t>
        </x:is>
      </x:c>
      <x:c r="B13" s="2" t="inlineStr">
        <x:is>
          <x:t xml:space="preserve">10</x:t>
        </x:is>
      </x:c>
      <x:c r="C13" s="2" t="inlineStr">
        <x:is>
          <x:t xml:space="preserve">Annuity due payment for the same loan.</x:t>
        </x:is>
      </x:c>
      <x:c r="D13" s="8" t="n"/>
      <x:c r="E13" s="8" t="n"/>
      <x:c r="F13" s="8" t="n"/>
      <x:c r="G13" s="8" t="n"/>
      <x:c r="H13" s="9" t="n"/>
      <x:c r="I13" s="10" t="inlineStr">
        <x:is>
          <x:t xml:space="preserve">type=1 means beginning of period.</x:t>
        </x:is>
      </x:c>
      <x:c r="J13" s="11" t="str">
        <x:f>IF(H13="","Enter annuity due PMT.",IF(ABS(H13+480.91)&lt;0.02,"Correct - annuity due payment is about $480.91.","Use type=1 for beginning-of-period payment."))</x:f>
        <x:v>Enter annuity due PMT.</x:v>
      </x:c>
    </x:row>
    <x:row r="14">
      <x:c r="A14" s="2" t="n"/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</x:row>
    <x:row r="15">
      <x:c r="A15" s="2" t="inlineStr">
        <x:is>
          <x:t xml:space="preserve">Self-check score</x:t>
        </x:is>
      </x:c>
      <x:c r="B15" s="11" t="str">
        <x:f>COUNTIF(J6:J13,"Correct*")&amp;" of 8 complete"</x:f>
        <x:v>0 of 8 complete</x:v>
      </x:c>
      <x:c r="C15" s="2" t="n"/>
      <x:c r="D15" s="2" t="n"/>
      <x:c r="E15" s="2" t="n"/>
      <x:c r="F15" s="2" t="n"/>
      <x:c r="G15" s="2" t="n"/>
      <x:c r="H15" s="2" t="n"/>
      <x:c r="I15" s="2" t="n"/>
      <x:c r="J15" s="2" t="n"/>
    </x:row>
  </x:sheetData>
  <x:mergeCells>
    <x:mergeCell ref="A1:J1"/>
    <x:mergeCell ref="A4:J4"/>
    <x:mergeCell ref="A2:J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7" customWidth="1"/>
    <x:col min="2" max="2" width="58" customWidth="1"/>
    <x:col min="3" max="3" width="12" customWidth="1"/>
    <x:col min="4" max="4" width="12" customWidth="1"/>
    <x:col min="5" max="5" width="12" customWidth="1"/>
    <x:col min="6" max="6" width="12" customWidth="1"/>
    <x:col min="7" max="7" width="18" customWidth="1"/>
    <x:col min="8" max="8" width="34" customWidth="1"/>
    <x:col min="9" max="9" width="34" hidden="1" customWidth="1"/>
  </x:cols>
  <x:sheetData>
    <x:row r="1" ht="26" customHeight="1">
      <x:c r="A1" s="16" t="inlineStr">
        <x:is>
          <x:t xml:space="preserve">MATH-M09-L02 - Class Challenge</x:t>
        </x:is>
      </x:c>
      <x:c r="B1" s="15" t="n"/>
      <x:c r="C1" s="15" t="n"/>
      <x:c r="D1" s="15" t="n"/>
      <x:c r="E1" s="15" t="n"/>
      <x:c r="F1" s="15" t="n"/>
      <x:c r="G1" s="15" t="n"/>
      <x:c r="H1" s="15" t="n"/>
      <x:c r="I1" s="15" t="n"/>
    </x:row>
    <x:row r="2" ht="42" customHeight="1">
      <x:c r="A2" s="17" t="inlineStr">
        <x:is>
          <x:t xml:space="preserve">Read each scenario, enter the needed inputs into the yellow cells, then put the final answer in the blue cell. The grader checks the final answer; use Excel cash-flow signs where PMT or PV returns an outflow.</x:t>
        </x:is>
      </x:c>
      <x:c r="B2" s="15" t="n"/>
      <x:c r="C2" s="15" t="n"/>
      <x:c r="D2" s="15" t="n"/>
      <x:c r="E2" s="15" t="n"/>
      <x:c r="F2" s="15" t="n"/>
      <x:c r="G2" s="15" t="n"/>
      <x:c r="H2" s="15" t="n"/>
      <x:c r="I2" s="15" t="n"/>
    </x:row>
    <x:row r="3">
      <x:c r="A3" s="2" t="n"/>
      <x:c r="B3" s="2" t="n"/>
      <x:c r="C3" s="2" t="n"/>
      <x:c r="D3" s="2" t="n"/>
      <x:c r="E3" s="2" t="n"/>
      <x:c r="F3" s="2" t="n"/>
      <x:c r="G3" s="2" t="n"/>
      <x:c r="H3" s="2" t="n"/>
      <x:c r="I3" s="2" t="n"/>
    </x:row>
    <x:row r="4" ht="22" customHeight="1">
      <x:c r="A4" s="20" t="inlineStr">
        <x:is>
          <x:t xml:space="preserve">Graded / Next-Level Activity</x:t>
        </x:is>
      </x:c>
      <x:c r="B4" s="15" t="n"/>
      <x:c r="C4" s="15" t="n"/>
      <x:c r="D4" s="15" t="n"/>
      <x:c r="E4" s="15" t="n"/>
      <x:c r="F4" s="15" t="n"/>
      <x:c r="G4" s="15" t="n"/>
      <x:c r="H4" s="15" t="n"/>
      <x:c r="I4" s="15" t="n"/>
    </x:row>
    <x:row r="5" ht="32" customHeight="1">
      <x:c r="A5" s="7" t="inlineStr">
        <x:is>
          <x:t xml:space="preserve">#</x:t>
        </x:is>
      </x:c>
      <x:c r="B5" s="7" t="inlineStr">
        <x:is>
          <x:t xml:space="preserve">Scenario</x:t>
        </x:is>
      </x:c>
      <x:c r="C5" s="7" t="inlineStr">
        <x:is>
          <x:t xml:space="preserve">Input 1</x:t>
        </x:is>
      </x:c>
      <x:c r="D5" s="7" t="inlineStr">
        <x:is>
          <x:t xml:space="preserve">Input 2</x:t>
        </x:is>
      </x:c>
      <x:c r="E5" s="7" t="inlineStr">
        <x:is>
          <x:t xml:space="preserve">Input 3</x:t>
        </x:is>
      </x:c>
      <x:c r="F5" s="7" t="inlineStr">
        <x:is>
          <x:t xml:space="preserve">Input 4</x:t>
        </x:is>
      </x:c>
      <x:c r="G5" s="7" t="inlineStr">
        <x:is>
          <x:t xml:space="preserve">Formula / Answer</x:t>
        </x:is>
      </x:c>
      <x:c r="H5" s="7" t="inlineStr">
        <x:is>
          <x:t xml:space="preserve">Hint</x:t>
        </x:is>
      </x:c>
      <x:c r="I5" s="7" t="str">
        <x:v>Instructor use - leave blank</x:v>
      </x:c>
    </x:row>
    <x:row r="6" ht="48" customHeight="1">
      <x:c r="A6" s="21" t="n">
        <x:v>1</x:v>
      </x:c>
      <x:c r="B6" s="22" t="inlineStr">
        <x:is>
          <x:t xml:space="preserve">Find the monthly PMT on a $320,000 mortgage at 6.5% annual interest over 30 years with 12 payments per year; report Excel PMT as a cash outflow.</x:t>
        </x:is>
      </x:c>
      <x:c r="C6" s="23" t="n"/>
      <x:c r="D6" s="23" t="n"/>
      <x:c r="E6" s="23" t="n"/>
      <x:c r="F6" s="23" t="n"/>
      <x:c r="G6" s="24" t="n"/>
      <x:c r="H6" s="10" t="inlineStr">
        <x:is>
          <x:t xml:space="preserve">Monthly rate and total months.</x:t>
        </x:is>
      </x:c>
      <x:c r="I6" s="12" t="n"/>
    </x:row>
    <x:row r="7" ht="48" customHeight="1">
      <x:c r="A7" s="21" t="n">
        <x:v>2</x:v>
      </x:c>
      <x:c r="B7" s="22" t="inlineStr">
        <x:is>
          <x:t xml:space="preserve">Find the total paid over a $320,000 mortgage at 6.5% annual interest over 30 years with 12 payments per year.</x:t>
        </x:is>
      </x:c>
      <x:c r="C7" s="23" t="n"/>
      <x:c r="D7" s="23" t="n"/>
      <x:c r="E7" s="23" t="n"/>
      <x:c r="F7" s="23" t="n"/>
      <x:c r="G7" s="24" t="n"/>
      <x:c r="H7" s="10" t="inlineStr">
        <x:is>
          <x:t xml:space="preserve">ABS(payment) x total months.</x:t>
        </x:is>
      </x:c>
      <x:c r="I7" s="12" t="n"/>
    </x:row>
    <x:row r="8" ht="48" customHeight="1">
      <x:c r="A8" s="21" t="n">
        <x:v>3</x:v>
      </x:c>
      <x:c r="B8" s="22" t="inlineStr">
        <x:is>
          <x:t xml:space="preserve">Find total interest on a $320,000 mortgage at 6.5% annual interest over 30 years with 12 payments per year.</x:t>
        </x:is>
      </x:c>
      <x:c r="C8" s="23" t="n"/>
      <x:c r="D8" s="23" t="n"/>
      <x:c r="E8" s="23" t="n"/>
      <x:c r="F8" s="23" t="n"/>
      <x:c r="G8" s="24" t="n"/>
      <x:c r="H8" s="10" t="inlineStr">
        <x:is>
          <x:t xml:space="preserve">Total paid minus original loan.</x:t>
        </x:is>
      </x:c>
      <x:c r="I8" s="12" t="n"/>
    </x:row>
    <x:row r="9" ht="34" customHeight="1">
      <x:c r="A9" s="21" t="n">
        <x:v>4</x:v>
      </x:c>
      <x:c r="B9" s="22" t="inlineStr">
        <x:is>
          <x:t xml:space="preserve">Find total interest as a percent of the original $320,000 mortgage at 6.5% over 30 years.</x:t>
        </x:is>
      </x:c>
      <x:c r="C9" s="23" t="n"/>
      <x:c r="D9" s="23" t="n"/>
      <x:c r="E9" s="23" t="n"/>
      <x:c r="F9" s="23" t="n"/>
      <x:c r="G9" s="25" t="n"/>
      <x:c r="H9" s="10" t="inlineStr">
        <x:is>
          <x:t xml:space="preserve">Total interest divided by original principal.</x:t>
        </x:is>
      </x:c>
      <x:c r="I9" s="12" t="n"/>
    </x:row>
    <x:row r="10" ht="62" customHeight="1">
      <x:c r="A10" s="21" t="n">
        <x:v>5</x:v>
      </x:c>
      <x:c r="B10" s="22" t="inlineStr">
        <x:is>
          <x:t xml:space="preserve">Find the monthly PMT on the same $320,000 mortgage at 6.5% annual interest over 10 years with 12 payments per year; report Excel PMT as a cash outflow.</x:t>
        </x:is>
      </x:c>
      <x:c r="C10" s="23" t="n"/>
      <x:c r="D10" s="23" t="n"/>
      <x:c r="E10" s="23" t="n"/>
      <x:c r="F10" s="23" t="n"/>
      <x:c r="G10" s="24" t="n"/>
      <x:c r="H10" s="10" t="inlineStr">
        <x:is>
          <x:t xml:space="preserve">Use the 10-year row from the total-interest table.</x:t>
        </x:is>
      </x:c>
      <x:c r="I10" s="12" t="n"/>
    </x:row>
    <x:row r="11" ht="48" customHeight="1">
      <x:c r="A11" s="21" t="n">
        <x:v>6</x:v>
      </x:c>
      <x:c r="B11" s="22" t="inlineStr">
        <x:is>
          <x:t xml:space="preserve">Find the interest saved by choosing the 10-year $320,000 mortgage at 6.5% instead of the 30-year mortgage at 6.5%.</x:t>
        </x:is>
      </x:c>
      <x:c r="C11" s="23" t="n"/>
      <x:c r="D11" s="23" t="n"/>
      <x:c r="E11" s="23" t="n"/>
      <x:c r="F11" s="23" t="n"/>
      <x:c r="G11" s="24" t="n"/>
      <x:c r="H11" s="10" t="inlineStr">
        <x:is>
          <x:t xml:space="preserve">Thirty-year interest minus ten-year interest.</x:t>
        </x:is>
      </x:c>
      <x:c r="I11" s="12" t="n"/>
    </x:row>
    <x:row r="12" ht="62" customHeight="1">
      <x:c r="A12" s="21" t="n">
        <x:v>7</x:v>
      </x:c>
      <x:c r="B12" s="22" t="inlineStr">
        <x:is>
          <x:t xml:space="preserve">Find the monthly car payment for a $25,000 loan at 4.9% annual interest over 5 years with 12 payments per year; report Excel PMT as a cash outflow.</x:t>
        </x:is>
      </x:c>
      <x:c r="C12" s="23" t="n"/>
      <x:c r="D12" s="23" t="n"/>
      <x:c r="E12" s="23" t="n"/>
      <x:c r="F12" s="23" t="n"/>
      <x:c r="G12" s="24" t="n"/>
      <x:c r="H12" s="10" t="inlineStr">
        <x:is>
          <x:t xml:space="preserve">Use PMT with monthly timing.</x:t>
        </x:is>
      </x:c>
      <x:c r="I12" s="12" t="n"/>
    </x:row>
    <x:row r="13" ht="34" customHeight="1">
      <x:c r="A13" s="21" t="n">
        <x:v>8</x:v>
      </x:c>
      <x:c r="B13" s="22" t="inlineStr">
        <x:is>
          <x:t xml:space="preserve">Find the future value of saving $200 per month at 6% annual return for 5 years with monthly deposits.</x:t>
        </x:is>
      </x:c>
      <x:c r="C13" s="23" t="n"/>
      <x:c r="D13" s="23" t="n"/>
      <x:c r="E13" s="23" t="n"/>
      <x:c r="F13" s="23" t="n"/>
      <x:c r="G13" s="24" t="n"/>
      <x:c r="H13" s="10" t="inlineStr">
        <x:is>
          <x:t xml:space="preserve">Monthly deposit is a negative pmt.</x:t>
        </x:is>
      </x:c>
      <x:c r="I13" s="12" t="n"/>
    </x:row>
    <x:row r="14" ht="48" customHeight="1">
      <x:c r="A14" s="21" t="n">
        <x:v>9</x:v>
      </x:c>
      <x:c r="B14" s="22" t="inlineStr">
        <x:is>
          <x:t xml:space="preserve">Find the total monthly outflow for the $25,000 car loan at 4.9% over 5 years plus a $200 monthly savings goal.</x:t>
        </x:is>
      </x:c>
      <x:c r="C14" s="23" t="n"/>
      <x:c r="D14" s="21" t="n"/>
      <x:c r="E14" s="21" t="n"/>
      <x:c r="F14" s="21" t="n"/>
      <x:c r="G14" s="24" t="n"/>
      <x:c r="H14" s="10" t="inlineStr">
        <x:is>
          <x:t xml:space="preserve">Car payment as positive cash out plus savings deposit.</x:t>
        </x:is>
      </x:c>
      <x:c r="I14" s="12" t="n"/>
    </x:row>
    <x:row r="15" ht="48" customHeight="1">
      <x:c r="A15" s="21" t="n">
        <x:v>10</x:v>
      </x:c>
      <x:c r="B15" s="22" t="inlineStr">
        <x:is>
          <x:t xml:space="preserve">Find the monthly deposit required to reach $500,000 in 25 years at 7% annual return with monthly deposits; report Excel PMT as a cash outflow.</x:t>
        </x:is>
      </x:c>
      <x:c r="C15" s="23" t="n"/>
      <x:c r="D15" s="23" t="n"/>
      <x:c r="E15" s="23" t="n"/>
      <x:c r="F15" s="23" t="n"/>
      <x:c r="G15" s="24" t="n"/>
      <x:c r="H15" s="10" t="inlineStr">
        <x:is>
          <x:t xml:space="preserve">Solve for the monthly deposit; pv is zero.</x:t>
        </x:is>
      </x:c>
      <x:c r="I15" s="12" t="n"/>
    </x:row>
    <x:row r="16" ht="48" customHeight="1">
      <x:c r="A16" s="21" t="n">
        <x:v>11</x:v>
      </x:c>
      <x:c r="B16" s="22" t="inlineStr">
        <x:is>
          <x:t xml:space="preserve">Find the present value of receiving $2,000 per month for 15 years at a 6% annual discount rate; report Excel PV using cash-flow signs.</x:t>
        </x:is>
      </x:c>
      <x:c r="C16" s="23" t="n"/>
      <x:c r="D16" s="23" t="n"/>
      <x:c r="E16" s="23" t="n"/>
      <x:c r="F16" s="23" t="n"/>
      <x:c r="G16" s="24" t="n"/>
      <x:c r="H16" s="10" t="inlineStr">
        <x:is>
          <x:t xml:space="preserve">Payment received is positive; PV result is negative.</x:t>
        </x:is>
      </x:c>
      <x:c r="I16" s="12" t="n"/>
    </x:row>
    <x:row r="17" ht="34" customHeight="1">
      <x:c r="A17" s="21" t="n">
        <x:v>12</x:v>
      </x:c>
      <x:c r="B17" s="22" t="inlineStr">
        <x:is>
          <x:t xml:space="preserve">Find the nominal value of receiving $2,000 per month for 15 years with 12 payments per year.</x:t>
        </x:is>
      </x:c>
      <x:c r="C17" s="23" t="n"/>
      <x:c r="D17" s="21" t="n"/>
      <x:c r="E17" s="23" t="n"/>
      <x:c r="F17" s="23" t="n"/>
      <x:c r="G17" s="24" t="n"/>
      <x:c r="H17" s="10" t="inlineStr">
        <x:is>
          <x:t xml:space="preserve">Monthly payment x years x 12.</x:t>
        </x:is>
      </x:c>
      <x:c r="I17" s="12" t="n"/>
    </x:row>
    <x:row r="18" ht="48" customHeight="1">
      <x:c r="A18" s="21" t="n">
        <x:v>13</x:v>
      </x:c>
      <x:c r="B18" s="22" t="inlineStr">
        <x:is>
          <x:t xml:space="preserve">Find the discount from nominal value to present value for the $2,000 monthly payment stream over 15 years at 6%.</x:t>
        </x:is>
      </x:c>
      <x:c r="C18" s="21" t="n"/>
      <x:c r="D18" s="21" t="n"/>
      <x:c r="E18" s="21" t="n"/>
      <x:c r="F18" s="21" t="n"/>
      <x:c r="G18" s="24" t="n"/>
      <x:c r="H18" s="10" t="inlineStr">
        <x:is>
          <x:t xml:space="preserve">Nominal total minus absolute PV.</x:t>
        </x:is>
      </x:c>
      <x:c r="I18" s="12" t="n"/>
    </x:row>
    <x:row r="19" ht="34" customHeight="1">
      <x:c r="A19" s="21" t="n">
        <x:v>14</x:v>
      </x:c>
      <x:c r="B19" s="22" t="inlineStr">
        <x:is>
          <x:t xml:space="preserve">Find the future value of a $50,000 lump sum invested at 6% annually for 10 years.</x:t>
        </x:is>
      </x:c>
      <x:c r="C19" s="23" t="n"/>
      <x:c r="D19" s="23" t="n"/>
      <x:c r="E19" s="23" t="n"/>
      <x:c r="F19" s="23" t="n"/>
      <x:c r="G19" s="24" t="n"/>
      <x:c r="H19" s="10" t="inlineStr">
        <x:is>
          <x:t xml:space="preserve">This is the discussion prompt's lump sum.</x:t>
        </x:is>
      </x:c>
      <x:c r="I19" s="12" t="n"/>
    </x:row>
    <x:row r="20" ht="34" customHeight="1">
      <x:c r="A20" s="21" t="n">
        <x:v>15</x:v>
      </x:c>
      <x:c r="B20" s="22" t="inlineStr">
        <x:is>
          <x:t xml:space="preserve">Find the future value of investing $500 per month for 10 years at 6% annual return with monthly deposits.</x:t>
        </x:is>
      </x:c>
      <x:c r="C20" s="23" t="n"/>
      <x:c r="D20" s="23" t="n"/>
      <x:c r="E20" s="23" t="n"/>
      <x:c r="F20" s="23" t="n"/>
      <x:c r="G20" s="24" t="n"/>
      <x:c r="H20" s="10" t="inlineStr">
        <x:is>
          <x:t xml:space="preserve">This is the discussion prompt's monthly investment.</x:t>
        </x:is>
      </x:c>
      <x:c r="I20" s="12" t="n"/>
    </x:row>
    <x:row r="21">
      <x:c r="A21" s="2" t="n"/>
      <x:c r="B21" s="2" t="n"/>
      <x:c r="C21" s="2" t="n"/>
      <x:c r="D21" s="2" t="n"/>
      <x:c r="E21" s="2" t="n"/>
      <x:c r="F21" s="2" t="n"/>
      <x:c r="G21" s="2" t="n"/>
      <x:c r="H21" s="2" t="n"/>
      <x:c r="I21" s="2" t="n"/>
    </x:row>
  </x:sheetData>
  <x:mergeCells>
    <x:mergeCell ref="A1:I1"/>
    <x:mergeCell ref="A4:I4"/>
    <x:mergeCell ref="A2:I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35" customWidth="1"/>
    <x:col min="3" max="3" width="42" customWidth="1"/>
    <x:col min="4" max="4" width="38" customWidth="1"/>
  </x:cols>
  <x:sheetData>
    <x:row r="1" ht="26" customHeight="1">
      <x:c r="A1" s="16" t="inlineStr">
        <x:is>
          <x:t xml:space="preserve">MATH-M09-L02 - Formula Reference Card</x:t>
        </x:is>
      </x:c>
      <x:c r="B1" s="15" t="n"/>
      <x:c r="C1" s="15" t="n"/>
      <x:c r="D1" s="15" t="n"/>
    </x:row>
    <x:row r="2" ht="32" customHeight="1">
      <x:c r="A2" s="17" t="inlineStr">
        <x:is>
          <x:t xml:space="preserve">Syntax reminders. Decide which formula fits before using the card.</x:t>
        </x:is>
      </x:c>
      <x:c r="B2" s="15" t="n"/>
      <x:c r="C2" s="15" t="n"/>
      <x:c r="D2" s="15" t="n"/>
    </x:row>
    <x:row r="3">
      <x:c r="A3" s="2" t="n"/>
      <x:c r="B3" s="2" t="n"/>
      <x:c r="C3" s="2" t="n"/>
      <x:c r="D3" s="2" t="n"/>
    </x:row>
    <x:row r="4" ht="32" customHeight="1">
      <x:c r="A4" s="7" t="inlineStr">
        <x:is>
          <x:t xml:space="preserve">Concept</x:t>
        </x:is>
      </x:c>
      <x:c r="B4" s="7" t="inlineStr">
        <x:is>
          <x:t xml:space="preserve">Excel Pattern</x:t>
        </x:is>
      </x:c>
      <x:c r="C4" s="7" t="inlineStr">
        <x:is>
          <x:t xml:space="preserve">Plain-English Meaning</x:t>
        </x:is>
      </x:c>
      <x:c r="D4" s="7" t="inlineStr">
        <x:is>
          <x:t xml:space="preserve">Watch Out For</x:t>
        </x:is>
      </x:c>
    </x:row>
    <x:row r="5">
      <x:c r="A5" s="2" t="inlineStr">
        <x:is>
          <x:t xml:space="preserve">Monthly loan payment</x:t>
        </x:is>
      </x:c>
      <x:c r="B5" s="26" t="str">
        <x:v>=PMT(rate/12,years*12,pv,0)</x:v>
      </x:c>
      <x:c r="C5" s="2" t="inlineStr">
        <x:is>
          <x:t xml:space="preserve">Calculates the required monthly loan payment.</x:t>
        </x:is>
      </x:c>
      <x:c r="D5" s="2" t="inlineStr">
        <x:is>
          <x:t xml:space="preserve">Result is usually negative because payment is an outflow.</x:t>
        </x:is>
      </x:c>
    </x:row>
    <x:row r="6">
      <x:c r="A6" s="2" t="inlineStr">
        <x:is>
          <x:t xml:space="preserve">Total paid</x:t>
        </x:is>
      </x:c>
      <x:c r="B6" s="26" t="str">
        <x:v>=ABS(PMT)*Nper</x:v>
      </x:c>
      <x:c r="C6" s="2" t="inlineStr">
        <x:is>
          <x:t xml:space="preserve">Multiplies payment by the number of periods.</x:t>
        </x:is>
      </x:c>
      <x:c r="D6" s="2" t="inlineStr">
        <x:is>
          <x:t xml:space="preserve">Use ABS so the comparison is positive.</x:t>
        </x:is>
      </x:c>
    </x:row>
    <x:row r="7">
      <x:c r="A7" s="2" t="inlineStr">
        <x:is>
          <x:t xml:space="preserve">Total interest</x:t>
        </x:is>
      </x:c>
      <x:c r="B7" s="26" t="str">
        <x:v>=TotalPaid-PV</x:v>
      </x:c>
      <x:c r="C7" s="2" t="inlineStr">
        <x:is>
          <x:t xml:space="preserve">Shows borrowing cost above the original loan amount.</x:t>
        </x:is>
      </x:c>
      <x:c r="D7" s="2" t="inlineStr">
        <x:is>
          <x:t xml:space="preserve">Use the original PV, not the future balance.</x:t>
        </x:is>
      </x:c>
    </x:row>
    <x:row r="8">
      <x:c r="A8" s="2" t="inlineStr">
        <x:is>
          <x:t xml:space="preserve">Savings required payment</x:t>
        </x:is>
      </x:c>
      <x:c r="B8" s="26" t="str">
        <x:v>=PMT(rate/12,years*12,0,fv)</x:v>
      </x:c>
      <x:c r="C8" s="2" t="inlineStr">
        <x:is>
          <x:t xml:space="preserve">Finds the monthly deposit needed to reach a goal.</x:t>
        </x:is>
      </x:c>
      <x:c r="D8" s="2" t="inlineStr">
        <x:is>
          <x:t xml:space="preserve">Use fv as the goal and pv as zero if starting from zero.</x:t>
        </x:is>
      </x:c>
    </x:row>
    <x:row r="9">
      <x:c r="A9" s="2" t="inlineStr">
        <x:is>
          <x:t xml:space="preserve">Future value with payments</x:t>
        </x:is>
      </x:c>
      <x:c r="B9" s="26" t="str">
        <x:v>=FV(rate/12,years*12,-pmt,-pv)</x:v>
      </x:c>
      <x:c r="C9" s="2" t="inlineStr">
        <x:is>
          <x:t xml:space="preserve">Projects savings with repeated deposits.</x:t>
        </x:is>
      </x:c>
      <x:c r="D9" s="2" t="inlineStr">
        <x:is>
          <x:t xml:space="preserve">Payments and starting balance are outflows.</x:t>
        </x:is>
      </x:c>
    </x:row>
    <x:row r="10">
      <x:c r="A10" s="2" t="inlineStr">
        <x:is>
          <x:t xml:space="preserve">Annuity present value</x:t>
        </x:is>
      </x:c>
      <x:c r="B10" s="26" t="str">
        <x:v>=PV(rate/12,years*12,pmt,0)</x:v>
      </x:c>
      <x:c r="C10" s="2" t="inlineStr">
        <x:is>
          <x:t xml:space="preserve">Values a stream of equal payments today.</x:t>
        </x:is>
      </x:c>
      <x:c r="D10" s="2" t="inlineStr">
        <x:is>
          <x:t xml:space="preserve">Use the sign convention consistently.</x:t>
        </x:is>
      </x:c>
    </x:row>
    <x:row r="11">
      <x:c r="A11" s="2" t="n"/>
      <x:c r="B11" s="2" t="n"/>
      <x:c r="C11" s="2" t="n"/>
      <x:c r="D11" s="2" t="n"/>
    </x:row>
  </x:sheetData>
  <x:mergeCells>
    <x:mergeCell ref="A1:D1"/>
    <x:mergeCell ref="A2:D2"/>
  </x:mergeCells>
  <x:pageMargins left="0.7" right="0.7" top="0.75" bottom="0.75" header="0.3" footer="0.3"/>
</x:worksheet>
</file>