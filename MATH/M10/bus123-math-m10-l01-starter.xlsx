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cbf36a70a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cba5cd439d845d7"/>
    <x:sheet xmlns:r="http://schemas.openxmlformats.org/officeDocument/2006/relationships" name="Live You Try It" sheetId="2" r:id="R0d6fd31106e84e36"/>
    <x:sheet xmlns:r="http://schemas.openxmlformats.org/officeDocument/2006/relationships" name="Class Challenge" sheetId="3" r:id="R992c3ac4f69147b0"/>
    <x:sheet xmlns:r="http://schemas.openxmlformats.org/officeDocument/2006/relationships" name="FormulaReferenceCard" sheetId="4" r:id="R2915aa483d2d4b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$#,##0.00"/>
    <x:numFmt numFmtId="165" formatCode="0.0"/>
    <x:numFmt numFmtId="166" formatCode="$#,##0"/>
    <x:numFmt numFmtId="167" formatCode="0.0%"/>
    <x:numFmt numFmtId="200" formatCode="&quot;$&quot;#,##0"/>
    <x:numFmt numFmtId="201" formatCode="0.00%"/>
    <x:numFmt numFmtId="202" formatCode="&quot;$&quot;#,##0.00"/>
    <x:numFmt numFmtId="203" formatCode="0"/>
  </x:numFmts>
  <x:fonts count="20">
    <x:font>
      <x:sz val="11"/>
      <x:color theme="1"/>
      <x:name val="Calibri"/>
    </x:font>
    <x:font>
      <x:b/>
      <x:sz val="16"/>
      <x:color rgb="FFFFFFFF"/>
      <x:name val="Aptos Display"/>
    </x:font>
    <x:font>
      <x:i/>
      <x:sz val="11"/>
      <x:color rgb="FF4A5567"/>
      <x:name val="Aptos"/>
    </x:font>
    <x:font>
      <x:b/>
      <x:sz val="12"/>
      <x:color rgb="FF0E1116"/>
      <x:name val="Aptos"/>
    </x:font>
    <x:font>
      <x:b/>
      <x:sz val="10"/>
      <x:color rgb="FFFFFFFF"/>
      <x:name val="Aptos"/>
    </x:font>
    <x:font>
      <x:b/>
      <x:sz val="16"/>
      <x:color rgb="FFFFFFFF"/>
      <x:name val="Calibri"/>
    </x:font>
    <x:font>
      <x:i/>
      <x:sz val="10"/>
      <x:color rgb="FF4A5567"/>
      <x:name val="Calibri"/>
    </x:font>
    <x:font>
      <x:b/>
      <x:sz val="10"/>
      <x:color rgb="FFFFFFFF"/>
      <x:name val="Calibri"/>
    </x:font>
    <x:font>
      <x:b/>
      <x:sz val="11"/>
      <x:color rgb="FF355773"/>
      <x:name val="JetBrains Mono"/>
    </x:font>
    <x:font>
      <x:b/>
      <x:sz val="16"/>
      <x:color rgb="FFFFFFFF"/>
      <x:name val="Aptos"/>
    </x:font>
    <x:font>
      <x:i/>
      <x:sz val="10"/>
      <x:color rgb="FF4A5567"/>
      <x:name val="Aptos"/>
    </x:font>
    <x:font>
      <x:sz val="11"/>
      <x:color theme="1"/>
      <x:name val="Aptos"/>
    </x:font>
    <x:font>
      <x:b/>
      <x:sz val="11"/>
      <x:color rgb="FF355773"/>
      <x:name val="Aptos"/>
    </x:font>
    <x:font>
      <x:sz val="11"/>
      <x:color rgb="FF0000FF"/>
      <x:name val="Calibri"/>
    </x:font>
    <x:font>
      <x:sz val="11"/>
      <x:color rgb="FF0E1116"/>
      <x:name val="Calibri"/>
    </x:font>
    <x:font>
      <x:i/>
      <x:sz val="11"/>
      <x:color rgb="FF4A5567"/>
      <x:name val="Calibri"/>
    </x:font>
    <x:font>
      <x:b/>
      <x:sz val="12"/>
      <x:color rgb="FF0E1116"/>
      <x:name val="Calibri"/>
    </x:font>
    <x:font>
      <x:b/>
      <x:sz val="17"/>
      <x:color rgb="FFFFFFFF"/>
      <x:name val="Calibri"/>
    </x:font>
    <x:font>
      <x:b/>
      <x:sz val="11"/>
      <x:color theme="1"/>
      <x:name val="Calibri"/>
    </x:font>
    <x:font>
      <x:b/>
      <x:sz val="11"/>
      <x:color rgb="FF355773"/>
      <x:name val="Calibri"/>
    </x:font>
  </x:fonts>
  <x:fills count="31">
    <x:fill>
      <x:patternFill patternType="none"/>
    </x:fill>
    <x:fill>
      <x:patternFill patternType="gray125"/>
    </x:fill>
    <x:fill>
      <x:patternFill patternType="solid">
        <x:fgColor rgb="FF0E1116"/>
      </x:patternFill>
    </x:fill>
    <x:fill>
      <x:patternFill patternType="solid">
        <x:fgColor rgb="FFEAF3EC"/>
      </x:patternFill>
    </x:fill>
    <x:fill>
      <x:patternFill patternType="solid">
        <x:fgColor rgb="FF355773"/>
      </x:patternFill>
    </x:fill>
    <x:fill>
      <x:patternFill patternType="solid">
        <x:fgColor rgb="FFFFF2CC"/>
      </x:patternFill>
    </x:fill>
    <x:fill>
      <x:patternFill patternType="solid">
        <x:fgColor rgb="FF0E1116"/>
      </x:patternFill>
    </x:fill>
    <x:fill>
      <x:patternFill patternType="solid">
        <x:fgColor rgb="FF355773"/>
      </x:patternFill>
    </x:fill>
    <x:fill>
      <x:patternFill patternType="solid">
        <x:fgColor rgb="FFEAF3EC"/>
      </x:patternFill>
    </x:fill>
    <x:fill>
      <x:patternFill patternType="solid">
        <x:fgColor rgb="FFFFF2CC"/>
      </x:patternFill>
    </x:fill>
    <x:fill>
      <x:patternFill patternType="solid">
        <x:fgColor rgb="FFF2EEE5"/>
      </x:patternFill>
    </x:fill>
    <x:fill>
      <x:patternFill patternType="solid">
        <x:fgColor rgb="FF0E1116"/>
      </x:patternFill>
    </x:fill>
    <x:fill>
      <x:patternFill patternType="solid">
        <x:fgColor rgb="FF355773"/>
      </x:patternFill>
    </x:fill>
    <x:fill>
      <x:patternFill patternType="solid">
        <x:fgColor rgb="FFEAF3EC"/>
      </x:patternFill>
    </x:fill>
    <x:fill>
      <x:patternFill patternType="solid">
        <x:fgColor rgb="FFFFF2CC"/>
      </x:patternFill>
    </x:fill>
    <x:fill>
      <x:patternFill patternType="solid">
        <x:fgColor rgb="FFF2EEE5"/>
      </x:patternFill>
    </x:fill>
    <x:fill>
      <x:patternFill patternType="solid">
        <x:fgColor rgb="FF0E1116"/>
      </x:patternFill>
    </x:fill>
    <x:fill>
      <x:patternFill patternType="solid">
        <x:fgColor rgb="FF355773"/>
      </x:patternFill>
    </x:fill>
    <x:fill>
      <x:patternFill patternType="solid">
        <x:fgColor rgb="FFEAF3EC"/>
      </x:patternFill>
    </x:fill>
    <x:fill>
      <x:patternFill patternType="solid">
        <x:fgColor rgb="FFFFF2CC"/>
      </x:patternFill>
    </x:fill>
    <x:fill>
      <x:patternFill patternType="solid">
        <x:fgColor rgb="FFF2EEE5"/>
      </x:patternFill>
    </x:fill>
    <x:fill>
      <x:patternFill patternType="solid">
        <x:fgColor rgb="FF0E1116"/>
      </x:patternFill>
    </x:fill>
    <x:fill>
      <x:patternFill patternType="solid">
        <x:fgColor rgb="FF355773"/>
      </x:patternFill>
    </x:fill>
    <x:fill>
      <x:patternFill patternType="solid">
        <x:fgColor rgb="FFEAF3EC"/>
      </x:patternFill>
    </x:fill>
    <x:fill>
      <x:patternFill patternType="solid">
        <x:fgColor rgb="FFFFF2CC"/>
      </x:patternFill>
    </x:fill>
    <x:fill>
      <x:patternFill patternType="solid">
        <x:fgColor rgb="FFF2EEE5"/>
      </x:patternFill>
    </x:fill>
    <x:fill>
      <x:patternFill patternType="solid">
        <x:fgColor rgb="FF0E1116"/>
      </x:patternFill>
    </x:fill>
    <x:fill>
      <x:patternFill patternType="solid">
        <x:fgColor rgb="FF355773"/>
      </x:patternFill>
    </x:fill>
    <x:fill>
      <x:patternFill patternType="solid">
        <x:fgColor rgb="FFEAF3EC"/>
      </x:patternFill>
    </x:fill>
    <x:fill>
      <x:patternFill patternType="solid">
        <x:fgColor rgb="FFFFF2CC"/>
      </x:patternFill>
    </x:fill>
    <x:fill>
      <x:patternFill patternType="solid">
        <x:fgColor rgb="FFF2EEE5"/>
      </x:patternFill>
    </x:fill>
  </x:fills>
  <x:borders count="17">
    <x:border/>
    <x:border>
      <x:left style="thin">
        <x:color rgb="FFD9E2D0"/>
      </x:left>
      <x:right style="thin">
        <x:color rgb="FFD9E2D0"/>
      </x:right>
      <x:top style="thin">
        <x:color rgb="FFD9E2D0"/>
      </x:top>
      <x:bottom style="thin">
        <x:color rgb="FFD9E2D0"/>
      </x:bottom>
    </x:border>
    <x:border>
      <x:top style="thin">
        <x:color rgb="FFD9E2D0"/>
      </x:top>
    </x:border>
    <x:border>
      <x:right style="thin">
        <x:color rgb="FFD9E2D0"/>
      </x:right>
      <x:top style="thin">
        <x:color rgb="FFD9E2D0"/>
      </x:top>
    </x:border>
    <x:border>
      <x:top style="thin">
        <x:color rgb="FFD9E2D0"/>
      </x:top>
      <x:bottom style="thin">
        <x:color rgb="FFD9E2D0"/>
      </x:bottom>
    </x:border>
    <x:border>
      <x:right style="thin">
        <x:color rgb="FFD9E2D0"/>
      </x:right>
      <x:top style="thin">
        <x:color rgb="FFD9E2D0"/>
      </x:top>
      <x:bottom style="thin">
        <x:color rgb="FFD9E2D0"/>
      </x:bottom>
    </x:border>
    <x:border>
      <x:left style="thin">
        <x:color rgb="FFD7DECF"/>
      </x:left>
      <x:right style="thin">
        <x:color rgb="FFD7DECF"/>
      </x:right>
      <x:top style="thin">
        <x:color rgb="FFD7DECF"/>
      </x:top>
      <x:bottom style="thin">
        <x:color rgb="FFD7DECF"/>
      </x:bottom>
    </x:border>
    <x:border>
      <x:right style="thin">
        <x:color rgb="FFD7DECF"/>
      </x:right>
      <x:bottom style="thin">
        <x:color rgb="FFD7DECF"/>
      </x:bottom>
    </x:border>
    <x:border>
      <x:left style="thin">
        <x:color rgb="FFD7DECF"/>
      </x:left>
      <x:right style="thin">
        <x:color rgb="FFD7DECF"/>
      </x:right>
      <x:bottom style="thin">
        <x:color rgb="FFD7DECF"/>
      </x:bottom>
    </x:border>
    <x:border>
      <x:left style="thin">
        <x:color rgb="FFD7DECF"/>
      </x:left>
      <x:bottom style="thin">
        <x:color rgb="FFD7DECF"/>
      </x:bottom>
    </x:border>
    <x:border>
      <x:right style="thin">
        <x:color rgb="FFD7DECF"/>
      </x:right>
      <x:top style="thin">
        <x:color rgb="FFD7DECF"/>
      </x:top>
      <x:bottom style="thin">
        <x:color rgb="FFD7DECF"/>
      </x:bottom>
    </x:border>
    <x:border>
      <x:left style="thin">
        <x:color rgb="FFD7DECF"/>
      </x:left>
      <x:top style="thin">
        <x:color rgb="FFD7DECF"/>
      </x:top>
      <x:bottom style="thin">
        <x:color rgb="FFD7DECF"/>
      </x:bottom>
    </x:border>
    <x:border>
      <x:right style="thin">
        <x:color rgb="FFD7DECF"/>
      </x:right>
      <x:top style="thin">
        <x:color rgb="FFD7DECF"/>
      </x:top>
    </x:border>
    <x:border>
      <x:left style="thin">
        <x:color rgb="FFD7DECF"/>
      </x:left>
      <x:right style="thin">
        <x:color rgb="FFD7DECF"/>
      </x:right>
      <x:top style="thin">
        <x:color rgb="FFD7DECF"/>
      </x:top>
    </x:border>
    <x:border>
      <x:left style="thin">
        <x:color rgb="FFD7DECF"/>
      </x:left>
      <x:top style="thin">
        <x:color rgb="FFD7DECF"/>
      </x:top>
    </x:border>
    <x:border>
      <x:top style="thin">
        <x:color rgb="FFD7DECF"/>
      </x:top>
      <x:bottom style="thin">
        <x:color rgb="FFD7DECF"/>
      </x:bottom>
    </x:border>
    <x:border>
      <x:top style="thin">
        <x:color rgb="FFD7DECF"/>
      </x:top>
    </x:border>
  </x:borders>
  <x:cellStyleXfs count="1">
    <x:xf numFmtId="0" fontId="0" fillId="0" borderId="0"/>
  </x:cellStyleXfs>
  <x:cellXfs count="364">
    <x:xf numFmtId="0" fontId="0" fillId="0" borderId="0" xfId="0"/>
    <x:xf numFmtId="0" fontId="1" fillId="2" borderId="1" xfId="0" applyAlignment="1">
      <x:alignment vertical="top" wrapText="1"/>
    </x:xf>
    <x:xf numFmtId="0" fontId="2" fillId="0" borderId="1" xfId="0" applyAlignment="1">
      <x:alignment vertical="top" wrapText="1"/>
    </x:xf>
    <x:xf numFmtId="0" fontId="3" fillId="3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4" fillId="4" borderId="1" xfId="0" applyAlignment="1">
      <x:alignment vertical="top" wrapText="1"/>
    </x:xf>
    <x:xf numFmtId="164" fontId="0" fillId="5" borderId="1" xfId="0" applyAlignment="1">
      <x:alignment vertical="top" wrapText="1"/>
    </x:xf>
    <x:xf numFmtId="165" fontId="0" fillId="5" borderId="1" xfId="0" applyAlignment="1">
      <x:alignment vertical="top" wrapText="1"/>
    </x:xf>
    <x:xf numFmtId="0" fontId="0" fillId="3" borderId="1" xfId="0" applyAlignment="1">
      <x:alignment vertical="top" wrapText="1"/>
    </x:xf>
    <x:xf numFmtId="166" fontId="0" fillId="5" borderId="1" xfId="0" applyAlignment="1">
      <x:alignment vertical="top" wrapText="1"/>
    </x:xf>
    <x:xf numFmtId="167" fontId="0" fillId="5" borderId="1" xfId="0" applyAlignment="1">
      <x:alignment vertical="top" wrapText="1"/>
    </x:xf>
    <x:xf numFmtId="3" fontId="0" fillId="5" borderId="1" xfId="0" applyAlignment="1">
      <x:alignment vertical="top" wrapText="1"/>
    </x:xf>
    <x:xf numFmtId="10" fontId="0" fillId="5" borderId="1" xfId="0" applyAlignment="1">
      <x:alignment vertical="top" wrapText="1"/>
    </x:xf>
    <x:xf numFmtId="2" fontId="0" fillId="5" borderId="1" xfId="0" applyAlignment="1">
      <x:alignment vertical="top" wrapText="1"/>
    </x:xf>
    <x:xf numFmtId="0" fontId="0" fillId="0" borderId="4" xfId="0"/>
    <x:xf numFmtId="0" fontId="0" fillId="0" borderId="5" xfId="0"/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6" xfId="0" applyNumberFormat="1" applyFont="1" applyFill="1" applyBorder="1"/>
    <x:xf numFmtId="0" fontId="7" fillId="7" borderId="6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6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0" fillId="8" borderId="6" xfId="0" applyNumberFormat="1" applyFont="1" applyFill="1" applyBorder="1" applyAlignment="1">
      <x:alignment vertical="top" wrapText="1"/>
    </x:xf>
    <x:xf numFmtId="0" fontId="0" fillId="8" borderId="13" xfId="0" applyNumberFormat="1" applyFont="1" applyFill="1" applyBorder="1" applyAlignment="1">
      <x:alignment vertical="top" wrapText="1"/>
    </x:xf>
    <x:xf numFmtId="0" fontId="8" fillId="8" borderId="8" xfId="0" applyNumberFormat="1" applyFont="1" applyFill="1" applyBorder="1" applyAlignment="1">
      <x:alignment vertical="top" wrapText="1"/>
    </x:xf>
    <x:xf numFmtId="0" fontId="8" fillId="8" borderId="6" xfId="0" applyNumberFormat="1" applyFont="1" applyFill="1" applyBorder="1" applyAlignment="1">
      <x:alignment vertical="top" wrapText="1"/>
    </x:xf>
    <x:xf numFmtId="0" fontId="8" fillId="8" borderId="13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4" fillId="7" borderId="6" xfId="0" applyNumberFormat="1" applyFont="1" applyFill="1" applyBorder="1" applyAlignment="1">
      <x:alignment vertical="center" wrapText="1"/>
    </x:xf>
    <x:xf numFmtId="0" fontId="11" fillId="0" borderId="7" xfId="0" applyNumberFormat="1" applyFont="1" applyFill="1" applyBorder="1" applyAlignment="1">
      <x:alignment vertical="top" wrapText="1"/>
    </x:xf>
    <x:xf numFmtId="0" fontId="11" fillId="0" borderId="8" xfId="0" applyNumberFormat="1" applyFont="1" applyFill="1" applyBorder="1" applyAlignment="1">
      <x:alignment vertical="top" wrapText="1"/>
    </x:xf>
    <x:xf numFmtId="0" fontId="12" fillId="8" borderId="8" xfId="0" applyNumberFormat="1" applyFont="1" applyFill="1" applyBorder="1" applyAlignment="1">
      <x:alignment vertical="top" wrapText="1"/>
    </x:xf>
    <x:xf numFmtId="0" fontId="11" fillId="0" borderId="9" xfId="0" applyNumberFormat="1" applyFont="1" applyFill="1" applyBorder="1" applyAlignment="1">
      <x:alignment vertical="top" wrapText="1"/>
    </x:xf>
    <x:xf numFmtId="0" fontId="11" fillId="0" borderId="10" xfId="0" applyNumberFormat="1" applyFont="1" applyFill="1" applyBorder="1" applyAlignment="1">
      <x:alignment vertical="top" wrapText="1"/>
    </x:xf>
    <x:xf numFmtId="0" fontId="11" fillId="0" borderId="6" xfId="0" applyNumberFormat="1" applyFont="1" applyFill="1" applyBorder="1" applyAlignment="1">
      <x:alignment vertical="top" wrapText="1"/>
    </x:xf>
    <x:xf numFmtId="0" fontId="12" fillId="8" borderId="6" xfId="0" applyNumberFormat="1" applyFont="1" applyFill="1" applyBorder="1" applyAlignment="1">
      <x:alignment vertical="top" wrapText="1"/>
    </x:xf>
    <x:xf numFmtId="0" fontId="11" fillId="0" borderId="11" xfId="0" applyNumberFormat="1" applyFont="1" applyFill="1" applyBorder="1" applyAlignment="1">
      <x:alignment vertical="top" wrapText="1"/>
    </x:xf>
    <x:xf numFmtId="0" fontId="11" fillId="0" borderId="12" xfId="0" applyNumberFormat="1" applyFont="1" applyFill="1" applyBorder="1" applyAlignment="1">
      <x:alignment vertical="top" wrapText="1"/>
    </x:xf>
    <x:xf numFmtId="0" fontId="11" fillId="0" borderId="13" xfId="0" applyNumberFormat="1" applyFont="1" applyFill="1" applyBorder="1" applyAlignment="1">
      <x:alignment vertical="top" wrapText="1"/>
    </x:xf>
    <x:xf numFmtId="0" fontId="12" fillId="8" borderId="13" xfId="0" applyNumberFormat="1" applyFont="1" applyFill="1" applyBorder="1" applyAlignment="1">
      <x:alignment vertical="top" wrapText="1"/>
    </x:xf>
    <x:xf numFmtId="0" fontId="11" fillId="0" borderId="14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6" xfId="0" applyNumberFormat="1" applyFont="1" applyFill="1" applyBorder="1"/>
    <x:xf numFmtId="0" fontId="14" fillId="9" borderId="0" xfId="0" applyNumberFormat="1" applyFont="1" applyFill="1" applyBorder="1"/>
    <x:xf numFmtId="0" fontId="14" fillId="9" borderId="6" xfId="0" applyNumberFormat="1" applyFont="1" applyFill="1" applyBorder="1"/>
    <x:xf numFmtId="0" fontId="14" fillId="10" borderId="6" xfId="0" applyNumberFormat="1" applyFont="1" applyFill="1" applyBorder="1"/>
    <x:xf numFmtId="0" fontId="15" fillId="10" borderId="6" xfId="0" applyNumberFormat="1" applyFont="1" applyFill="1" applyBorder="1"/>
    <x:xf numFmtId="0" fontId="0" fillId="8" borderId="0" xfId="0" applyNumberFormat="1" applyFont="1" applyFill="1" applyBorder="1"/>
    <x:xf numFmtId="0" fontId="16" fillId="8" borderId="0" xfId="0" applyNumberFormat="1" applyFont="1" applyFill="1" applyBorder="1"/>
    <x:xf numFmtId="0" fontId="16" fillId="8" borderId="11" xfId="0" applyNumberFormat="1" applyFont="1" applyFill="1" applyBorder="1"/>
    <x:xf numFmtId="0" fontId="16" fillId="8" borderId="15" xfId="0" applyNumberFormat="1" applyFont="1" applyFill="1" applyBorder="1"/>
    <x:xf numFmtId="0" fontId="16" fillId="8" borderId="10" xfId="0" applyNumberFormat="1" applyFont="1" applyFill="1" applyBorder="1"/>
    <x:xf numFmtId="0" fontId="16" fillId="8" borderId="11" xfId="0" applyNumberFormat="1" applyFont="1" applyFill="1" applyBorder="1" applyAlignment="1">
      <x:alignment vertical="center"/>
    </x:xf>
    <x:xf numFmtId="0" fontId="16" fillId="8" borderId="15" xfId="0" applyNumberFormat="1" applyFont="1" applyFill="1" applyBorder="1" applyAlignment="1">
      <x:alignment vertical="center"/>
    </x:xf>
    <x:xf numFmtId="0" fontId="16" fillId="8" borderId="10" xfId="0" applyNumberFormat="1" applyFont="1" applyFill="1" applyBorder="1" applyAlignment="1">
      <x:alignment vertical="center"/>
    </x:xf>
    <x:xf numFmtId="0" fontId="17" fillId="6" borderId="0" xfId="0" applyNumberFormat="1" applyFont="1" applyFill="1" applyBorder="1"/>
    <x:xf numFmtId="0" fontId="17" fillId="6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3" fillId="9" borderId="6" xfId="0" applyNumberFormat="1" applyFont="1" applyFill="1" applyBorder="1" applyAlignment="1">
      <x:alignment wrapText="1"/>
    </x:xf>
    <x:xf numFmtId="0" fontId="14" fillId="9" borderId="6" xfId="0" applyNumberFormat="1" applyFont="1" applyFill="1" applyBorder="1" applyAlignment="1">
      <x:alignment wrapText="1"/>
    </x:xf>
    <x:xf numFmtId="0" fontId="16" fillId="8" borderId="11" xfId="0" applyNumberFormat="1" applyFont="1" applyFill="1" applyBorder="1" applyAlignment="1">
      <x:alignment vertical="center" wrapText="1"/>
    </x:xf>
    <x:xf numFmtId="0" fontId="16" fillId="8" borderId="15" xfId="0" applyNumberFormat="1" applyFont="1" applyFill="1" applyBorder="1" applyAlignment="1">
      <x:alignment vertical="center" wrapText="1"/>
    </x:xf>
    <x:xf numFmtId="0" fontId="15" fillId="10" borderId="6" xfId="0" applyNumberFormat="1" applyFont="1" applyFill="1" applyBorder="1" applyAlignment="1">
      <x:alignment wrapText="1"/>
    </x:xf>
    <x:xf numFmtId="0" fontId="14" fillId="1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center" wrapText="1"/>
    </x:xf>
    <x:xf numFmtId="0" fontId="14" fillId="9" borderId="6" xfId="0" applyNumberFormat="1" applyFont="1" applyFill="1" applyBorder="1" applyAlignment="1">
      <x:alignment vertical="center" wrapText="1"/>
    </x:xf>
    <x:xf numFmtId="0" fontId="14" fillId="10" borderId="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14" fillId="9" borderId="6" xfId="0" applyNumberFormat="1" applyFont="1" applyFill="1" applyBorder="1" applyAlignment="1">
      <x:alignment vertical="top" wrapText="1"/>
    </x:xf>
    <x:xf numFmtId="0" fontId="0" fillId="10" borderId="6" xfId="0" applyNumberFormat="1" applyFont="1" applyFill="1" applyBorder="1" applyAlignment="1">
      <x:alignment vertical="center" wrapText="1"/>
    </x:xf>
    <x:xf numFmtId="0" fontId="18" fillId="10" borderId="6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19" fillId="8" borderId="6" xfId="0" applyNumberFormat="1" applyFont="1" applyFill="1" applyBorder="1" applyAlignment="1">
      <x:alignment vertical="center" wrapText="1"/>
    </x:xf>
    <x:xf numFmtId="200" fontId="13" fillId="9" borderId="6" xfId="0" applyNumberFormat="1" applyFont="1" applyFill="1" applyBorder="1" applyAlignment="1">
      <x:alignment wrapText="1"/>
    </x:xf>
    <x:xf numFmtId="201" fontId="13" fillId="9" borderId="6" xfId="0" applyNumberFormat="1" applyFont="1" applyFill="1" applyBorder="1" applyAlignment="1">
      <x:alignment wrapText="1"/>
    </x:xf>
    <x:xf numFmtId="202" fontId="13" fillId="9" borderId="6" xfId="0" applyNumberFormat="1" applyFont="1" applyFill="1" applyBorder="1" applyAlignment="1">
      <x:alignment wrapText="1"/>
    </x:xf>
    <x:xf numFmtId="202" fontId="14" fillId="9" borderId="6" xfId="0" applyNumberFormat="1" applyFont="1" applyFill="1" applyBorder="1" applyAlignment="1">
      <x:alignment wrapText="1"/>
    </x:xf>
    <x:xf numFmtId="202" fontId="14" fillId="9" borderId="6" xfId="0" applyNumberFormat="1" applyFont="1" applyFill="1" applyBorder="1" applyAlignment="1">
      <x:alignment vertical="center" wrapText="1"/>
    </x:xf>
    <x:xf numFmtId="201" fontId="14" fillId="9" borderId="6" xfId="0" applyNumberFormat="1" applyFont="1" applyFill="1" applyBorder="1" applyAlignment="1">
      <x:alignment wrapText="1"/>
    </x:xf>
    <x:xf numFmtId="201" fontId="14" fillId="9" borderId="6" xfId="0" applyNumberFormat="1" applyFont="1" applyFill="1" applyBorder="1" applyAlignment="1">
      <x:alignment vertical="center" wrapText="1"/>
    </x:xf>
    <x:xf numFmtId="201" fontId="14" fillId="10" borderId="6" xfId="0" applyNumberFormat="1" applyFont="1" applyFill="1" applyBorder="1" applyAlignment="1">
      <x:alignment vertical="center" wrapText="1"/>
    </x:xf>
    <x:xf numFmtId="203" fontId="14" fillId="9" borderId="6" xfId="0" applyNumberFormat="1" applyFont="1" applyFill="1" applyBorder="1" applyAlignment="1">
      <x:alignment wrapText="1"/>
    </x:xf>
    <x:xf numFmtId="203" fontId="14" fillId="9" borderId="6" xfId="0" applyNumberFormat="1" applyFont="1" applyFill="1" applyBorder="1" applyAlignment="1">
      <x:alignment vertical="center" wrapText="1"/>
    </x:xf>
    <x:xf numFmtId="203" fontId="19" fillId="8" borderId="6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6" xfId="0" applyNumberFormat="1" applyFont="1" applyFill="1" applyBorder="1"/>
    <x:xf numFmtId="0" fontId="7" fillId="12" borderId="6" xfId="0" applyNumberFormat="1" applyFont="1" applyFill="1" applyBorder="1" applyAlignment="1">
      <x:alignment wrapText="1"/>
    </x:xf>
    <x:xf numFmtId="0" fontId="7" fillId="12" borderId="6" xfId="0" applyNumberFormat="1" applyFont="1" applyFill="1" applyBorder="1" applyAlignment="1">
      <x:alignment vertical="center" wrapText="1"/>
    </x:xf>
    <x:xf numFmtId="0" fontId="0" fillId="13" borderId="8" xfId="0" applyNumberFormat="1" applyFont="1" applyFill="1" applyBorder="1" applyAlignment="1">
      <x:alignment vertical="top" wrapText="1"/>
    </x:xf>
    <x:xf numFmtId="0" fontId="0" fillId="13" borderId="6" xfId="0" applyNumberFormat="1" applyFont="1" applyFill="1" applyBorder="1" applyAlignment="1">
      <x:alignment vertical="top" wrapText="1"/>
    </x:xf>
    <x:xf numFmtId="0" fontId="0" fillId="13" borderId="13" xfId="0" applyNumberFormat="1" applyFont="1" applyFill="1" applyBorder="1" applyAlignment="1">
      <x:alignment vertical="top" wrapText="1"/>
    </x:xf>
    <x:xf numFmtId="0" fontId="8" fillId="13" borderId="8" xfId="0" applyNumberFormat="1" applyFont="1" applyFill="1" applyBorder="1" applyAlignment="1">
      <x:alignment vertical="top" wrapText="1"/>
    </x:xf>
    <x:xf numFmtId="0" fontId="8" fillId="13" borderId="6" xfId="0" applyNumberFormat="1" applyFont="1" applyFill="1" applyBorder="1" applyAlignment="1">
      <x:alignment vertical="top" wrapText="1"/>
    </x:xf>
    <x:xf numFmtId="0" fontId="8" fillId="13" borderId="13" xfId="0" applyNumberFormat="1" applyFont="1" applyFill="1" applyBorder="1" applyAlignment="1">
      <x:alignment vertical="top" wrapText="1"/>
    </x:xf>
    <x:xf numFmtId="0" fontId="9" fillId="11" borderId="0" xfId="0" applyNumberFormat="1" applyFont="1" applyFill="1" applyBorder="1" applyAlignment="1">
      <x:alignment vertical="center"/>
    </x:xf>
    <x:xf numFmtId="0" fontId="4" fillId="12" borderId="6" xfId="0" applyNumberFormat="1" applyFont="1" applyFill="1" applyBorder="1" applyAlignment="1">
      <x:alignment vertical="center" wrapText="1"/>
    </x:xf>
    <x:xf numFmtId="0" fontId="12" fillId="13" borderId="8" xfId="0" applyNumberFormat="1" applyFont="1" applyFill="1" applyBorder="1" applyAlignment="1">
      <x:alignment vertical="top" wrapText="1"/>
    </x:xf>
    <x:xf numFmtId="0" fontId="12" fillId="13" borderId="6" xfId="0" applyNumberFormat="1" applyFont="1" applyFill="1" applyBorder="1" applyAlignment="1">
      <x:alignment vertical="top" wrapText="1"/>
    </x:xf>
    <x:xf numFmtId="0" fontId="12" fillId="13" borderId="13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3" fillId="14" borderId="0" xfId="0" applyNumberFormat="1" applyFont="1" applyFill="1" applyBorder="1"/>
    <x:xf numFmtId="0" fontId="13" fillId="14" borderId="6" xfId="0" applyNumberFormat="1" applyFont="1" applyFill="1" applyBorder="1"/>
    <x:xf numFmtId="0" fontId="14" fillId="14" borderId="0" xfId="0" applyNumberFormat="1" applyFont="1" applyFill="1" applyBorder="1"/>
    <x:xf numFmtId="0" fontId="14" fillId="14" borderId="6" xfId="0" applyNumberFormat="1" applyFont="1" applyFill="1" applyBorder="1"/>
    <x:xf numFmtId="0" fontId="14" fillId="15" borderId="6" xfId="0" applyNumberFormat="1" applyFont="1" applyFill="1" applyBorder="1"/>
    <x:xf numFmtId="0" fontId="15" fillId="15" borderId="6" xfId="0" applyNumberFormat="1" applyFont="1" applyFill="1" applyBorder="1"/>
    <x:xf numFmtId="0" fontId="0" fillId="13" borderId="0" xfId="0" applyNumberFormat="1" applyFont="1" applyFill="1" applyBorder="1"/>
    <x:xf numFmtId="0" fontId="16" fillId="13" borderId="0" xfId="0" applyNumberFormat="1" applyFont="1" applyFill="1" applyBorder="1"/>
    <x:xf numFmtId="0" fontId="16" fillId="13" borderId="11" xfId="0" applyNumberFormat="1" applyFont="1" applyFill="1" applyBorder="1"/>
    <x:xf numFmtId="0" fontId="16" fillId="13" borderId="15" xfId="0" applyNumberFormat="1" applyFont="1" applyFill="1" applyBorder="1"/>
    <x:xf numFmtId="0" fontId="16" fillId="13" borderId="10" xfId="0" applyNumberFormat="1" applyFont="1" applyFill="1" applyBorder="1"/>
    <x:xf numFmtId="0" fontId="16" fillId="13" borderId="11" xfId="0" applyNumberFormat="1" applyFont="1" applyFill="1" applyBorder="1" applyAlignment="1">
      <x:alignment vertical="center"/>
    </x:xf>
    <x:xf numFmtId="0" fontId="16" fillId="13" borderId="15" xfId="0" applyNumberFormat="1" applyFont="1" applyFill="1" applyBorder="1" applyAlignment="1">
      <x:alignment vertical="center"/>
    </x:xf>
    <x:xf numFmtId="0" fontId="16" fillId="13" borderId="10" xfId="0" applyNumberFormat="1" applyFont="1" applyFill="1" applyBorder="1" applyAlignment="1">
      <x:alignment vertical="center"/>
    </x:xf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vertical="center"/>
    </x:xf>
    <x:xf numFmtId="0" fontId="13" fillId="14" borderId="6" xfId="0" applyNumberFormat="1" applyFont="1" applyFill="1" applyBorder="1" applyAlignment="1">
      <x:alignment wrapText="1"/>
    </x:xf>
    <x:xf numFmtId="0" fontId="14" fillId="14" borderId="6" xfId="0" applyNumberFormat="1" applyFont="1" applyFill="1" applyBorder="1" applyAlignment="1">
      <x:alignment wrapText="1"/>
    </x:xf>
    <x:xf numFmtId="0" fontId="16" fillId="13" borderId="11" xfId="0" applyNumberFormat="1" applyFont="1" applyFill="1" applyBorder="1" applyAlignment="1">
      <x:alignment vertical="center" wrapText="1"/>
    </x:xf>
    <x:xf numFmtId="0" fontId="16" fillId="13" borderId="15" xfId="0" applyNumberFormat="1" applyFont="1" applyFill="1" applyBorder="1" applyAlignment="1">
      <x:alignment vertical="center" wrapText="1"/>
    </x:xf>
    <x:xf numFmtId="0" fontId="15" fillId="15" borderId="6" xfId="0" applyNumberFormat="1" applyFont="1" applyFill="1" applyBorder="1" applyAlignment="1">
      <x:alignment wrapText="1"/>
    </x:xf>
    <x:xf numFmtId="0" fontId="14" fillId="15" borderId="6" xfId="0" applyNumberFormat="1" applyFont="1" applyFill="1" applyBorder="1" applyAlignment="1">
      <x:alignment wrapText="1"/>
    </x:xf>
    <x:xf numFmtId="0" fontId="14" fillId="14" borderId="6" xfId="0" applyNumberFormat="1" applyFont="1" applyFill="1" applyBorder="1" applyAlignment="1">
      <x:alignment vertical="center" wrapText="1"/>
    </x:xf>
    <x:xf numFmtId="0" fontId="14" fillId="15" borderId="6" xfId="0" applyNumberFormat="1" applyFont="1" applyFill="1" applyBorder="1" applyAlignment="1">
      <x:alignment vertical="center" wrapText="1"/>
    </x:xf>
    <x:xf numFmtId="0" fontId="14" fillId="14" borderId="6" xfId="0" applyNumberFormat="1" applyFont="1" applyFill="1" applyBorder="1" applyAlignment="1">
      <x:alignment vertical="top" wrapText="1"/>
    </x:xf>
    <x:xf numFmtId="0" fontId="0" fillId="15" borderId="6" xfId="0" applyNumberFormat="1" applyFont="1" applyFill="1" applyBorder="1" applyAlignment="1">
      <x:alignment vertical="center" wrapText="1"/>
    </x:xf>
    <x:xf numFmtId="0" fontId="18" fillId="15" borderId="6" xfId="0" applyNumberFormat="1" applyFont="1" applyFill="1" applyBorder="1" applyAlignment="1">
      <x:alignment vertical="center" wrapText="1"/>
    </x:xf>
    <x:xf numFmtId="0" fontId="0" fillId="13" borderId="6" xfId="0" applyNumberFormat="1" applyFont="1" applyFill="1" applyBorder="1" applyAlignment="1">
      <x:alignment vertical="center" wrapText="1"/>
    </x:xf>
    <x:xf numFmtId="0" fontId="19" fillId="13" borderId="6" xfId="0" applyNumberFormat="1" applyFont="1" applyFill="1" applyBorder="1" applyAlignment="1">
      <x:alignment vertical="center" wrapText="1"/>
    </x:xf>
    <x:xf numFmtId="200" fontId="13" fillId="14" borderId="6" xfId="0" applyNumberFormat="1" applyFont="1" applyFill="1" applyBorder="1" applyAlignment="1">
      <x:alignment wrapText="1"/>
    </x:xf>
    <x:xf numFmtId="201" fontId="13" fillId="14" borderId="6" xfId="0" applyNumberFormat="1" applyFont="1" applyFill="1" applyBorder="1" applyAlignment="1">
      <x:alignment wrapText="1"/>
    </x:xf>
    <x:xf numFmtId="202" fontId="13" fillId="14" borderId="6" xfId="0" applyNumberFormat="1" applyFont="1" applyFill="1" applyBorder="1" applyAlignment="1">
      <x:alignment wrapText="1"/>
    </x:xf>
    <x:xf numFmtId="202" fontId="14" fillId="14" borderId="6" xfId="0" applyNumberFormat="1" applyFont="1" applyFill="1" applyBorder="1" applyAlignment="1">
      <x:alignment wrapText="1"/>
    </x:xf>
    <x:xf numFmtId="202" fontId="14" fillId="14" borderId="6" xfId="0" applyNumberFormat="1" applyFont="1" applyFill="1" applyBorder="1" applyAlignment="1">
      <x:alignment vertical="center" wrapText="1"/>
    </x:xf>
    <x:xf numFmtId="201" fontId="14" fillId="14" borderId="6" xfId="0" applyNumberFormat="1" applyFont="1" applyFill="1" applyBorder="1" applyAlignment="1">
      <x:alignment wrapText="1"/>
    </x:xf>
    <x:xf numFmtId="201" fontId="14" fillId="14" borderId="6" xfId="0" applyNumberFormat="1" applyFont="1" applyFill="1" applyBorder="1" applyAlignment="1">
      <x:alignment vertical="center" wrapText="1"/>
    </x:xf>
    <x:xf numFmtId="201" fontId="14" fillId="15" borderId="6" xfId="0" applyNumberFormat="1" applyFont="1" applyFill="1" applyBorder="1" applyAlignment="1">
      <x:alignment vertical="center" wrapText="1"/>
    </x:xf>
    <x:xf numFmtId="203" fontId="14" fillId="14" borderId="6" xfId="0" applyNumberFormat="1" applyFont="1" applyFill="1" applyBorder="1" applyAlignment="1">
      <x:alignment wrapText="1"/>
    </x:xf>
    <x:xf numFmtId="203" fontId="14" fillId="14" borderId="6" xfId="0" applyNumberFormat="1" applyFont="1" applyFill="1" applyBorder="1" applyAlignment="1">
      <x:alignment vertical="center" wrapText="1"/>
    </x:xf>
    <x:xf numFmtId="203" fontId="19" fillId="13" borderId="6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5" fillId="16" borderId="0" xfId="0" applyNumberFormat="1" applyFont="1" applyFill="1" applyBorder="1"/>
    <x:xf numFmtId="0" fontId="5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6" xfId="0" applyNumberFormat="1" applyFont="1" applyFill="1" applyBorder="1"/>
    <x:xf numFmtId="0" fontId="7" fillId="17" borderId="6" xfId="0" applyNumberFormat="1" applyFont="1" applyFill="1" applyBorder="1" applyAlignment="1">
      <x:alignment wrapText="1"/>
    </x:xf>
    <x:xf numFmtId="0" fontId="7" fillId="17" borderId="6" xfId="0" applyNumberFormat="1" applyFont="1" applyFill="1" applyBorder="1" applyAlignment="1">
      <x:alignment vertical="center" wrapText="1"/>
    </x:xf>
    <x:xf numFmtId="0" fontId="0" fillId="18" borderId="8" xfId="0" applyNumberFormat="1" applyFont="1" applyFill="1" applyBorder="1" applyAlignment="1">
      <x:alignment vertical="top" wrapText="1"/>
    </x:xf>
    <x:xf numFmtId="0" fontId="0" fillId="18" borderId="6" xfId="0" applyNumberFormat="1" applyFont="1" applyFill="1" applyBorder="1" applyAlignment="1">
      <x:alignment vertical="top" wrapText="1"/>
    </x:xf>
    <x:xf numFmtId="0" fontId="0" fillId="18" borderId="13" xfId="0" applyNumberFormat="1" applyFont="1" applyFill="1" applyBorder="1" applyAlignment="1">
      <x:alignment vertical="top" wrapText="1"/>
    </x:xf>
    <x:xf numFmtId="0" fontId="8" fillId="18" borderId="8" xfId="0" applyNumberFormat="1" applyFont="1" applyFill="1" applyBorder="1" applyAlignment="1">
      <x:alignment vertical="top" wrapText="1"/>
    </x:xf>
    <x:xf numFmtId="0" fontId="8" fillId="18" borderId="6" xfId="0" applyNumberFormat="1" applyFont="1" applyFill="1" applyBorder="1" applyAlignment="1">
      <x:alignment vertical="top" wrapText="1"/>
    </x:xf>
    <x:xf numFmtId="0" fontId="8" fillId="18" borderId="13" xfId="0" applyNumberFormat="1" applyFont="1" applyFill="1" applyBorder="1" applyAlignment="1">
      <x:alignment vertical="top" wrapText="1"/>
    </x:xf>
    <x:xf numFmtId="0" fontId="9" fillId="16" borderId="0" xfId="0" applyNumberFormat="1" applyFont="1" applyFill="1" applyBorder="1" applyAlignment="1">
      <x:alignment vertical="center"/>
    </x:xf>
    <x:xf numFmtId="0" fontId="4" fillId="17" borderId="6" xfId="0" applyNumberFormat="1" applyFont="1" applyFill="1" applyBorder="1" applyAlignment="1">
      <x:alignment vertical="center" wrapText="1"/>
    </x:xf>
    <x:xf numFmtId="0" fontId="12" fillId="18" borderId="8" xfId="0" applyNumberFormat="1" applyFont="1" applyFill="1" applyBorder="1" applyAlignment="1">
      <x:alignment vertical="top" wrapText="1"/>
    </x:xf>
    <x:xf numFmtId="0" fontId="12" fillId="18" borderId="6" xfId="0" applyNumberFormat="1" applyFont="1" applyFill="1" applyBorder="1" applyAlignment="1">
      <x:alignment vertical="top" wrapText="1"/>
    </x:xf>
    <x:xf numFmtId="0" fontId="12" fillId="18" borderId="13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13" fillId="19" borderId="0" xfId="0" applyNumberFormat="1" applyFont="1" applyFill="1" applyBorder="1"/>
    <x:xf numFmtId="0" fontId="13" fillId="19" borderId="6" xfId="0" applyNumberFormat="1" applyFont="1" applyFill="1" applyBorder="1"/>
    <x:xf numFmtId="0" fontId="14" fillId="19" borderId="0" xfId="0" applyNumberFormat="1" applyFont="1" applyFill="1" applyBorder="1"/>
    <x:xf numFmtId="0" fontId="14" fillId="19" borderId="6" xfId="0" applyNumberFormat="1" applyFont="1" applyFill="1" applyBorder="1"/>
    <x:xf numFmtId="0" fontId="14" fillId="20" borderId="6" xfId="0" applyNumberFormat="1" applyFont="1" applyFill="1" applyBorder="1"/>
    <x:xf numFmtId="0" fontId="15" fillId="20" borderId="6" xfId="0" applyNumberFormat="1" applyFont="1" applyFill="1" applyBorder="1"/>
    <x:xf numFmtId="0" fontId="0" fillId="18" borderId="0" xfId="0" applyNumberFormat="1" applyFont="1" applyFill="1" applyBorder="1"/>
    <x:xf numFmtId="0" fontId="16" fillId="18" borderId="0" xfId="0" applyNumberFormat="1" applyFont="1" applyFill="1" applyBorder="1"/>
    <x:xf numFmtId="0" fontId="16" fillId="18" borderId="11" xfId="0" applyNumberFormat="1" applyFont="1" applyFill="1" applyBorder="1"/>
    <x:xf numFmtId="0" fontId="16" fillId="18" borderId="15" xfId="0" applyNumberFormat="1" applyFont="1" applyFill="1" applyBorder="1"/>
    <x:xf numFmtId="0" fontId="16" fillId="18" borderId="10" xfId="0" applyNumberFormat="1" applyFont="1" applyFill="1" applyBorder="1"/>
    <x:xf numFmtId="0" fontId="16" fillId="18" borderId="11" xfId="0" applyNumberFormat="1" applyFont="1" applyFill="1" applyBorder="1" applyAlignment="1">
      <x:alignment vertical="center"/>
    </x:xf>
    <x:xf numFmtId="0" fontId="16" fillId="18" borderId="15" xfId="0" applyNumberFormat="1" applyFont="1" applyFill="1" applyBorder="1" applyAlignment="1">
      <x:alignment vertical="center"/>
    </x:xf>
    <x:xf numFmtId="0" fontId="16" fillId="18" borderId="10" xfId="0" applyNumberFormat="1" applyFont="1" applyFill="1" applyBorder="1" applyAlignment="1">
      <x:alignment vertical="center"/>
    </x:xf>
    <x:xf numFmtId="0" fontId="17" fillId="16" borderId="0" xfId="0" applyNumberFormat="1" applyFont="1" applyFill="1" applyBorder="1"/>
    <x:xf numFmtId="0" fontId="17" fillId="16" borderId="0" xfId="0" applyNumberFormat="1" applyFont="1" applyFill="1" applyBorder="1" applyAlignment="1">
      <x:alignment vertical="center"/>
    </x:xf>
    <x:xf numFmtId="0" fontId="13" fillId="19" borderId="6" xfId="0" applyNumberFormat="1" applyFont="1" applyFill="1" applyBorder="1" applyAlignment="1">
      <x:alignment wrapText="1"/>
    </x:xf>
    <x:xf numFmtId="0" fontId="14" fillId="19" borderId="6" xfId="0" applyNumberFormat="1" applyFont="1" applyFill="1" applyBorder="1" applyAlignment="1">
      <x:alignment wrapText="1"/>
    </x:xf>
    <x:xf numFmtId="0" fontId="16" fillId="18" borderId="11" xfId="0" applyNumberFormat="1" applyFont="1" applyFill="1" applyBorder="1" applyAlignment="1">
      <x:alignment vertical="center" wrapText="1"/>
    </x:xf>
    <x:xf numFmtId="0" fontId="16" fillId="18" borderId="15" xfId="0" applyNumberFormat="1" applyFont="1" applyFill="1" applyBorder="1" applyAlignment="1">
      <x:alignment vertical="center" wrapText="1"/>
    </x:xf>
    <x:xf numFmtId="0" fontId="15" fillId="20" borderId="6" xfId="0" applyNumberFormat="1" applyFont="1" applyFill="1" applyBorder="1" applyAlignment="1">
      <x:alignment wrapText="1"/>
    </x:xf>
    <x:xf numFmtId="0" fontId="14" fillId="20" borderId="6" xfId="0" applyNumberFormat="1" applyFont="1" applyFill="1" applyBorder="1" applyAlignment="1">
      <x:alignment wrapText="1"/>
    </x:xf>
    <x:xf numFmtId="0" fontId="14" fillId="19" borderId="6" xfId="0" applyNumberFormat="1" applyFont="1" applyFill="1" applyBorder="1" applyAlignment="1">
      <x:alignment vertical="center" wrapText="1"/>
    </x:xf>
    <x:xf numFmtId="0" fontId="14" fillId="20" borderId="6" xfId="0" applyNumberFormat="1" applyFont="1" applyFill="1" applyBorder="1" applyAlignment="1">
      <x:alignment vertical="center" wrapText="1"/>
    </x:xf>
    <x:xf numFmtId="0" fontId="14" fillId="19" borderId="6" xfId="0" applyNumberFormat="1" applyFont="1" applyFill="1" applyBorder="1" applyAlignment="1">
      <x:alignment vertical="top" wrapText="1"/>
    </x:xf>
    <x:xf numFmtId="0" fontId="0" fillId="20" borderId="6" xfId="0" applyNumberFormat="1" applyFont="1" applyFill="1" applyBorder="1" applyAlignment="1">
      <x:alignment vertical="center" wrapText="1"/>
    </x:xf>
    <x:xf numFmtId="0" fontId="18" fillId="20" borderId="6" xfId="0" applyNumberFormat="1" applyFont="1" applyFill="1" applyBorder="1" applyAlignment="1">
      <x:alignment vertical="center" wrapText="1"/>
    </x:xf>
    <x:xf numFmtId="0" fontId="0" fillId="18" borderId="6" xfId="0" applyNumberFormat="1" applyFont="1" applyFill="1" applyBorder="1" applyAlignment="1">
      <x:alignment vertical="center" wrapText="1"/>
    </x:xf>
    <x:xf numFmtId="0" fontId="19" fillId="18" borderId="6" xfId="0" applyNumberFormat="1" applyFont="1" applyFill="1" applyBorder="1" applyAlignment="1">
      <x:alignment vertical="center" wrapText="1"/>
    </x:xf>
    <x:xf numFmtId="200" fontId="13" fillId="19" borderId="6" xfId="0" applyNumberFormat="1" applyFont="1" applyFill="1" applyBorder="1" applyAlignment="1">
      <x:alignment wrapText="1"/>
    </x:xf>
    <x:xf numFmtId="201" fontId="13" fillId="19" borderId="6" xfId="0" applyNumberFormat="1" applyFont="1" applyFill="1" applyBorder="1" applyAlignment="1">
      <x:alignment wrapText="1"/>
    </x:xf>
    <x:xf numFmtId="202" fontId="13" fillId="19" borderId="6" xfId="0" applyNumberFormat="1" applyFont="1" applyFill="1" applyBorder="1" applyAlignment="1">
      <x:alignment wrapText="1"/>
    </x:xf>
    <x:xf numFmtId="202" fontId="14" fillId="19" borderId="6" xfId="0" applyNumberFormat="1" applyFont="1" applyFill="1" applyBorder="1" applyAlignment="1">
      <x:alignment wrapText="1"/>
    </x:xf>
    <x:xf numFmtId="202" fontId="14" fillId="19" borderId="6" xfId="0" applyNumberFormat="1" applyFont="1" applyFill="1" applyBorder="1" applyAlignment="1">
      <x:alignment vertical="center" wrapText="1"/>
    </x:xf>
    <x:xf numFmtId="201" fontId="14" fillId="19" borderId="6" xfId="0" applyNumberFormat="1" applyFont="1" applyFill="1" applyBorder="1" applyAlignment="1">
      <x:alignment wrapText="1"/>
    </x:xf>
    <x:xf numFmtId="201" fontId="14" fillId="19" borderId="6" xfId="0" applyNumberFormat="1" applyFont="1" applyFill="1" applyBorder="1" applyAlignment="1">
      <x:alignment vertical="center" wrapText="1"/>
    </x:xf>
    <x:xf numFmtId="201" fontId="14" fillId="20" borderId="6" xfId="0" applyNumberFormat="1" applyFont="1" applyFill="1" applyBorder="1" applyAlignment="1">
      <x:alignment vertical="center" wrapText="1"/>
    </x:xf>
    <x:xf numFmtId="203" fontId="14" fillId="19" borderId="6" xfId="0" applyNumberFormat="1" applyFont="1" applyFill="1" applyBorder="1" applyAlignment="1">
      <x:alignment wrapText="1"/>
    </x:xf>
    <x:xf numFmtId="203" fontId="14" fillId="19" borderId="6" xfId="0" applyNumberFormat="1" applyFont="1" applyFill="1" applyBorder="1" applyAlignment="1">
      <x:alignment vertical="center" wrapText="1"/>
    </x:xf>
    <x:xf numFmtId="203" fontId="19" fillId="18" borderId="6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5" fillId="21" borderId="0" xfId="0" applyNumberFormat="1" applyFont="1" applyFill="1" applyBorder="1"/>
    <x:xf numFmtId="0" fontId="5" fillId="21" borderId="0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/>
    <x:xf numFmtId="0" fontId="7" fillId="22" borderId="0" xfId="0" applyNumberFormat="1" applyFont="1" applyFill="1" applyBorder="1"/>
    <x:xf numFmtId="0" fontId="7" fillId="22" borderId="6" xfId="0" applyNumberFormat="1" applyFont="1" applyFill="1" applyBorder="1"/>
    <x:xf numFmtId="0" fontId="7" fillId="22" borderId="6" xfId="0" applyNumberFormat="1" applyFont="1" applyFill="1" applyBorder="1" applyAlignment="1">
      <x:alignment wrapText="1"/>
    </x:xf>
    <x:xf numFmtId="0" fontId="7" fillId="22" borderId="6" xfId="0" applyNumberFormat="1" applyFont="1" applyFill="1" applyBorder="1" applyAlignment="1">
      <x:alignment vertical="center" wrapText="1"/>
    </x:xf>
    <x:xf numFmtId="0" fontId="0" fillId="23" borderId="8" xfId="0" applyNumberFormat="1" applyFont="1" applyFill="1" applyBorder="1" applyAlignment="1">
      <x:alignment vertical="top" wrapText="1"/>
    </x:xf>
    <x:xf numFmtId="0" fontId="0" fillId="23" borderId="6" xfId="0" applyNumberFormat="1" applyFont="1" applyFill="1" applyBorder="1" applyAlignment="1">
      <x:alignment vertical="top" wrapText="1"/>
    </x:xf>
    <x:xf numFmtId="0" fontId="0" fillId="23" borderId="13" xfId="0" applyNumberFormat="1" applyFont="1" applyFill="1" applyBorder="1" applyAlignment="1">
      <x:alignment vertical="top" wrapText="1"/>
    </x:xf>
    <x:xf numFmtId="0" fontId="8" fillId="23" borderId="8" xfId="0" applyNumberFormat="1" applyFont="1" applyFill="1" applyBorder="1" applyAlignment="1">
      <x:alignment vertical="top" wrapText="1"/>
    </x:xf>
    <x:xf numFmtId="0" fontId="8" fillId="23" borderId="6" xfId="0" applyNumberFormat="1" applyFont="1" applyFill="1" applyBorder="1" applyAlignment="1">
      <x:alignment vertical="top" wrapText="1"/>
    </x:xf>
    <x:xf numFmtId="0" fontId="8" fillId="23" borderId="13" xfId="0" applyNumberFormat="1" applyFont="1" applyFill="1" applyBorder="1" applyAlignment="1">
      <x:alignment vertical="top" wrapText="1"/>
    </x:xf>
    <x:xf numFmtId="0" fontId="9" fillId="21" borderId="0" xfId="0" applyNumberFormat="1" applyFont="1" applyFill="1" applyBorder="1" applyAlignment="1">
      <x:alignment vertical="center"/>
    </x:xf>
    <x:xf numFmtId="0" fontId="4" fillId="22" borderId="6" xfId="0" applyNumberFormat="1" applyFont="1" applyFill="1" applyBorder="1" applyAlignment="1">
      <x:alignment vertical="center" wrapText="1"/>
    </x:xf>
    <x:xf numFmtId="0" fontId="12" fillId="23" borderId="8" xfId="0" applyNumberFormat="1" applyFont="1" applyFill="1" applyBorder="1" applyAlignment="1">
      <x:alignment vertical="top" wrapText="1"/>
    </x:xf>
    <x:xf numFmtId="0" fontId="12" fillId="23" borderId="6" xfId="0" applyNumberFormat="1" applyFont="1" applyFill="1" applyBorder="1" applyAlignment="1">
      <x:alignment vertical="top" wrapText="1"/>
    </x:xf>
    <x:xf numFmtId="0" fontId="12" fillId="23" borderId="13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13" fillId="24" borderId="0" xfId="0" applyNumberFormat="1" applyFont="1" applyFill="1" applyBorder="1"/>
    <x:xf numFmtId="0" fontId="13" fillId="24" borderId="6" xfId="0" applyNumberFormat="1" applyFont="1" applyFill="1" applyBorder="1"/>
    <x:xf numFmtId="0" fontId="14" fillId="24" borderId="0" xfId="0" applyNumberFormat="1" applyFont="1" applyFill="1" applyBorder="1"/>
    <x:xf numFmtId="0" fontId="14" fillId="24" borderId="6" xfId="0" applyNumberFormat="1" applyFont="1" applyFill="1" applyBorder="1"/>
    <x:xf numFmtId="0" fontId="14" fillId="25" borderId="6" xfId="0" applyNumberFormat="1" applyFont="1" applyFill="1" applyBorder="1"/>
    <x:xf numFmtId="0" fontId="15" fillId="25" borderId="6" xfId="0" applyNumberFormat="1" applyFont="1" applyFill="1" applyBorder="1"/>
    <x:xf numFmtId="0" fontId="0" fillId="23" borderId="0" xfId="0" applyNumberFormat="1" applyFont="1" applyFill="1" applyBorder="1"/>
    <x:xf numFmtId="0" fontId="16" fillId="23" borderId="0" xfId="0" applyNumberFormat="1" applyFont="1" applyFill="1" applyBorder="1"/>
    <x:xf numFmtId="0" fontId="16" fillId="23" borderId="11" xfId="0" applyNumberFormat="1" applyFont="1" applyFill="1" applyBorder="1"/>
    <x:xf numFmtId="0" fontId="16" fillId="23" borderId="15" xfId="0" applyNumberFormat="1" applyFont="1" applyFill="1" applyBorder="1"/>
    <x:xf numFmtId="0" fontId="16" fillId="23" borderId="10" xfId="0" applyNumberFormat="1" applyFont="1" applyFill="1" applyBorder="1"/>
    <x:xf numFmtId="0" fontId="16" fillId="23" borderId="11" xfId="0" applyNumberFormat="1" applyFont="1" applyFill="1" applyBorder="1" applyAlignment="1">
      <x:alignment vertical="center"/>
    </x:xf>
    <x:xf numFmtId="0" fontId="16" fillId="23" borderId="15" xfId="0" applyNumberFormat="1" applyFont="1" applyFill="1" applyBorder="1" applyAlignment="1">
      <x:alignment vertical="center"/>
    </x:xf>
    <x:xf numFmtId="0" fontId="16" fillId="23" borderId="10" xfId="0" applyNumberFormat="1" applyFont="1" applyFill="1" applyBorder="1" applyAlignment="1">
      <x:alignment vertical="center"/>
    </x:xf>
    <x:xf numFmtId="0" fontId="17" fillId="21" borderId="0" xfId="0" applyNumberFormat="1" applyFont="1" applyFill="1" applyBorder="1"/>
    <x:xf numFmtId="0" fontId="17" fillId="21" borderId="0" xfId="0" applyNumberFormat="1" applyFont="1" applyFill="1" applyBorder="1" applyAlignment="1">
      <x:alignment vertical="center"/>
    </x:xf>
    <x:xf numFmtId="0" fontId="13" fillId="24" borderId="6" xfId="0" applyNumberFormat="1" applyFont="1" applyFill="1" applyBorder="1" applyAlignment="1">
      <x:alignment wrapText="1"/>
    </x:xf>
    <x:xf numFmtId="0" fontId="14" fillId="24" borderId="6" xfId="0" applyNumberFormat="1" applyFont="1" applyFill="1" applyBorder="1" applyAlignment="1">
      <x:alignment wrapText="1"/>
    </x:xf>
    <x:xf numFmtId="0" fontId="16" fillId="23" borderId="11" xfId="0" applyNumberFormat="1" applyFont="1" applyFill="1" applyBorder="1" applyAlignment="1">
      <x:alignment vertical="center" wrapText="1"/>
    </x:xf>
    <x:xf numFmtId="0" fontId="16" fillId="23" borderId="15" xfId="0" applyNumberFormat="1" applyFont="1" applyFill="1" applyBorder="1" applyAlignment="1">
      <x:alignment vertical="center" wrapText="1"/>
    </x:xf>
    <x:xf numFmtId="0" fontId="15" fillId="25" borderId="6" xfId="0" applyNumberFormat="1" applyFont="1" applyFill="1" applyBorder="1" applyAlignment="1">
      <x:alignment wrapText="1"/>
    </x:xf>
    <x:xf numFmtId="0" fontId="14" fillId="25" borderId="6" xfId="0" applyNumberFormat="1" applyFont="1" applyFill="1" applyBorder="1" applyAlignment="1">
      <x:alignment wrapText="1"/>
    </x:xf>
    <x:xf numFmtId="0" fontId="14" fillId="24" borderId="6" xfId="0" applyNumberFormat="1" applyFont="1" applyFill="1" applyBorder="1" applyAlignment="1">
      <x:alignment vertical="center" wrapText="1"/>
    </x:xf>
    <x:xf numFmtId="0" fontId="14" fillId="25" borderId="6" xfId="0" applyNumberFormat="1" applyFont="1" applyFill="1" applyBorder="1" applyAlignment="1">
      <x:alignment vertical="center" wrapText="1"/>
    </x:xf>
    <x:xf numFmtId="0" fontId="14" fillId="24" borderId="6" xfId="0" applyNumberFormat="1" applyFont="1" applyFill="1" applyBorder="1" applyAlignment="1">
      <x:alignment vertical="top" wrapText="1"/>
    </x:xf>
    <x:xf numFmtId="0" fontId="0" fillId="25" borderId="6" xfId="0" applyNumberFormat="1" applyFont="1" applyFill="1" applyBorder="1" applyAlignment="1">
      <x:alignment vertical="center" wrapText="1"/>
    </x:xf>
    <x:xf numFmtId="0" fontId="18" fillId="25" borderId="6" xfId="0" applyNumberFormat="1" applyFont="1" applyFill="1" applyBorder="1" applyAlignment="1">
      <x:alignment vertical="center" wrapText="1"/>
    </x:xf>
    <x:xf numFmtId="0" fontId="0" fillId="23" borderId="6" xfId="0" applyNumberFormat="1" applyFont="1" applyFill="1" applyBorder="1" applyAlignment="1">
      <x:alignment vertical="center" wrapText="1"/>
    </x:xf>
    <x:xf numFmtId="0" fontId="19" fillId="23" borderId="6" xfId="0" applyNumberFormat="1" applyFont="1" applyFill="1" applyBorder="1" applyAlignment="1">
      <x:alignment vertical="center" wrapText="1"/>
    </x:xf>
    <x:xf numFmtId="200" fontId="13" fillId="24" borderId="6" xfId="0" applyNumberFormat="1" applyFont="1" applyFill="1" applyBorder="1" applyAlignment="1">
      <x:alignment wrapText="1"/>
    </x:xf>
    <x:xf numFmtId="201" fontId="13" fillId="24" borderId="6" xfId="0" applyNumberFormat="1" applyFont="1" applyFill="1" applyBorder="1" applyAlignment="1">
      <x:alignment wrapText="1"/>
    </x:xf>
    <x:xf numFmtId="202" fontId="13" fillId="24" borderId="6" xfId="0" applyNumberFormat="1" applyFont="1" applyFill="1" applyBorder="1" applyAlignment="1">
      <x:alignment wrapText="1"/>
    </x:xf>
    <x:xf numFmtId="202" fontId="14" fillId="24" borderId="6" xfId="0" applyNumberFormat="1" applyFont="1" applyFill="1" applyBorder="1" applyAlignment="1">
      <x:alignment wrapText="1"/>
    </x:xf>
    <x:xf numFmtId="202" fontId="14" fillId="24" borderId="6" xfId="0" applyNumberFormat="1" applyFont="1" applyFill="1" applyBorder="1" applyAlignment="1">
      <x:alignment vertical="center" wrapText="1"/>
    </x:xf>
    <x:xf numFmtId="201" fontId="14" fillId="24" borderId="6" xfId="0" applyNumberFormat="1" applyFont="1" applyFill="1" applyBorder="1" applyAlignment="1">
      <x:alignment wrapText="1"/>
    </x:xf>
    <x:xf numFmtId="201" fontId="14" fillId="24" borderId="6" xfId="0" applyNumberFormat="1" applyFont="1" applyFill="1" applyBorder="1" applyAlignment="1">
      <x:alignment vertical="center" wrapText="1"/>
    </x:xf>
    <x:xf numFmtId="201" fontId="14" fillId="25" borderId="6" xfId="0" applyNumberFormat="1" applyFont="1" applyFill="1" applyBorder="1" applyAlignment="1">
      <x:alignment vertical="center" wrapText="1"/>
    </x:xf>
    <x:xf numFmtId="203" fontId="14" fillId="24" borderId="6" xfId="0" applyNumberFormat="1" applyFont="1" applyFill="1" applyBorder="1" applyAlignment="1">
      <x:alignment wrapText="1"/>
    </x:xf>
    <x:xf numFmtId="203" fontId="14" fillId="24" borderId="6" xfId="0" applyNumberFormat="1" applyFont="1" applyFill="1" applyBorder="1" applyAlignment="1">
      <x:alignment vertical="center" wrapText="1"/>
    </x:xf>
    <x:xf numFmtId="203" fontId="19" fillId="23" borderId="6" xfId="0" applyNumberFormat="1" applyFont="1" applyFill="1" applyBorder="1" applyAlignment="1">
      <x:alignment vertical="center" wrapText="1"/>
    </x:xf>
    <x:xf numFmtId="0" fontId="0" fillId="26" borderId="0" xfId="0" applyNumberFormat="1" applyFont="1" applyFill="1" applyBorder="1"/>
    <x:xf numFmtId="0" fontId="5" fillId="26" borderId="0" xfId="0" applyNumberFormat="1" applyFont="1" applyFill="1" applyBorder="1"/>
    <x:xf numFmtId="0" fontId="5" fillId="26" borderId="0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/>
    <x:xf numFmtId="0" fontId="7" fillId="27" borderId="0" xfId="0" applyNumberFormat="1" applyFont="1" applyFill="1" applyBorder="1"/>
    <x:xf numFmtId="0" fontId="7" fillId="27" borderId="6" xfId="0" applyNumberFormat="1" applyFont="1" applyFill="1" applyBorder="1"/>
    <x:xf numFmtId="0" fontId="7" fillId="27" borderId="6" xfId="0" applyNumberFormat="1" applyFont="1" applyFill="1" applyBorder="1" applyAlignment="1">
      <x:alignment wrapText="1"/>
    </x:xf>
    <x:xf numFmtId="0" fontId="7" fillId="27" borderId="6" xfId="0" applyNumberFormat="1" applyFont="1" applyFill="1" applyBorder="1" applyAlignment="1">
      <x:alignment vertical="center" wrapText="1"/>
    </x:xf>
    <x:xf numFmtId="0" fontId="0" fillId="28" borderId="8" xfId="0" applyNumberFormat="1" applyFont="1" applyFill="1" applyBorder="1" applyAlignment="1">
      <x:alignment vertical="top" wrapText="1"/>
    </x:xf>
    <x:xf numFmtId="0" fontId="0" fillId="28" borderId="6" xfId="0" applyNumberFormat="1" applyFont="1" applyFill="1" applyBorder="1" applyAlignment="1">
      <x:alignment vertical="top" wrapText="1"/>
    </x:xf>
    <x:xf numFmtId="0" fontId="0" fillId="28" borderId="13" xfId="0" applyNumberFormat="1" applyFont="1" applyFill="1" applyBorder="1" applyAlignment="1">
      <x:alignment vertical="top" wrapText="1"/>
    </x:xf>
    <x:xf numFmtId="0" fontId="8" fillId="28" borderId="8" xfId="0" applyNumberFormat="1" applyFont="1" applyFill="1" applyBorder="1" applyAlignment="1">
      <x:alignment vertical="top" wrapText="1"/>
    </x:xf>
    <x:xf numFmtId="0" fontId="8" fillId="28" borderId="6" xfId="0" applyNumberFormat="1" applyFont="1" applyFill="1" applyBorder="1" applyAlignment="1">
      <x:alignment vertical="top" wrapText="1"/>
    </x:xf>
    <x:xf numFmtId="0" fontId="8" fillId="28" borderId="13" xfId="0" applyNumberFormat="1" applyFont="1" applyFill="1" applyBorder="1" applyAlignment="1">
      <x:alignment vertical="top" wrapText="1"/>
    </x:xf>
    <x:xf numFmtId="0" fontId="9" fillId="26" borderId="0" xfId="0" applyNumberFormat="1" applyFont="1" applyFill="1" applyBorder="1" applyAlignment="1">
      <x:alignment vertical="center"/>
    </x:xf>
    <x:xf numFmtId="0" fontId="4" fillId="27" borderId="6" xfId="0" applyNumberFormat="1" applyFont="1" applyFill="1" applyBorder="1" applyAlignment="1">
      <x:alignment vertical="center" wrapText="1"/>
    </x:xf>
    <x:xf numFmtId="0" fontId="12" fillId="28" borderId="8" xfId="0" applyNumberFormat="1" applyFont="1" applyFill="1" applyBorder="1" applyAlignment="1">
      <x:alignment vertical="top" wrapText="1"/>
    </x:xf>
    <x:xf numFmtId="0" fontId="12" fillId="28" borderId="6" xfId="0" applyNumberFormat="1" applyFont="1" applyFill="1" applyBorder="1" applyAlignment="1">
      <x:alignment vertical="top" wrapText="1"/>
    </x:xf>
    <x:xf numFmtId="0" fontId="12" fillId="28" borderId="13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/>
    <x:xf numFmtId="0" fontId="13" fillId="29" borderId="0" xfId="0" applyNumberFormat="1" applyFont="1" applyFill="1" applyBorder="1"/>
    <x:xf numFmtId="0" fontId="13" fillId="29" borderId="6" xfId="0" applyNumberFormat="1" applyFont="1" applyFill="1" applyBorder="1"/>
    <x:xf numFmtId="0" fontId="14" fillId="29" borderId="0" xfId="0" applyNumberFormat="1" applyFont="1" applyFill="1" applyBorder="1"/>
    <x:xf numFmtId="0" fontId="14" fillId="29" borderId="6" xfId="0" applyNumberFormat="1" applyFont="1" applyFill="1" applyBorder="1"/>
    <x:xf numFmtId="0" fontId="14" fillId="30" borderId="6" xfId="0" applyNumberFormat="1" applyFont="1" applyFill="1" applyBorder="1"/>
    <x:xf numFmtId="0" fontId="15" fillId="30" borderId="6" xfId="0" applyNumberFormat="1" applyFont="1" applyFill="1" applyBorder="1"/>
    <x:xf numFmtId="0" fontId="0" fillId="28" borderId="0" xfId="0" applyNumberFormat="1" applyFont="1" applyFill="1" applyBorder="1"/>
    <x:xf numFmtId="0" fontId="16" fillId="28" borderId="0" xfId="0" applyNumberFormat="1" applyFont="1" applyFill="1" applyBorder="1"/>
    <x:xf numFmtId="0" fontId="16" fillId="28" borderId="11" xfId="0" applyNumberFormat="1" applyFont="1" applyFill="1" applyBorder="1"/>
    <x:xf numFmtId="0" fontId="16" fillId="28" borderId="15" xfId="0" applyNumberFormat="1" applyFont="1" applyFill="1" applyBorder="1"/>
    <x:xf numFmtId="0" fontId="16" fillId="28" borderId="10" xfId="0" applyNumberFormat="1" applyFont="1" applyFill="1" applyBorder="1"/>
    <x:xf numFmtId="0" fontId="16" fillId="28" borderId="11" xfId="0" applyNumberFormat="1" applyFont="1" applyFill="1" applyBorder="1" applyAlignment="1">
      <x:alignment vertical="center"/>
    </x:xf>
    <x:xf numFmtId="0" fontId="16" fillId="28" borderId="15" xfId="0" applyNumberFormat="1" applyFont="1" applyFill="1" applyBorder="1" applyAlignment="1">
      <x:alignment vertical="center"/>
    </x:xf>
    <x:xf numFmtId="0" fontId="16" fillId="28" borderId="10" xfId="0" applyNumberFormat="1" applyFont="1" applyFill="1" applyBorder="1" applyAlignment="1">
      <x:alignment vertical="center"/>
    </x:xf>
    <x:xf numFmtId="0" fontId="17" fillId="26" borderId="0" xfId="0" applyNumberFormat="1" applyFont="1" applyFill="1" applyBorder="1"/>
    <x:xf numFmtId="0" fontId="17" fillId="26" borderId="0" xfId="0" applyNumberFormat="1" applyFont="1" applyFill="1" applyBorder="1" applyAlignment="1">
      <x:alignment vertical="center"/>
    </x:xf>
    <x:xf numFmtId="0" fontId="13" fillId="29" borderId="6" xfId="0" applyNumberFormat="1" applyFont="1" applyFill="1" applyBorder="1" applyAlignment="1">
      <x:alignment wrapText="1"/>
    </x:xf>
    <x:xf numFmtId="0" fontId="14" fillId="29" borderId="6" xfId="0" applyNumberFormat="1" applyFont="1" applyFill="1" applyBorder="1" applyAlignment="1">
      <x:alignment wrapText="1"/>
    </x:xf>
    <x:xf numFmtId="0" fontId="16" fillId="28" borderId="11" xfId="0" applyNumberFormat="1" applyFont="1" applyFill="1" applyBorder="1" applyAlignment="1">
      <x:alignment vertical="center" wrapText="1"/>
    </x:xf>
    <x:xf numFmtId="0" fontId="16" fillId="28" borderId="15" xfId="0" applyNumberFormat="1" applyFont="1" applyFill="1" applyBorder="1" applyAlignment="1">
      <x:alignment vertical="center" wrapText="1"/>
    </x:xf>
    <x:xf numFmtId="0" fontId="15" fillId="30" borderId="6" xfId="0" applyNumberFormat="1" applyFont="1" applyFill="1" applyBorder="1" applyAlignment="1">
      <x:alignment wrapText="1"/>
    </x:xf>
    <x:xf numFmtId="0" fontId="14" fillId="30" borderId="6" xfId="0" applyNumberFormat="1" applyFont="1" applyFill="1" applyBorder="1" applyAlignment="1">
      <x:alignment wrapText="1"/>
    </x:xf>
    <x:xf numFmtId="0" fontId="14" fillId="29" borderId="6" xfId="0" applyNumberFormat="1" applyFont="1" applyFill="1" applyBorder="1" applyAlignment="1">
      <x:alignment vertical="center" wrapText="1"/>
    </x:xf>
    <x:xf numFmtId="0" fontId="14" fillId="30" borderId="6" xfId="0" applyNumberFormat="1" applyFont="1" applyFill="1" applyBorder="1" applyAlignment="1">
      <x:alignment vertical="center" wrapText="1"/>
    </x:xf>
    <x:xf numFmtId="0" fontId="14" fillId="29" borderId="6" xfId="0" applyNumberFormat="1" applyFont="1" applyFill="1" applyBorder="1" applyAlignment="1">
      <x:alignment vertical="top" wrapText="1"/>
    </x:xf>
    <x:xf numFmtId="0" fontId="0" fillId="30" borderId="6" xfId="0" applyNumberFormat="1" applyFont="1" applyFill="1" applyBorder="1" applyAlignment="1">
      <x:alignment vertical="center" wrapText="1"/>
    </x:xf>
    <x:xf numFmtId="0" fontId="18" fillId="30" borderId="6" xfId="0" applyNumberFormat="1" applyFont="1" applyFill="1" applyBorder="1" applyAlignment="1">
      <x:alignment vertical="center" wrapText="1"/>
    </x:xf>
    <x:xf numFmtId="0" fontId="0" fillId="28" borderId="6" xfId="0" applyNumberFormat="1" applyFont="1" applyFill="1" applyBorder="1" applyAlignment="1">
      <x:alignment vertical="center" wrapText="1"/>
    </x:xf>
    <x:xf numFmtId="0" fontId="19" fillId="28" borderId="6" xfId="0" applyNumberFormat="1" applyFont="1" applyFill="1" applyBorder="1" applyAlignment="1">
      <x:alignment vertical="center" wrapText="1"/>
    </x:xf>
    <x:xf numFmtId="200" fontId="13" fillId="29" borderId="6" xfId="0" applyNumberFormat="1" applyFont="1" applyFill="1" applyBorder="1" applyAlignment="1">
      <x:alignment wrapText="1"/>
    </x:xf>
    <x:xf numFmtId="201" fontId="13" fillId="29" borderId="6" xfId="0" applyNumberFormat="1" applyFont="1" applyFill="1" applyBorder="1" applyAlignment="1">
      <x:alignment wrapText="1"/>
    </x:xf>
    <x:xf numFmtId="202" fontId="13" fillId="29" borderId="6" xfId="0" applyNumberFormat="1" applyFont="1" applyFill="1" applyBorder="1" applyAlignment="1">
      <x:alignment wrapText="1"/>
    </x:xf>
    <x:xf numFmtId="202" fontId="14" fillId="29" borderId="6" xfId="0" applyNumberFormat="1" applyFont="1" applyFill="1" applyBorder="1" applyAlignment="1">
      <x:alignment wrapText="1"/>
    </x:xf>
    <x:xf numFmtId="202" fontId="14" fillId="29" borderId="6" xfId="0" applyNumberFormat="1" applyFont="1" applyFill="1" applyBorder="1" applyAlignment="1">
      <x:alignment vertical="center" wrapText="1"/>
    </x:xf>
    <x:xf numFmtId="201" fontId="14" fillId="29" borderId="6" xfId="0" applyNumberFormat="1" applyFont="1" applyFill="1" applyBorder="1" applyAlignment="1">
      <x:alignment wrapText="1"/>
    </x:xf>
    <x:xf numFmtId="201" fontId="14" fillId="29" borderId="6" xfId="0" applyNumberFormat="1" applyFont="1" applyFill="1" applyBorder="1" applyAlignment="1">
      <x:alignment vertical="center" wrapText="1"/>
    </x:xf>
    <x:xf numFmtId="201" fontId="14" fillId="30" borderId="6" xfId="0" applyNumberFormat="1" applyFont="1" applyFill="1" applyBorder="1" applyAlignment="1">
      <x:alignment vertical="center" wrapText="1"/>
    </x:xf>
    <x:xf numFmtId="203" fontId="14" fillId="29" borderId="6" xfId="0" applyNumberFormat="1" applyFont="1" applyFill="1" applyBorder="1" applyAlignment="1">
      <x:alignment wrapText="1"/>
    </x:xf>
    <x:xf numFmtId="203" fontId="14" fillId="29" borderId="6" xfId="0" applyNumberFormat="1" applyFont="1" applyFill="1" applyBorder="1" applyAlignment="1">
      <x:alignment vertical="center" wrapText="1"/>
    </x:xf>
    <x:xf numFmtId="203" fontId="19" fillId="28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4A7C5E"/>
      </x:font>
      <x:fill>
        <x:patternFill>
          <x:bgColor rgb="FFE2F0D9"/>
        </x:patternFill>
      </x:fill>
    </x:dxf>
    <x:dxf>
      <x:font>
        <x:b/>
        <x:color rgb="FF9C4A2B"/>
      </x:font>
      <x:fill>
        <x:patternFill>
          <x:bgColor rgb="FFFCE4D6"/>
        </x:patternFill>
      </x:fill>
    </x:dxf>
    <x:dxf>
      <x:font>
        <x:b/>
        <x:color rgb="FF4A7C5E"/>
      </x:font>
      <x:fill>
        <x:patternFill>
          <x:bgColor rgb="FFE2F0D9"/>
        </x:patternFill>
      </x:fill>
    </x:dxf>
    <x:dxf>
      <x:font>
        <x:b/>
        <x:color rgb="FF9C4A2B"/>
      </x:font>
      <x:fill>
        <x:patternFill>
          <x:bgColor rgb="FFFCE4D6"/>
        </x:patternFill>
      </x:fill>
    </x:dxf>
    <x:dxf>
      <x:font>
        <x:b/>
        <x:color rgb="FF4A7C5E"/>
      </x:font>
      <x:fill>
        <x:patternFill>
          <x:bgColor rgb="FFE2F0D9"/>
        </x:patternFill>
      </x:fill>
    </x:dxf>
    <x:dxf>
      <x:font>
        <x:b/>
        <x:color rgb="FF9C4A2B"/>
      </x:font>
      <x:fill>
        <x:patternFill>
          <x:bgColor rgb="FFFCE4D6"/>
        </x:patternFill>
      </x:fill>
    </x:dxf>
    <x:dxf>
      <x:font>
        <x:b/>
        <x:color rgb="FF4A7C5E"/>
      </x:font>
      <x:fill>
        <x:patternFill>
          <x:bgColor rgb="FFE2F0D9"/>
        </x:patternFill>
      </x:fill>
    </x:dxf>
    <x:dxf>
      <x:font>
        <x:b/>
        <x:color rgb="FF9C4A2B"/>
      </x:font>
      <x:fill>
        <x:patternFill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e97a57d8914e55" /><Relationship Type="http://schemas.openxmlformats.org/officeDocument/2006/relationships/theme" Target="/xl/theme/theme1.xml" Id="R1b57bb38600d48dc" /><Relationship Type="http://schemas.openxmlformats.org/officeDocument/2006/relationships/sharedStrings" Target="/xl/sharedStrings.xml" Id="Rdffd5c87f7e34444" /><Relationship Type="http://schemas.openxmlformats.org/officeDocument/2006/relationships/worksheet" Target="/xl/worksheets/sheet1.xml" Id="R9cba5cd439d845d7" /><Relationship Type="http://schemas.openxmlformats.org/officeDocument/2006/relationships/worksheet" Target="/xl/worksheets/sheet2.xml" Id="R0d6fd31106e84e36" /><Relationship Type="http://schemas.openxmlformats.org/officeDocument/2006/relationships/worksheet" Target="/xl/worksheets/sheet3.xml" Id="R992c3ac4f69147b0" /><Relationship Type="http://schemas.openxmlformats.org/officeDocument/2006/relationships/worksheet" Target="/xl/worksheets/sheet4.xml" Id="R2915aa483d2d4bf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92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</x:cols>
  <x:sheetData>
    <x:row r="1" ht="30" customHeight="1">
      <x:c r="A1" s="1" t="inlineStr">
        <x:is>
          <x:t xml:space="preserve">BUS123 - MATH-M10-L01 - Foundations of Investing</x:t>
        </x:is>
      </x:c>
      <x:c r="B1" s="14" t="n"/>
      <x:c r="C1" s="14" t="n"/>
      <x:c r="D1" s="14" t="n"/>
      <x:c r="E1" s="14" t="n"/>
      <x:c r="F1" s="14" t="n"/>
      <x:c r="G1" s="14" t="n"/>
      <x:c r="H1" s="15" t="n"/>
    </x:row>
    <x:row r="2" ht="36" customHeight="1">
      <x:c r="A2" s="2" t="inlineStr">
        <x:is>
          <x:t xml:space="preserve">Meridian Advisory Group case study | Student workbook</x:t>
        </x:is>
      </x:c>
      <x:c r="B2" s="14" t="n"/>
      <x:c r="C2" s="14" t="n"/>
      <x:c r="D2" s="14" t="n"/>
      <x:c r="E2" s="14" t="n"/>
      <x:c r="F2" s="14" t="n"/>
      <x:c r="G2" s="14" t="n"/>
      <x:c r="H2" s="15" t="n"/>
    </x:row>
    <x:row r="4" ht="24" customHeight="1">
      <x:c r="A4" s="3" t="inlineStr">
        <x:is>
          <x:t xml:space="preserve">HOW TO USE THIS WORKBOOK</x:t>
        </x:is>
      </x:c>
      <x:c r="B4" s="14" t="n"/>
      <x:c r="C4" s="14" t="n"/>
      <x:c r="D4" s="14" t="n"/>
      <x:c r="E4" s="14" t="n"/>
      <x:c r="F4" s="14" t="n"/>
      <x:c r="G4" s="14" t="n"/>
      <x:c r="H4" s="15" t="n"/>
    </x:row>
    <x:row r="5" ht="30" customHeight="1">
      <x:c r="A5" s="16" t="inlineStr">
        <x:is>
          <x:t xml:space="preserve">1. Open the slide deck and pause when you see a Live You Try It slide.</x:t>
        </x:is>
      </x:c>
      <x:c r="B5" s="14" t="n"/>
      <x:c r="C5" s="14" t="n"/>
      <x:c r="D5" s="14" t="n"/>
      <x:c r="E5" s="14" t="n"/>
      <x:c r="F5" s="14" t="n"/>
      <x:c r="G5" s="14" t="n"/>
      <x:c r="H5" s="15" t="n"/>
    </x:row>
    <x:row r="6" ht="30" customHeight="1">
      <x:c r="A6" s="16" t="inlineStr">
        <x:is>
          <x:t xml:space="preserve">2. In Live You Try It, enter the slide givens into the yellow input cells first.</x:t>
        </x:is>
      </x:c>
      <x:c r="B6" s="14" t="n"/>
      <x:c r="C6" s="14" t="n"/>
      <x:c r="D6" s="14" t="n"/>
      <x:c r="E6" s="14" t="n"/>
      <x:c r="F6" s="14" t="n"/>
      <x:c r="G6" s="14" t="n"/>
      <x:c r="H6" s="15" t="n"/>
    </x:row>
    <x:row r="7" ht="30" customHeight="1">
      <x:c r="A7" s="16" t="inlineStr">
        <x:is>
          <x:t xml:space="preserve">3. Build formulas by referencing those input cells. The feedback column self-checks your practice.</x:t>
        </x:is>
      </x:c>
      <x:c r="B7" s="14" t="n"/>
      <x:c r="C7" s="14" t="n"/>
      <x:c r="D7" s="14" t="n"/>
      <x:c r="E7" s="14" t="n"/>
      <x:c r="F7" s="14" t="n"/>
      <x:c r="G7" s="14" t="n"/>
      <x:c r="H7" s="15" t="n"/>
    </x:row>
    <x:row r="8" ht="34" customHeight="1">
      <x:c r="A8" s="16" t="str">
        <x:v>4. Begin Class Challenge in class, then finish it for homework. Build linked calculations, comparison tests, and a defensible recommendation.</x:v>
      </x:c>
      <x:c r="B8" s="14" t="n"/>
      <x:c r="C8" s="14" t="n"/>
      <x:c r="D8" s="14" t="n"/>
      <x:c r="E8" s="14" t="n"/>
      <x:c r="F8" s="14" t="n"/>
      <x:c r="G8" s="14" t="n"/>
      <x:c r="H8" s="15" t="n"/>
    </x:row>
    <x:row r="9" ht="30" customHeight="1">
      <x:c r="A9" s="16" t="inlineStr">
        <x:is>
          <x:t xml:space="preserve">5. FormulaReferenceCard is a syntax helper. It is not a substitute for choosing the right inputs.</x:t>
        </x:is>
      </x:c>
      <x:c r="B9" s="14" t="n"/>
      <x:c r="C9" s="14" t="n"/>
      <x:c r="D9" s="14" t="n"/>
      <x:c r="E9" s="14" t="n"/>
      <x:c r="F9" s="14" t="n"/>
      <x:c r="G9" s="14" t="n"/>
      <x:c r="H9" s="15" t="n"/>
    </x:row>
    <x:row r="12" ht="24" customHeight="1">
      <x:c r="A12" s="3" t="inlineStr">
        <x:is>
          <x:t xml:space="preserve">WORKBOOK TABS</x:t>
        </x:is>
      </x:c>
      <x:c r="B12" s="14" t="n"/>
      <x:c r="C12" s="14" t="n"/>
      <x:c r="D12" s="14" t="n"/>
      <x:c r="E12" s="14" t="n"/>
      <x:c r="F12" s="14" t="n"/>
      <x:c r="G12" s="14" t="n"/>
      <x:c r="H12" s="15" t="n"/>
    </x:row>
    <x:row r="13">
      <x:c r="A13" s="5" t="inlineStr">
        <x:is>
          <x:t xml:space="preserve">Tab</x:t>
        </x:is>
      </x:c>
      <x:c r="B13" s="5" t="inlineStr">
        <x:is>
          <x:t xml:space="preserve">Purpose</x:t>
        </x:is>
      </x:c>
      <x:c r="C13" s="5" t="inlineStr">
        <x:is>
          <x:t xml:space="preserve">Grading role</x:t>
        </x:is>
      </x:c>
    </x:row>
    <x:row r="14" ht="44" customHeight="1">
      <x:c r="A14" s="16" t="inlineStr">
        <x:is>
          <x:t xml:space="preserve">Live You Try It</x:t>
        </x:is>
      </x:c>
      <x:c r="B14" s="16" t="inlineStr">
        <x:is>
          <x:t xml:space="preserve">Short Excel pauses tied to worked examples in the slide deck; self-graded with hints and feedback.</x:t>
        </x:is>
      </x:c>
      <x:c r="C14" s="16" t="inlineStr">
        <x:is>
          <x:t xml:space="preserve">Practice only</x:t>
        </x:is>
      </x:c>
    </x:row>
    <x:row r="15" ht="44" customHeight="1">
      <x:c r="A15" s="16" t="str">
        <x:v>Class Challenge</x:v>
      </x:c>
      <x:c r="B15" s="16" t="str">
        <x:v>Constrained client portfolio model with linked calculations, a comparison table, and a recommendation.</x:v>
      </x:c>
      <x:c r="C15" s="16" t="str">
        <x:v>Only graded tab</x:v>
      </x:c>
    </x:row>
    <x:row r="16" ht="44" customHeight="1">
      <x:c r="A16" s="16" t="inlineStr">
        <x:is>
          <x:t xml:space="preserve">FormulaReferenceCard</x:t>
        </x:is>
      </x:c>
      <x:c r="B16" s="16" t="inlineStr">
        <x:is>
          <x:t xml:space="preserve">Reference formulas and Excel syntax for stocks, bonds, ROI, and NAV.</x:t>
        </x:is>
      </x:c>
      <x:c r="C16" s="16" t="inlineStr">
        <x:is>
          <x:t xml:space="preserve">Reference only</x:t>
        </x:is>
      </x:c>
    </x:row>
    <x:row r="19" ht="24" customHeight="1">
      <x:c r="A19" s="3" t="inlineStr">
        <x:is>
          <x:t xml:space="preserve">I CAN STATEMENTS</x:t>
        </x:is>
      </x:c>
      <x:c r="B19" s="14" t="n"/>
      <x:c r="C19" s="14" t="n"/>
      <x:c r="D19" s="14" t="n"/>
      <x:c r="E19" s="14" t="n"/>
      <x:c r="F19" s="14" t="n"/>
      <x:c r="G19" s="14" t="n"/>
      <x:c r="H19" s="15" t="n"/>
    </x:row>
    <x:row r="20" ht="28" customHeight="1">
      <x:c r="A20" s="16" t="str">
        <x:v>I can read a stock quote and calculate bid-ask spread and dividend yield.</x:v>
      </x:c>
      <x:c r="B20" s="14" t="n"/>
      <x:c r="C20" s="14" t="n"/>
      <x:c r="D20" s="14" t="n"/>
      <x:c r="E20" s="14" t="n"/>
      <x:c r="F20" s="14" t="n"/>
      <x:c r="G20" s="14" t="n"/>
      <x:c r="H20" s="15" t="n"/>
    </x:row>
    <x:row r="21" ht="28" customHeight="1">
      <x:c r="A21" s="16" t="str">
        <x:v>I can calculate ROI while accounting for buy commission, sell commission, and dividends.</x:v>
      </x:c>
      <x:c r="B21" s="14" t="n"/>
      <x:c r="C21" s="14" t="n"/>
      <x:c r="D21" s="14" t="n"/>
      <x:c r="E21" s="14" t="n"/>
      <x:c r="F21" s="14" t="n"/>
      <x:c r="G21" s="14" t="n"/>
      <x:c r="H21" s="15" t="n"/>
    </x:row>
    <x:row r="22" ht="28" customHeight="1">
      <x:c r="A22" s="16" t="str">
        <x:v>I can convert a bond quote, calculate current yield, and calculate mutual fund NAV.</x:v>
      </x:c>
      <x:c r="B22" s="14" t="n"/>
      <x:c r="C22" s="14" t="n"/>
      <x:c r="D22" s="14" t="n"/>
      <x:c r="E22" s="14" t="n"/>
      <x:c r="F22" s="14" t="n"/>
      <x:c r="G22" s="14" t="n"/>
      <x:c r="H22" s="15" t="n"/>
    </x:row>
    <x:row r="23" ht="28" customHeight="1">
      <x:c r="A23" s="16" t="str">
        <x:v>I can compare investment alternatives against explicit client constraints.</x:v>
      </x:c>
      <x:c r="B23" s="14" t="n"/>
      <x:c r="C23" s="14" t="n"/>
      <x:c r="D23" s="14" t="n"/>
      <x:c r="E23" s="14" t="n"/>
      <x:c r="F23" s="14" t="n"/>
      <x:c r="G23" s="14" t="n"/>
      <x:c r="H23" s="15" t="n"/>
    </x:row>
    <x:row r="24" ht="28" customHeight="1">
      <x:c r="A24" s="16" t="str">
        <x:v>I can recommend an eligible investment and explain the evidence behind my choice.</x:v>
      </x:c>
      <x:c r="B24" s="14" t="n"/>
      <x:c r="C24" s="14" t="n"/>
      <x:c r="D24" s="14" t="n"/>
      <x:c r="E24" s="14" t="n"/>
      <x:c r="F24" s="14" t="n"/>
      <x:c r="G24" s="14" t="n"/>
      <x:c r="H24" s="15" t="n"/>
    </x:row>
  </x:sheetData>
  <x:mergeCells>
    <x:mergeCell ref="A9:H9"/>
    <x:mergeCell ref="A4:H4"/>
    <x:mergeCell ref="A12:H12"/>
    <x:mergeCell ref="A1:H1"/>
    <x:mergeCell ref="A21:H21"/>
    <x:mergeCell ref="A7:H7"/>
    <x:mergeCell ref="A20:H20"/>
    <x:mergeCell ref="A24:H24"/>
    <x:mergeCell ref="A2:H2"/>
    <x:mergeCell ref="A19:H19"/>
    <x:mergeCell ref="A5:H5"/>
    <x:mergeCell ref="A23:H23"/>
    <x:mergeCell ref="A8:H8"/>
    <x:mergeCell ref="A6:H6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34" customWidth="1"/>
    <x:col min="3" max="3" width="18" customWidth="1"/>
    <x:col min="4" max="4" width="34" customWidth="1"/>
    <x:col min="5" max="5" width="48" customWidth="1"/>
    <x:col min="6" max="6" width="18" customWidth="1"/>
    <x:col min="7" max="7" width="18" customWidth="1"/>
    <x:col min="8" max="8" width="18" customWidth="1"/>
  </x:cols>
  <x:sheetData>
    <x:row r="1" ht="30" customHeight="1">
      <x:c r="A1" s="1" t="inlineStr">
        <x:is>
          <x:t xml:space="preserve">Live You Try It - Self-Graded Practice</x:t>
        </x:is>
      </x:c>
      <x:c r="B1" s="14" t="n"/>
      <x:c r="C1" s="14" t="n"/>
      <x:c r="D1" s="14" t="n"/>
      <x:c r="E1" s="14" t="n"/>
      <x:c r="F1" s="14" t="n"/>
      <x:c r="G1" s="14" t="n"/>
      <x:c r="H1" s="15" t="n"/>
    </x:row>
    <x:row r="2" ht="36" customHeight="1">
      <x:c r="A2" s="2" t="inlineStr">
        <x:is>
          <x:t xml:space="preserve">Enter slide givens in yellow input cells, then build formulas that reference those cells. This tab is not part of the private grading rubric.</x:t>
        </x:is>
      </x:c>
      <x:c r="B2" s="14" t="n"/>
      <x:c r="C2" s="14" t="n"/>
      <x:c r="D2" s="14" t="n"/>
      <x:c r="E2" s="14" t="n"/>
      <x:c r="F2" s="14" t="n"/>
      <x:c r="G2" s="14" t="n"/>
      <x:c r="H2" s="15" t="n"/>
    </x:row>
    <x:row r="3" ht="24" customHeight="1"/>
    <x:row r="4" ht="24" customHeight="1"/>
    <x:row r="5" ht="24" customHeight="1">
      <x:c r="A5" s="3" t="inlineStr">
        <x:is>
          <x:t xml:space="preserve">Pause 1 - Stock quote quick read</x:t>
        </x:is>
      </x:c>
      <x:c r="B5" s="14" t="n"/>
      <x:c r="C5" s="14" t="n"/>
      <x:c r="D5" s="14" t="n"/>
      <x:c r="E5" s="14" t="n"/>
      <x:c r="F5" s="14" t="n"/>
      <x:c r="G5" s="14" t="n"/>
      <x:c r="H5" s="15" t="n"/>
    </x:row>
    <x:row r="6" ht="24" customHeight="1">
      <x:c r="A6" s="5" t="inlineStr">
        <x:is>
          <x:t xml:space="preserve">Role</x:t>
        </x:is>
      </x:c>
      <x:c r="B6" s="5" t="inlineStr">
        <x:is>
          <x:t xml:space="preserve">Item</x:t>
        </x:is>
      </x:c>
      <x:c r="C6" s="5" t="inlineStr">
        <x:is>
          <x:t xml:space="preserve">Yellow cell</x:t>
        </x:is>
      </x:c>
      <x:c r="D6" s="5" t="inlineStr">
        <x:is>
          <x:t xml:space="preserve">Feedback</x:t>
        </x:is>
      </x:c>
      <x:c r="E6" s="5" t="inlineStr">
        <x:is>
          <x:t xml:space="preserve">Hint</x:t>
        </x:is>
      </x:c>
    </x:row>
    <x:row r="7" ht="24" customHeight="1">
      <x:c r="A7" s="4" t="inlineStr">
        <x:is>
          <x:t xml:space="preserve">Input</x:t>
        </x:is>
      </x:c>
      <x:c r="B7" s="4" t="inlineStr">
        <x:is>
          <x:t xml:space="preserve">Bid price</x:t>
        </x:is>
      </x:c>
      <x:c r="C7" s="6" t="n"/>
      <x:c r="D7" s="4" t="inlineStr">
        <x:is>
          <x:t xml:space="preserve">Enter the given from the slide.</x:t>
        </x:is>
      </x:c>
      <x:c r="E7" s="4" t="inlineStr">
        <x:is>
          <x:t xml:space="preserve">Input first; formulas should reference this cell later.</x:t>
        </x:is>
      </x:c>
    </x:row>
    <x:row r="8" ht="24" customHeight="1">
      <x:c r="A8" s="4" t="inlineStr">
        <x:is>
          <x:t xml:space="preserve">Input</x:t>
        </x:is>
      </x:c>
      <x:c r="B8" s="4" t="inlineStr">
        <x:is>
          <x:t xml:space="preserve">Ask price</x:t>
        </x:is>
      </x:c>
      <x:c r="C8" s="6" t="n"/>
      <x:c r="D8" s="4" t="inlineStr">
        <x:is>
          <x:t xml:space="preserve">Enter the given from the slide.</x:t>
        </x:is>
      </x:c>
      <x:c r="E8" s="4" t="inlineStr">
        <x:is>
          <x:t xml:space="preserve">Input first; formulas should reference this cell later.</x:t>
        </x:is>
      </x:c>
    </x:row>
    <x:row r="9" ht="24" customHeight="1">
      <x:c r="A9" s="4" t="inlineStr">
        <x:is>
          <x:t xml:space="preserve">Input</x:t>
        </x:is>
      </x:c>
      <x:c r="B9" s="4" t="inlineStr">
        <x:is>
          <x:t xml:space="preserve">Last price</x:t>
        </x:is>
      </x:c>
      <x:c r="C9" s="6" t="n"/>
      <x:c r="D9" s="4" t="inlineStr">
        <x:is>
          <x:t xml:space="preserve">Enter the given from the slide.</x:t>
        </x:is>
      </x:c>
      <x:c r="E9" s="4" t="inlineStr">
        <x:is>
          <x:t xml:space="preserve">Input first; formulas should reference this cell later.</x:t>
        </x:is>
      </x:c>
    </x:row>
    <x:row r="10" ht="24" customHeight="1">
      <x:c r="A10" s="4" t="inlineStr">
        <x:is>
          <x:t xml:space="preserve">Input</x:t>
        </x:is>
      </x:c>
      <x:c r="B10" s="4" t="inlineStr">
        <x:is>
          <x:t xml:space="preserve">52-week low</x:t>
        </x:is>
      </x:c>
      <x:c r="C10" s="6" t="n"/>
      <x:c r="D10" s="4" t="inlineStr">
        <x:is>
          <x:t xml:space="preserve">Enter the given from the slide.</x:t>
        </x:is>
      </x:c>
      <x:c r="E10" s="4" t="inlineStr">
        <x:is>
          <x:t xml:space="preserve">Input first; formulas should reference this cell later.</x:t>
        </x:is>
      </x:c>
    </x:row>
    <x:row r="11" ht="24" customHeight="1">
      <x:c r="A11" s="4" t="inlineStr">
        <x:is>
          <x:t xml:space="preserve">Input</x:t>
        </x:is>
      </x:c>
      <x:c r="B11" s="4" t="inlineStr">
        <x:is>
          <x:t xml:space="preserve">P/E ratio</x:t>
        </x:is>
      </x:c>
      <x:c r="C11" s="7" t="n"/>
      <x:c r="D11" s="4" t="inlineStr">
        <x:is>
          <x:t xml:space="preserve">Enter the given from the slide.</x:t>
        </x:is>
      </x:c>
      <x:c r="E11" s="4" t="inlineStr">
        <x:is>
          <x:t xml:space="preserve">Input first; formulas should reference this cell later.</x:t>
        </x:is>
      </x:c>
    </x:row>
    <x:row r="12" ht="24" customHeight="1"/>
    <x:row r="13" ht="24" customHeight="1">
      <x:c r="A13" s="4" t="inlineStr">
        <x:is>
          <x:t xml:space="preserve">Formula</x:t>
        </x:is>
      </x:c>
      <x:c r="B13" s="4" t="inlineStr">
        <x:is>
          <x:t xml:space="preserve">Bid-ask spread</x:t>
        </x:is>
      </x:c>
      <x:c r="C13" s="6" t="n"/>
      <x:c r="D13" s="8" t="str">
        <x:f>IF(C13="","",IF(COUNT($C$7:$C$8)&lt;2,"Enter givens first",IF(ABS(C13-($C$8-$C$7))&lt;=0.01,"Looks right","Check ask minus bid")))</x:f>
      </x:c>
      <x:c r="E13" s="4" t="inlineStr">
        <x:is>
          <x:t xml:space="preserve">Use Ask minus Bid.</x:t>
        </x:is>
      </x:c>
    </x:row>
    <x:row r="14" ht="24" customHeight="1">
      <x:c r="A14" s="4" t="inlineStr">
        <x:is>
          <x:t xml:space="preserve">Formula</x:t>
        </x:is>
      </x:c>
      <x:c r="B14" s="4" t="inlineStr">
        <x:is>
          <x:t xml:space="preserve">Dollars above 52-week low</x:t>
        </x:is>
      </x:c>
      <x:c r="C14" s="6" t="n"/>
      <x:c r="D14" s="8" t="str">
        <x:f>IF(C14="","",IF(COUNT($C$9:$C$10)&lt;2,"Enter givens first",IF(ABS(C14-($C$9-$C$10))&lt;=0.01,"Looks right","Check last price minus low")))</x:f>
      </x:c>
      <x:c r="E14" s="4" t="inlineStr">
        <x:is>
          <x:t xml:space="preserve">Use Last price minus 52-week low.</x:t>
        </x:is>
      </x:c>
    </x:row>
    <x:row r="15" ht="24" customHeight="1">
      <x:c r="A15" s="4" t="inlineStr">
        <x:is>
          <x:t xml:space="preserve">Formula</x:t>
        </x:is>
      </x:c>
      <x:c r="B15" s="4" t="inlineStr">
        <x:is>
          <x:t xml:space="preserve">P/E interpretation</x:t>
        </x:is>
      </x:c>
      <x:c r="C15" s="7" t="n"/>
      <x:c r="D15" s="8" t="str">
        <x:f>IF(C15="","",IF(C11="","Enter givens first",IF(ABS(C15-C11)&lt;=0.01,"Looks right","Check the P/E input")))</x:f>
      </x:c>
      <x:c r="E15" s="4" t="inlineStr">
        <x:is>
          <x:t xml:space="preserve">P/E reads as dollars paid per $1 of earnings.</x:t>
        </x:is>
      </x:c>
    </x:row>
    <x:row r="16" ht="24" customHeight="1"/>
    <x:row r="17" ht="24" customHeight="1"/>
    <x:row r="18" ht="24" customHeight="1">
      <x:c r="A18" s="3" t="inlineStr">
        <x:is>
          <x:t xml:space="preserve">Pause 2 - Dividend waterfall</x:t>
        </x:is>
      </x:c>
      <x:c r="B18" s="14" t="n"/>
      <x:c r="C18" s="14" t="n"/>
      <x:c r="D18" s="14" t="n"/>
      <x:c r="E18" s="14" t="n"/>
      <x:c r="F18" s="14" t="n"/>
      <x:c r="G18" s="14" t="n"/>
      <x:c r="H18" s="15" t="n"/>
    </x:row>
    <x:row r="19" ht="24" customHeight="1">
      <x:c r="A19" s="5" t="inlineStr">
        <x:is>
          <x:t xml:space="preserve">Role</x:t>
        </x:is>
      </x:c>
      <x:c r="B19" s="5" t="inlineStr">
        <x:is>
          <x:t xml:space="preserve">Item</x:t>
        </x:is>
      </x:c>
      <x:c r="C19" s="5" t="inlineStr">
        <x:is>
          <x:t xml:space="preserve">Yellow cell</x:t>
        </x:is>
      </x:c>
      <x:c r="D19" s="5" t="inlineStr">
        <x:is>
          <x:t xml:space="preserve">Feedback</x:t>
        </x:is>
      </x:c>
      <x:c r="E19" s="5" t="inlineStr">
        <x:is>
          <x:t xml:space="preserve">Hint</x:t>
        </x:is>
      </x:c>
    </x:row>
    <x:row r="20" ht="24" customHeight="1">
      <x:c r="A20" s="4" t="inlineStr">
        <x:is>
          <x:t xml:space="preserve">Input</x:t>
        </x:is>
      </x:c>
      <x:c r="B20" s="4" t="inlineStr">
        <x:is>
          <x:t xml:space="preserve">Total dividends declared</x:t>
        </x:is>
      </x:c>
      <x:c r="C20" s="9" t="n"/>
      <x:c r="D20" s="4" t="inlineStr">
        <x:is>
          <x:t xml:space="preserve">Enter the given from the slide.</x:t>
        </x:is>
      </x:c>
      <x:c r="E20" s="4" t="inlineStr">
        <x:is>
          <x:t xml:space="preserve">Input first; formulas should reference this cell later.</x:t>
        </x:is>
      </x:c>
    </x:row>
    <x:row r="21" ht="24" customHeight="1">
      <x:c r="A21" s="4" t="inlineStr">
        <x:is>
          <x:t xml:space="preserve">Input</x:t>
        </x:is>
      </x:c>
      <x:c r="B21" s="4" t="inlineStr">
        <x:is>
          <x:t xml:space="preserve">Preferred rate</x:t>
        </x:is>
      </x:c>
      <x:c r="C21" s="10" t="n"/>
      <x:c r="D21" s="4" t="inlineStr">
        <x:is>
          <x:t xml:space="preserve">Enter the given from the slide.</x:t>
        </x:is>
      </x:c>
      <x:c r="E21" s="4" t="inlineStr">
        <x:is>
          <x:t xml:space="preserve">Input first; formulas should reference this cell later.</x:t>
        </x:is>
      </x:c>
    </x:row>
    <x:row r="22" ht="24" customHeight="1">
      <x:c r="A22" s="4" t="inlineStr">
        <x:is>
          <x:t xml:space="preserve">Input</x:t>
        </x:is>
      </x:c>
      <x:c r="B22" s="4" t="inlineStr">
        <x:is>
          <x:t xml:space="preserve">Preferred par value</x:t>
        </x:is>
      </x:c>
      <x:c r="C22" s="9" t="n"/>
      <x:c r="D22" s="4" t="inlineStr">
        <x:is>
          <x:t xml:space="preserve">Enter the given from the slide.</x:t>
        </x:is>
      </x:c>
      <x:c r="E22" s="4" t="inlineStr">
        <x:is>
          <x:t xml:space="preserve">Input first; formulas should reference this cell later.</x:t>
        </x:is>
      </x:c>
    </x:row>
    <x:row r="23" ht="24" customHeight="1">
      <x:c r="A23" s="4" t="inlineStr">
        <x:is>
          <x:t xml:space="preserve">Input</x:t>
        </x:is>
      </x:c>
      <x:c r="B23" s="4" t="inlineStr">
        <x:is>
          <x:t xml:space="preserve">Preferred shares</x:t>
        </x:is>
      </x:c>
      <x:c r="C23" s="11" t="n"/>
      <x:c r="D23" s="4" t="inlineStr">
        <x:is>
          <x:t xml:space="preserve">Enter the given from the slide.</x:t>
        </x:is>
      </x:c>
      <x:c r="E23" s="4" t="inlineStr">
        <x:is>
          <x:t xml:space="preserve">Input first; formulas should reference this cell later.</x:t>
        </x:is>
      </x:c>
    </x:row>
    <x:row r="24" ht="24" customHeight="1">
      <x:c r="A24" s="4" t="inlineStr">
        <x:is>
          <x:t xml:space="preserve">Input</x:t>
        </x:is>
      </x:c>
      <x:c r="B24" s="4" t="inlineStr">
        <x:is>
          <x:t xml:space="preserve">Common shares</x:t>
        </x:is>
      </x:c>
      <x:c r="C24" s="11" t="n"/>
      <x:c r="D24" s="4" t="inlineStr">
        <x:is>
          <x:t xml:space="preserve">Enter the given from the slide.</x:t>
        </x:is>
      </x:c>
      <x:c r="E24" s="4" t="inlineStr">
        <x:is>
          <x:t xml:space="preserve">Input first; formulas should reference this cell later.</x:t>
        </x:is>
      </x:c>
    </x:row>
    <x:row r="25" ht="24" customHeight="1"/>
    <x:row r="26" ht="24" customHeight="1">
      <x:c r="A26" s="4" t="inlineStr">
        <x:is>
          <x:t xml:space="preserve">Formula</x:t>
        </x:is>
      </x:c>
      <x:c r="B26" s="4" t="inlineStr">
        <x:is>
          <x:t xml:space="preserve">Preferred dividend/share</x:t>
        </x:is>
      </x:c>
      <x:c r="C26" s="6" t="n"/>
      <x:c r="D26" s="8" t="str">
        <x:f>IF(C26="","",IF(COUNT($C$21:$C$22)&lt;2,"Enter givens first",IF(ABS(C26-($C$21*$C$22))&lt;=0.01,"Looks right","Check rate times par")))</x:f>
      </x:c>
      <x:c r="E26" s="4" t="inlineStr">
        <x:is>
          <x:t xml:space="preserve">Rate times par value.</x:t>
        </x:is>
      </x:c>
    </x:row>
    <x:row r="27" ht="24" customHeight="1">
      <x:c r="A27" s="4" t="inlineStr">
        <x:is>
          <x:t xml:space="preserve">Formula</x:t>
        </x:is>
      </x:c>
      <x:c r="B27" s="4" t="inlineStr">
        <x:is>
          <x:t xml:space="preserve">Total preferred dividend</x:t>
        </x:is>
      </x:c>
      <x:c r="C27" s="9" t="n"/>
      <x:c r="D27" s="8" t="str">
        <x:f>IF(C27="","",IF(COUNT($C$23,$C$26)&lt;2,"Enter givens first",IF(ABS(C27-($C$26*$C$23))&lt;=0.01,"Looks right","Check per-share dividend times preferred shares")))</x:f>
      </x:c>
      <x:c r="E27" s="4" t="inlineStr">
        <x:is>
          <x:t xml:space="preserve">Preferred dividend/share times preferred shares.</x:t>
        </x:is>
      </x:c>
    </x:row>
    <x:row r="28" ht="24" customHeight="1">
      <x:c r="A28" s="4" t="inlineStr">
        <x:is>
          <x:t xml:space="preserve">Formula</x:t>
        </x:is>
      </x:c>
      <x:c r="B28" s="4" t="inlineStr">
        <x:is>
          <x:t xml:space="preserve">Remainder for common</x:t>
        </x:is>
      </x:c>
      <x:c r="C28" s="9" t="n"/>
      <x:c r="D28" s="8" t="str">
        <x:f>IF(C28="","",IF(COUNT($C$20,$C$27)&lt;2,"Enter givens first",IF(ABS(C28-($C$20-$C$27))&lt;=0.01,"Looks right","Check total dividends minus preferred dividend")))</x:f>
      </x:c>
      <x:c r="E28" s="4" t="inlineStr">
        <x:is>
          <x:t xml:space="preserve">Common shareholders get what remains.</x:t>
        </x:is>
      </x:c>
    </x:row>
    <x:row r="29" ht="24" customHeight="1">
      <x:c r="A29" s="4" t="inlineStr">
        <x:is>
          <x:t xml:space="preserve">Formula</x:t>
        </x:is>
      </x:c>
      <x:c r="B29" s="4" t="inlineStr">
        <x:is>
          <x:t xml:space="preserve">Common dividend/share</x:t>
        </x:is>
      </x:c>
      <x:c r="C29" s="6" t="n"/>
      <x:c r="D29" s="8" t="str">
        <x:f>IF(C29="","",IF(COUNT($C$24,$C$28)&lt;2,"Enter givens first",IF(ABS(C29-($C$28/$C$24))&lt;=0.01,"Looks right","Check remainder divided by common shares")))</x:f>
      </x:c>
      <x:c r="E29" s="4" t="inlineStr">
        <x:is>
          <x:t xml:space="preserve">Remainder divided by common shares.</x:t>
        </x:is>
      </x:c>
    </x:row>
    <x:row r="30" ht="24" customHeight="1"/>
    <x:row r="31" ht="24" customHeight="1">
      <x:c r="A31" s="3" t="inlineStr">
        <x:is>
          <x:t xml:space="preserve">Pause 3 - ROI with commissions</x:t>
        </x:is>
      </x:c>
      <x:c r="B31" s="14" t="n"/>
      <x:c r="C31" s="14" t="n"/>
      <x:c r="D31" s="14" t="n"/>
      <x:c r="E31" s="14" t="n"/>
      <x:c r="F31" s="14" t="n"/>
      <x:c r="G31" s="14" t="n"/>
      <x:c r="H31" s="15" t="n"/>
    </x:row>
    <x:row r="32" ht="24" customHeight="1">
      <x:c r="A32" s="5" t="inlineStr">
        <x:is>
          <x:t xml:space="preserve">Role</x:t>
        </x:is>
      </x:c>
      <x:c r="B32" s="5" t="inlineStr">
        <x:is>
          <x:t xml:space="preserve">Item</x:t>
        </x:is>
      </x:c>
      <x:c r="C32" s="5" t="inlineStr">
        <x:is>
          <x:t xml:space="preserve">Yellow cell</x:t>
        </x:is>
      </x:c>
      <x:c r="D32" s="5" t="inlineStr">
        <x:is>
          <x:t xml:space="preserve">Feedback</x:t>
        </x:is>
      </x:c>
      <x:c r="E32" s="5" t="inlineStr">
        <x:is>
          <x:t xml:space="preserve">Hint</x:t>
        </x:is>
      </x:c>
    </x:row>
    <x:row r="33" ht="24" customHeight="1">
      <x:c r="A33" s="4" t="inlineStr">
        <x:is>
          <x:t xml:space="preserve">Input</x:t>
        </x:is>
      </x:c>
      <x:c r="B33" s="4" t="inlineStr">
        <x:is>
          <x:t xml:space="preserve">Shares purchased</x:t>
        </x:is>
      </x:c>
      <x:c r="C33" s="11" t="n"/>
      <x:c r="D33" s="4" t="inlineStr">
        <x:is>
          <x:t xml:space="preserve">Enter the given from the slide.</x:t>
        </x:is>
      </x:c>
      <x:c r="E33" s="4" t="inlineStr">
        <x:is>
          <x:t xml:space="preserve">Input first; formulas should reference this cell later.</x:t>
        </x:is>
      </x:c>
    </x:row>
    <x:row r="34" ht="24" customHeight="1">
      <x:c r="A34" s="4" t="inlineStr">
        <x:is>
          <x:t xml:space="preserve">Input</x:t>
        </x:is>
      </x:c>
      <x:c r="B34" s="4" t="inlineStr">
        <x:is>
          <x:t xml:space="preserve">Purchase price/share</x:t>
        </x:is>
      </x:c>
      <x:c r="C34" s="6" t="n"/>
      <x:c r="D34" s="4" t="inlineStr">
        <x:is>
          <x:t xml:space="preserve">Enter the given from the slide.</x:t>
        </x:is>
      </x:c>
      <x:c r="E34" s="4" t="inlineStr">
        <x:is>
          <x:t xml:space="preserve">Input first; formulas should reference this cell later.</x:t>
        </x:is>
      </x:c>
    </x:row>
    <x:row r="35" ht="24" customHeight="1">
      <x:c r="A35" s="4" t="inlineStr">
        <x:is>
          <x:t xml:space="preserve">Input</x:t>
        </x:is>
      </x:c>
      <x:c r="B35" s="4" t="inlineStr">
        <x:is>
          <x:t xml:space="preserve">Sale price/share</x:t>
        </x:is>
      </x:c>
      <x:c r="C35" s="6" t="n"/>
      <x:c r="D35" s="4" t="inlineStr">
        <x:is>
          <x:t xml:space="preserve">Enter the given from the slide.</x:t>
        </x:is>
      </x:c>
      <x:c r="E35" s="4" t="inlineStr">
        <x:is>
          <x:t xml:space="preserve">Input first; formulas should reference this cell later.</x:t>
        </x:is>
      </x:c>
    </x:row>
    <x:row r="36" ht="24" customHeight="1">
      <x:c r="A36" s="4" t="inlineStr">
        <x:is>
          <x:t xml:space="preserve">Input</x:t>
        </x:is>
      </x:c>
      <x:c r="B36" s="4" t="inlineStr">
        <x:is>
          <x:t xml:space="preserve">Commission rate</x:t>
        </x:is>
      </x:c>
      <x:c r="C36" s="10" t="n"/>
      <x:c r="D36" s="4" t="inlineStr">
        <x:is>
          <x:t xml:space="preserve">Enter the given from the slide.</x:t>
        </x:is>
      </x:c>
      <x:c r="E36" s="4" t="inlineStr">
        <x:is>
          <x:t xml:space="preserve">Input first; formulas should reference this cell later.</x:t>
        </x:is>
      </x:c>
    </x:row>
    <x:row r="37" ht="24" customHeight="1">
      <x:c r="A37" s="4" t="inlineStr">
        <x:is>
          <x:t xml:space="preserve">Input</x:t>
        </x:is>
      </x:c>
      <x:c r="B37" s="4" t="inlineStr">
        <x:is>
          <x:t xml:space="preserve">Annual dividend/share</x:t>
        </x:is>
      </x:c>
      <x:c r="C37" s="6" t="n"/>
      <x:c r="D37" s="4" t="inlineStr">
        <x:is>
          <x:t xml:space="preserve">Enter the given from the slide.</x:t>
        </x:is>
      </x:c>
      <x:c r="E37" s="4" t="inlineStr">
        <x:is>
          <x:t xml:space="preserve">Input first; formulas should reference this cell later.</x:t>
        </x:is>
      </x:c>
    </x:row>
    <x:row r="38" ht="24" customHeight="1"/>
    <x:row r="39" ht="24" customHeight="1">
      <x:c r="A39" s="4" t="inlineStr">
        <x:is>
          <x:t xml:space="preserve">Formula</x:t>
        </x:is>
      </x:c>
      <x:c r="B39" s="4" t="inlineStr">
        <x:is>
          <x:t xml:space="preserve">Buy cost before commission</x:t>
        </x:is>
      </x:c>
      <x:c r="C39" s="6" t="n"/>
      <x:c r="D39" s="8" t="str">
        <x:f>IF(C39="","",IF(COUNT($C$33:$C$34)&lt;2,"Enter givens first",IF(ABS(C39-($C$33*$C$34))&lt;=0.01,"Looks right","Check shares times purchase price")))</x:f>
      </x:c>
      <x:c r="E39" s="4" t="inlineStr">
        <x:is>
          <x:t xml:space="preserve">Shares times purchase price.</x:t>
        </x:is>
      </x:c>
    </x:row>
    <x:row r="40" ht="24" customHeight="1">
      <x:c r="A40" s="4" t="inlineStr">
        <x:is>
          <x:t xml:space="preserve">Formula</x:t>
        </x:is>
      </x:c>
      <x:c r="B40" s="4" t="inlineStr">
        <x:is>
          <x:t xml:space="preserve">Buy commission</x:t>
        </x:is>
      </x:c>
      <x:c r="C40" s="6" t="n"/>
      <x:c r="D40" s="8" t="str">
        <x:f>IF(C40="","",IF(COUNT($C$36,$C$39)&lt;2,"Enter givens first",IF(ABS(C40-($C$39*$C$36))&lt;=0.01,"Looks right","Check buy cost times commission")))</x:f>
      </x:c>
      <x:c r="E40" s="4" t="inlineStr">
        <x:is>
          <x:t xml:space="preserve">Commission is applied to the transaction value.</x:t>
        </x:is>
      </x:c>
    </x:row>
    <x:row r="41" ht="24" customHeight="1">
      <x:c r="A41" s="4" t="inlineStr">
        <x:is>
          <x:t xml:space="preserve">Formula</x:t>
        </x:is>
      </x:c>
      <x:c r="B41" s="4" t="inlineStr">
        <x:is>
          <x:t xml:space="preserve">Total buy cost</x:t>
        </x:is>
      </x:c>
      <x:c r="C41" s="6" t="n"/>
      <x:c r="D41" s="8" t="str">
        <x:f>IF(C41="","",IF(COUNT($C$39:$C$40)&lt;2,"Enter givens first",IF(ABS(C41-($C$39+$C$40))&lt;=0.01,"Looks right","Check buy cost plus commission")))</x:f>
      </x:c>
      <x:c r="E41" s="4" t="inlineStr">
        <x:is>
          <x:t xml:space="preserve">Include buy commission.</x:t>
        </x:is>
      </x:c>
    </x:row>
    <x:row r="42" ht="24" customHeight="1">
      <x:c r="A42" s="4" t="inlineStr">
        <x:is>
          <x:t xml:space="preserve">Formula</x:t>
        </x:is>
      </x:c>
      <x:c r="B42" s="4" t="inlineStr">
        <x:is>
          <x:t xml:space="preserve">Sale proceeds before commission</x:t>
        </x:is>
      </x:c>
      <x:c r="C42" s="6" t="n"/>
      <x:c r="D42" s="8" t="str">
        <x:f>IF(C42="","",IF(COUNT($C$33,$C$35)&lt;2,"Enter givens first",IF(ABS(C42-($C$33*$C$35))&lt;=0.01,"Looks right","Check shares times sale price")))</x:f>
      </x:c>
      <x:c r="E42" s="4" t="inlineStr">
        <x:is>
          <x:t xml:space="preserve">Shares times sale price.</x:t>
        </x:is>
      </x:c>
    </x:row>
    <x:row r="43" ht="24" customHeight="1">
      <x:c r="A43" s="4" t="inlineStr">
        <x:is>
          <x:t xml:space="preserve">Formula</x:t>
        </x:is>
      </x:c>
      <x:c r="B43" s="4" t="inlineStr">
        <x:is>
          <x:t xml:space="preserve">Sell commission</x:t>
        </x:is>
      </x:c>
      <x:c r="C43" s="6" t="n"/>
      <x:c r="D43" s="8" t="str">
        <x:f>IF(C43="","",IF(COUNT($C$36,$C$42)&lt;2,"Enter givens first",IF(ABS(C43-($C$42*$C$36))&lt;=0.01,"Looks right","Check sale proceeds times commission")))</x:f>
      </x:c>
      <x:c r="E43" s="4" t="inlineStr">
        <x:is>
          <x:t xml:space="preserve">Commission is applied again on sale.</x:t>
        </x:is>
      </x:c>
    </x:row>
    <x:row r="44" ht="24" customHeight="1">
      <x:c r="A44" s="4" t="inlineStr">
        <x:is>
          <x:t xml:space="preserve">Formula</x:t>
        </x:is>
      </x:c>
      <x:c r="B44" s="4" t="inlineStr">
        <x:is>
          <x:t xml:space="preserve">Net sale proceeds</x:t>
        </x:is>
      </x:c>
      <x:c r="C44" s="6" t="n"/>
      <x:c r="D44" s="8" t="str">
        <x:f>IF(C44="","",IF(COUNT($C$42:$C$43)&lt;2,"Enter givens first",IF(ABS(C44-($C$42-$C$43))&lt;=0.01,"Looks right","Check sale proceeds minus sell commission")))</x:f>
      </x:c>
      <x:c r="E44" s="4" t="inlineStr">
        <x:is>
          <x:t xml:space="preserve">Subtract sell commission.</x:t>
        </x:is>
      </x:c>
    </x:row>
    <x:row r="45" ht="24" customHeight="1">
      <x:c r="A45" s="4" t="inlineStr">
        <x:is>
          <x:t xml:space="preserve">Formula</x:t>
        </x:is>
      </x:c>
      <x:c r="B45" s="4" t="inlineStr">
        <x:is>
          <x:t xml:space="preserve">Total dividends</x:t>
        </x:is>
      </x:c>
      <x:c r="C45" s="6" t="n"/>
      <x:c r="D45" s="8" t="str">
        <x:f>IF(C45="","",IF(COUNT($C$33,$C$37)&lt;2,"Enter givens first",IF(ABS(C45-($C$33*$C$37))&lt;=0.01,"Looks right","Check shares times dividend/share")))</x:f>
      </x:c>
      <x:c r="E45" s="4" t="inlineStr">
        <x:is>
          <x:t xml:space="preserve">Shares times annual dividend/share.</x:t>
        </x:is>
      </x:c>
    </x:row>
    <x:row r="46" ht="24" customHeight="1">
      <x:c r="A46" s="4" t="inlineStr">
        <x:is>
          <x:t xml:space="preserve">Formula</x:t>
        </x:is>
      </x:c>
      <x:c r="B46" s="4" t="inlineStr">
        <x:is>
          <x:t xml:space="preserve">ROI</x:t>
        </x:is>
      </x:c>
      <x:c r="C46" s="12" t="n"/>
      <x:c r="D46" s="8" t="str">
        <x:f>IF(C46="","",IF(COUNT($C$41,$C$44:$C$45)&lt;3,"Enter givens first",IF(ABS(C46-ROUND(($C$44-$C$41+$C$45)/$C$41,4))&lt;=0.0001,"Looks right","Check ROI numerator and denominator")))</x:f>
      </x:c>
      <x:c r="E46" s="4" t="inlineStr">
        <x:is>
          <x:t xml:space="preserve">Net gain divided by total buy cost.</x:t>
        </x:is>
      </x:c>
    </x:row>
    <x:row r="47" ht="24" customHeight="1"/>
    <x:row r="48" ht="24" customHeight="1"/>
    <x:row r="49" ht="24" customHeight="1">
      <x:c r="A49" s="3" t="inlineStr">
        <x:is>
          <x:t xml:space="preserve">Pause 4 - Bond quote conversion</x:t>
        </x:is>
      </x:c>
      <x:c r="B49" s="14" t="n"/>
      <x:c r="C49" s="14" t="n"/>
      <x:c r="D49" s="14" t="n"/>
      <x:c r="E49" s="14" t="n"/>
      <x:c r="F49" s="14" t="n"/>
      <x:c r="G49" s="14" t="n"/>
      <x:c r="H49" s="15" t="n"/>
    </x:row>
    <x:row r="50" ht="24" customHeight="1">
      <x:c r="A50" s="5" t="inlineStr">
        <x:is>
          <x:t xml:space="preserve">Role</x:t>
        </x:is>
      </x:c>
      <x:c r="B50" s="5" t="inlineStr">
        <x:is>
          <x:t xml:space="preserve">Item</x:t>
        </x:is>
      </x:c>
      <x:c r="C50" s="5" t="inlineStr">
        <x:is>
          <x:t xml:space="preserve">Yellow cell</x:t>
        </x:is>
      </x:c>
      <x:c r="D50" s="5" t="inlineStr">
        <x:is>
          <x:t xml:space="preserve">Feedback</x:t>
        </x:is>
      </x:c>
      <x:c r="E50" s="5" t="inlineStr">
        <x:is>
          <x:t xml:space="preserve">Hint</x:t>
        </x:is>
      </x:c>
    </x:row>
    <x:row r="51" ht="24" customHeight="1">
      <x:c r="A51" s="4" t="inlineStr">
        <x:is>
          <x:t xml:space="preserve">Input</x:t>
        </x:is>
      </x:c>
      <x:c r="B51" s="4" t="inlineStr">
        <x:is>
          <x:t xml:space="preserve">Face value</x:t>
        </x:is>
      </x:c>
      <x:c r="C51" s="9" t="n"/>
      <x:c r="D51" s="4" t="inlineStr">
        <x:is>
          <x:t xml:space="preserve">Enter the given from the slide.</x:t>
        </x:is>
      </x:c>
      <x:c r="E51" s="4" t="inlineStr">
        <x:is>
          <x:t xml:space="preserve">Input first; formulas should reference this cell later.</x:t>
        </x:is>
      </x:c>
    </x:row>
    <x:row r="52" ht="24" customHeight="1">
      <x:c r="A52" s="4" t="inlineStr">
        <x:is>
          <x:t xml:space="preserve">Input</x:t>
        </x:is>
      </x:c>
      <x:c r="B52" s="4" t="inlineStr">
        <x:is>
          <x:t xml:space="preserve">Stated interest rate</x:t>
        </x:is>
      </x:c>
      <x:c r="C52" s="10" t="n"/>
      <x:c r="D52" s="4" t="inlineStr">
        <x:is>
          <x:t xml:space="preserve">Enter the given from the slide.</x:t>
        </x:is>
      </x:c>
      <x:c r="E52" s="4" t="inlineStr">
        <x:is>
          <x:t xml:space="preserve">Input first; formulas should reference this cell later.</x:t>
        </x:is>
      </x:c>
    </x:row>
    <x:row r="53" ht="24" customHeight="1">
      <x:c r="A53" s="4" t="inlineStr">
        <x:is>
          <x:t xml:space="preserve">Input</x:t>
        </x:is>
      </x:c>
      <x:c r="B53" s="4" t="inlineStr">
        <x:is>
          <x:t xml:space="preserve">Quoted price</x:t>
        </x:is>
      </x:c>
      <x:c r="C53" s="13" t="n"/>
      <x:c r="D53" s="4" t="inlineStr">
        <x:is>
          <x:t xml:space="preserve">Enter the given from the slide.</x:t>
        </x:is>
      </x:c>
      <x:c r="E53" s="4" t="inlineStr">
        <x:is>
          <x:t xml:space="preserve">Input first; formulas should reference this cell later.</x:t>
        </x:is>
      </x:c>
    </x:row>
    <x:row r="54" ht="24" customHeight="1">
      <x:c r="A54" s="4" t="inlineStr">
        <x:is>
          <x:t xml:space="preserve">Input</x:t>
        </x:is>
      </x:c>
      <x:c r="B54" s="4" t="inlineStr">
        <x:is>
          <x:t xml:space="preserve">Number of bonds</x:t>
        </x:is>
      </x:c>
      <x:c r="C54" s="11" t="n"/>
      <x:c r="D54" s="4" t="inlineStr">
        <x:is>
          <x:t xml:space="preserve">Enter the given from the slide.</x:t>
        </x:is>
      </x:c>
      <x:c r="E54" s="4" t="inlineStr">
        <x:is>
          <x:t xml:space="preserve">Input first; formulas should reference this cell later.</x:t>
        </x:is>
      </x:c>
    </x:row>
    <x:row r="55" ht="24" customHeight="1"/>
    <x:row r="56" ht="24" customHeight="1">
      <x:c r="A56" s="4" t="inlineStr">
        <x:is>
          <x:t xml:space="preserve">Formula</x:t>
        </x:is>
      </x:c>
      <x:c r="B56" s="4" t="inlineStr">
        <x:is>
          <x:t xml:space="preserve">Dollar price per bond</x:t>
        </x:is>
      </x:c>
      <x:c r="C56" s="6" t="n"/>
      <x:c r="D56" s="8" t="str">
        <x:f>IF(C56="","",IF(COUNT($C$51,$C$53)&lt;2,"Enter givens first",IF(ABS(C56-($C$53/100*$C$51))&lt;=0.01,"Looks right","Check quote divided by 100 times face value")))</x:f>
      </x:c>
      <x:c r="E56" s="4" t="inlineStr">
        <x:is>
          <x:t xml:space="preserve">A quote of 99.59 means 99.59%.</x:t>
        </x:is>
      </x:c>
    </x:row>
    <x:row r="57" ht="24" customHeight="1">
      <x:c r="A57" s="4" t="inlineStr">
        <x:is>
          <x:t xml:space="preserve">Formula</x:t>
        </x:is>
      </x:c>
      <x:c r="B57" s="4" t="inlineStr">
        <x:is>
          <x:t xml:space="preserve">Total cost</x:t>
        </x:is>
      </x:c>
      <x:c r="C57" s="6" t="n"/>
      <x:c r="D57" s="8" t="str">
        <x:f>IF(C57="","",IF(COUNT($C$54,$C$56)&lt;2,"Enter givens first",IF(ABS(C57-($C$56*$C$54))&lt;=0.01,"Looks right","Check price per bond times number of bonds")))</x:f>
      </x:c>
      <x:c r="E57" s="4" t="inlineStr">
        <x:is>
          <x:t xml:space="preserve">Price per bond times quantity.</x:t>
        </x:is>
      </x:c>
    </x:row>
    <x:row r="58" ht="24" customHeight="1">
      <x:c r="A58" s="4" t="inlineStr">
        <x:is>
          <x:t xml:space="preserve">Formula</x:t>
        </x:is>
      </x:c>
      <x:c r="B58" s="4" t="inlineStr">
        <x:is>
          <x:t xml:space="preserve">Annual interest per bond</x:t>
        </x:is>
      </x:c>
      <x:c r="C58" s="6" t="n"/>
      <x:c r="D58" s="8" t="str">
        <x:f>IF(C58="","",IF(COUNT($C$51:$C$52)&lt;2,"Enter givens first",IF(ABS(C58-($C$52*$C$51))&lt;=0.01,"Looks right","Check rate times face value")))</x:f>
      </x:c>
      <x:c r="E58" s="4" t="inlineStr">
        <x:is>
          <x:t xml:space="preserve">Interest is based on par value.</x:t>
        </x:is>
      </x:c>
    </x:row>
    <x:row r="59" ht="24" customHeight="1">
      <x:c r="A59" s="4" t="inlineStr">
        <x:is>
          <x:t xml:space="preserve">Formula</x:t>
        </x:is>
      </x:c>
      <x:c r="B59" s="4" t="inlineStr">
        <x:is>
          <x:t xml:space="preserve">Total annual interest</x:t>
        </x:is>
      </x:c>
      <x:c r="C59" s="6" t="n"/>
      <x:c r="D59" s="8" t="str">
        <x:f>IF(C59="","",IF(COUNT($C$54,$C$58)&lt;2,"Enter givens first",IF(ABS(C59-($C$58*$C$54))&lt;=0.01,"Looks right","Check interest per bond times number of bonds")))</x:f>
      </x:c>
      <x:c r="E59" s="4" t="inlineStr">
        <x:is>
          <x:t xml:space="preserve">Multiply annual interest per bond by quantity.</x:t>
        </x:is>
      </x:c>
    </x:row>
    <x:row r="60" ht="24" customHeight="1">
      <x:c r="A60" s="4" t="inlineStr">
        <x:is>
          <x:t xml:space="preserve">Formula</x:t>
        </x:is>
      </x:c>
      <x:c r="B60" s="4" t="inlineStr">
        <x:is>
          <x:t xml:space="preserve">Current yield</x:t>
        </x:is>
      </x:c>
      <x:c r="C60" s="12" t="n"/>
      <x:c r="D60" s="8" t="str">
        <x:f>IF(C60="","",IF(COUNT($C$56,$C$58)&lt;2,"Enter givens first",IF(ABS(C60-ROUND($C$58/$C$56,4))&lt;=0.0001,"Looks right","Check annual interest divided by dollar price")))</x:f>
      </x:c>
      <x:c r="E60" s="4" t="inlineStr">
        <x:is>
          <x:t xml:space="preserve">Use annual interest over the dollar price paid.</x:t>
        </x:is>
      </x:c>
    </x:row>
    <x:row r="61" ht="24" customHeight="1"/>
    <x:row r="62" ht="24" customHeight="1">
      <x:c r="A62" s="3" t="inlineStr">
        <x:is>
          <x:t xml:space="preserve">Pause 5 - Mutual fund NAV</x:t>
        </x:is>
      </x:c>
      <x:c r="B62" s="14" t="n"/>
      <x:c r="C62" s="14" t="n"/>
      <x:c r="D62" s="14" t="n"/>
      <x:c r="E62" s="14" t="n"/>
      <x:c r="F62" s="14" t="n"/>
      <x:c r="G62" s="14" t="n"/>
      <x:c r="H62" s="15" t="n"/>
    </x:row>
    <x:row r="63" ht="24" customHeight="1">
      <x:c r="A63" s="5" t="inlineStr">
        <x:is>
          <x:t xml:space="preserve">Role</x:t>
        </x:is>
      </x:c>
      <x:c r="B63" s="5" t="inlineStr">
        <x:is>
          <x:t xml:space="preserve">Item</x:t>
        </x:is>
      </x:c>
      <x:c r="C63" s="5" t="inlineStr">
        <x:is>
          <x:t xml:space="preserve">Yellow cell</x:t>
        </x:is>
      </x:c>
      <x:c r="D63" s="5" t="inlineStr">
        <x:is>
          <x:t xml:space="preserve">Feedback</x:t>
        </x:is>
      </x:c>
      <x:c r="E63" s="5" t="inlineStr">
        <x:is>
          <x:t xml:space="preserve">Hint</x:t>
        </x:is>
      </x:c>
    </x:row>
    <x:row r="64" ht="24" customHeight="1">
      <x:c r="A64" s="4" t="inlineStr">
        <x:is>
          <x:t xml:space="preserve">Input</x:t>
        </x:is>
      </x:c>
      <x:c r="B64" s="4" t="inlineStr">
        <x:is>
          <x:t xml:space="preserve">Market value of holdings</x:t>
        </x:is>
      </x:c>
      <x:c r="C64" s="9" t="n"/>
      <x:c r="D64" s="4" t="inlineStr">
        <x:is>
          <x:t xml:space="preserve">Enter the given from the slide.</x:t>
        </x:is>
      </x:c>
      <x:c r="E64" s="4" t="inlineStr">
        <x:is>
          <x:t xml:space="preserve">Input first; formulas should reference this cell later.</x:t>
        </x:is>
      </x:c>
    </x:row>
    <x:row r="65" ht="24" customHeight="1">
      <x:c r="A65" s="4" t="inlineStr">
        <x:is>
          <x:t xml:space="preserve">Input</x:t>
        </x:is>
      </x:c>
      <x:c r="B65" s="4" t="inlineStr">
        <x:is>
          <x:t xml:space="preserve">Current liabilities</x:t>
        </x:is>
      </x:c>
      <x:c r="C65" s="9" t="n"/>
      <x:c r="D65" s="4" t="inlineStr">
        <x:is>
          <x:t xml:space="preserve">Enter the given from the slide.</x:t>
        </x:is>
      </x:c>
      <x:c r="E65" s="4" t="inlineStr">
        <x:is>
          <x:t xml:space="preserve">Input first; formulas should reference this cell later.</x:t>
        </x:is>
      </x:c>
    </x:row>
    <x:row r="66" ht="24" customHeight="1">
      <x:c r="A66" s="4" t="inlineStr">
        <x:is>
          <x:t xml:space="preserve">Input</x:t>
        </x:is>
      </x:c>
      <x:c r="B66" s="4" t="inlineStr">
        <x:is>
          <x:t xml:space="preserve">Shares outstanding</x:t>
        </x:is>
      </x:c>
      <x:c r="C66" s="11" t="n"/>
      <x:c r="D66" s="4" t="inlineStr">
        <x:is>
          <x:t xml:space="preserve">Enter the given from the slide.</x:t>
        </x:is>
      </x:c>
      <x:c r="E66" s="4" t="inlineStr">
        <x:is>
          <x:t xml:space="preserve">Input first; formulas should reference this cell later.</x:t>
        </x:is>
      </x:c>
    </x:row>
    <x:row r="67" ht="24" customHeight="1">
      <x:c r="A67" s="4" t="inlineStr">
        <x:is>
          <x:t xml:space="preserve">Input</x:t>
        </x:is>
      </x:c>
      <x:c r="B67" s="4" t="inlineStr">
        <x:is>
          <x:t xml:space="preserve">Shares to buy</x:t>
        </x:is>
      </x:c>
      <x:c r="C67" s="11" t="n"/>
      <x:c r="D67" s="4" t="inlineStr">
        <x:is>
          <x:t xml:space="preserve">Enter the given from the slide.</x:t>
        </x:is>
      </x:c>
      <x:c r="E67" s="4" t="inlineStr">
        <x:is>
          <x:t xml:space="preserve">Input first; formulas should reference this cell later.</x:t>
        </x:is>
      </x:c>
    </x:row>
    <x:row r="68" ht="24" customHeight="1"/>
    <x:row r="69" ht="24" customHeight="1">
      <x:c r="A69" s="4" t="inlineStr">
        <x:is>
          <x:t xml:space="preserve">Formula</x:t>
        </x:is>
      </x:c>
      <x:c r="B69" s="4" t="inlineStr">
        <x:is>
          <x:t xml:space="preserve">Net assets</x:t>
        </x:is>
      </x:c>
      <x:c r="C69" s="9" t="n"/>
      <x:c r="D69" s="8" t="str">
        <x:f>IF(C69="","",IF(COUNT($C$64:$C$65)&lt;2,"Enter givens first",IF(ABS(C69-($C$64-$C$65))&lt;=0.01,"Looks right","Check holdings minus liabilities")))</x:f>
      </x:c>
      <x:c r="E69" s="4" t="inlineStr">
        <x:is>
          <x:t xml:space="preserve">Assets minus liabilities.</x:t>
        </x:is>
      </x:c>
    </x:row>
    <x:row r="70" ht="24" customHeight="1">
      <x:c r="A70" s="4" t="inlineStr">
        <x:is>
          <x:t xml:space="preserve">Formula</x:t>
        </x:is>
      </x:c>
      <x:c r="B70" s="4" t="inlineStr">
        <x:is>
          <x:t xml:space="preserve">NAV per share</x:t>
        </x:is>
      </x:c>
      <x:c r="C70" s="6" t="n"/>
      <x:c r="D70" s="8" t="str">
        <x:f>IF(C70="","",IF(COUNT($C$66,$C$69)&lt;2,"Enter givens first",IF(ABS(C70-ROUND($C$69/$C$66,2))&lt;=0.01,"Looks right","Check net assets divided by shares")))</x:f>
      </x:c>
      <x:c r="E70" s="4" t="inlineStr">
        <x:is>
          <x:t xml:space="preserve">Round NAV to cents.</x:t>
        </x:is>
      </x:c>
    </x:row>
    <x:row r="71" ht="24" customHeight="1">
      <x:c r="A71" s="4" t="inlineStr">
        <x:is>
          <x:t xml:space="preserve">Formula</x:t>
        </x:is>
      </x:c>
      <x:c r="B71" s="4" t="inlineStr">
        <x:is>
          <x:t xml:space="preserve">Cost to buy shares</x:t>
        </x:is>
      </x:c>
      <x:c r="C71" s="6" t="n"/>
      <x:c r="D71" s="8" t="str">
        <x:f>IF(C71="","",IF(COUNT($C$67,$C$70)&lt;2,"Enter givens first",IF(ABS(C71-($C$70*$C$67))&lt;=0.01,"Looks right","Check NAV times shares to buy")))</x:f>
      </x:c>
      <x:c r="E71" s="4" t="inlineStr">
        <x:is>
          <x:t xml:space="preserve">NAV per share times number of shares.</x:t>
        </x:is>
      </x:c>
    </x:row>
  </x:sheetData>
  <x:mergeCells>
    <x:mergeCell ref="A18:H18"/>
    <x:mergeCell ref="A1:H1"/>
    <x:mergeCell ref="A62:H62"/>
    <x:mergeCell ref="A2:H2"/>
    <x:mergeCell ref="A49:H49"/>
    <x:mergeCell ref="A5:H5"/>
    <x:mergeCell ref="A31:H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hidden="0" customWidth="1"/>
    <x:col min="2" max="2" width="17" hidden="0" customWidth="1"/>
    <x:col min="3" max="3" width="13" hidden="0" customWidth="1"/>
    <x:col min="4" max="4" width="24" hidden="0" customWidth="1"/>
    <x:col min="5" max="5" width="16" hidden="0" customWidth="1"/>
    <x:col min="6" max="6" width="12" hidden="0" customWidth="1"/>
    <x:col min="7" max="7" width="22" hidden="0" customWidth="1"/>
    <x:col min="8" max="8" width="18" hidden="0" customWidth="1"/>
    <x:col min="9" max="9" width="16" hidden="0" customWidth="1"/>
    <x:col min="10" max="10" width="17" hidden="0" customWidth="1"/>
    <x:col min="11" max="11" width="22" hidden="0" customWidth="1"/>
    <x:col min="12" max="12" width="6" hidden="0" customWidth="1"/>
    <x:col min="13" max="13" width="16" customWidth="1"/>
    <x:col min="14" max="14" width="18" customWidth="1"/>
  </x:cols>
  <x:sheetData>
    <x:row r="1" ht="32" customHeight="1">
      <x:c r="A1" s="339" t="str">
        <x:v>Class Challenge - Meridian Client Portfolio Recommendation</x:v>
      </x:c>
      <x:c r="B1" s="339"/>
      <x:c r="C1" s="339"/>
      <x:c r="D1" s="339"/>
      <x:c r="E1" s="339"/>
      <x:c r="F1" s="339"/>
      <x:c r="G1" s="339"/>
      <x:c r="H1" s="339"/>
      <x:c r="I1" s="339"/>
      <x:c r="J1" s="339"/>
      <x:c r="K1" s="339"/>
      <x:c r="L1" s="339"/>
      <x:c r="M1"/>
      <x:c r="N1"/>
    </x:row>
    <x:row r="2" ht="30" customHeight="1">
      <x:c r="A2" s="94" t="str">
        <x:v>Start in class. Finish for homework. Build linked calculations, compare every alternative, test the constraints, and defend one recommendation.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/>
      <x:c r="N2"/>
    </x:row>
    <x:row r="4" ht="26" customHeight="1">
      <x:c r="A4" s="335" t="str">
        <x:v>CLIENT BRIEF</x:v>
      </x:c>
      <x:c r="B4" s="336"/>
      <x:c r="C4" s="336"/>
      <x:c r="D4" s="336"/>
      <x:c r="E4" s="336"/>
      <x:c r="F4" s="336"/>
      <x:c r="G4" s="336"/>
      <x:c r="H4" s="336"/>
      <x:c r="I4" s="336"/>
      <x:c r="J4" s="336"/>
      <x:c r="K4" s="336"/>
      <x:c r="L4" s="337"/>
      <x:c r="M4"/>
      <x:c r="N4"/>
    </x:row>
    <x:row r="5" ht="38" customHeight="1">
      <x:c r="A5" s="95" t="str">
        <x:v>Client</x:v>
      </x:c>
      <x:c r="B5" s="95" t="str">
        <x:v>Income-focused client with an $8,000 allocation</x:v>
      </x:c>
      <x:c r="C5" s="95" t="str">
        <x:v>Recommend one investment only after the comparison table proves it meets every client constraint. Use 1 for pass and 0 for fail.</x:v>
      </x:c>
      <x:c r="D5" s="95"/>
      <x:c r="E5" s="95"/>
      <x:c r="F5" s="95"/>
      <x:c r="G5" s="95"/>
      <x:c r="H5" s="95"/>
      <x:c r="I5" s="95"/>
      <x:c r="J5" s="95"/>
      <x:c r="K5" s="95"/>
      <x:c r="L5" s="95"/>
      <x:c r="N5"/>
    </x:row>
    <x:row r="6" ht="30" customHeight="1">
      <x:c r="A6" s="311" t="str">
        <x:v>Constraint</x:v>
      </x:c>
      <x:c r="B6" s="311" t="str">
        <x:v>Threshold</x:v>
      </x:c>
      <x:c r="C6" s="311" t="str">
        <x:v>Lesson-supported interpretation</x:v>
      </x:c>
      <x:c r="D6" s="311"/>
      <x:c r="E6" s="311"/>
      <x:c r="F6" s="311"/>
      <x:c r="G6" s="311"/>
      <x:c r="H6" s="311"/>
      <x:c r="I6" s="311"/>
      <x:c r="J6" s="311"/>
      <x:c r="K6" s="311"/>
      <x:c r="L6" s="311"/>
      <x:c r="N6"/>
    </x:row>
    <x:row r="7" ht="30" customHeight="1">
      <x:c r="A7" s="95" t="str">
        <x:v>Maximum investment cost</x:v>
      </x:c>
      <x:c r="B7" s="353" t="n">
        <x:v>8000</x:v>
      </x:c>
      <x:c r="C7" s="95" t="str">
        <x:v>Cost must fit the allocation.</x:v>
      </x:c>
      <x:c r="D7" s="95"/>
      <x:c r="E7" s="95"/>
      <x:c r="F7" s="95"/>
      <x:c r="G7" s="95"/>
      <x:c r="H7" s="95"/>
      <x:c r="I7" s="95"/>
      <x:c r="J7" s="95"/>
      <x:c r="K7" s="95"/>
      <x:c r="L7" s="95"/>
      <x:c r="M7"/>
      <x:c r="N7"/>
    </x:row>
    <x:row r="8" ht="30" customHeight="1">
      <x:c r="A8" s="95" t="str">
        <x:v>Minimum current income yield</x:v>
      </x:c>
      <x:c r="B8" s="354" t="n">
        <x:v>0.04</x:v>
      </x:c>
      <x:c r="C8" s="95" t="str">
        <x:v>Pass the performance test with current yield at or above 4.00% OR observed ROI at or above 6.00%.</x:v>
      </x:c>
      <x:c r="D8" s="95"/>
      <x:c r="E8" s="95"/>
      <x:c r="F8" s="95"/>
      <x:c r="G8" s="95"/>
      <x:c r="H8" s="95"/>
      <x:c r="I8" s="95"/>
      <x:c r="J8" s="95"/>
      <x:c r="K8" s="95"/>
      <x:c r="L8" s="95"/>
      <x:c r="N8"/>
    </x:row>
    <x:row r="9" ht="30" customHeight="1">
      <x:c r="A9" s="95" t="str">
        <x:v>Minimum observed ROI</x:v>
      </x:c>
      <x:c r="B9" s="354" t="n">
        <x:v>0.06</x:v>
      </x:c>
      <x:c r="C9" s="95" t="str">
        <x:v>A past ROI is evidence for this scenario, not a promise of future performance.</x:v>
      </x:c>
      <x:c r="D9" s="95"/>
      <x:c r="E9" s="95"/>
      <x:c r="F9" s="95"/>
      <x:c r="G9" s="95"/>
      <x:c r="H9" s="95"/>
      <x:c r="I9" s="95"/>
      <x:c r="J9" s="95"/>
      <x:c r="K9" s="95"/>
      <x:c r="L9" s="95"/>
      <x:c r="N9"/>
    </x:row>
    <x:row r="10" ht="30" customHeight="1">
      <x:c r="A10" s="95" t="str">
        <x:v>Required lower-risk proxy flag</x:v>
      </x:c>
      <x:c r="B10" s="340" t="n">
        <x:v>1</x:v>
      </x:c>
      <x:c r="C10" s="95" t="str">
        <x:v>1 only for creditor priority (bond) or diversified pooled ownership (mutual fund); 0 for an individual stock.</x:v>
      </x:c>
      <x:c r="D10" s="95"/>
      <x:c r="E10" s="95"/>
      <x:c r="F10" s="95"/>
      <x:c r="G10" s="95"/>
      <x:c r="H10" s="95"/>
      <x:c r="I10" s="95"/>
      <x:c r="J10" s="95"/>
      <x:c r="K10" s="95"/>
      <x:c r="L10" s="95"/>
      <x:c r="N10"/>
    </x:row>
    <x:row r="11" ht="58" customHeight="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</x:row>
    <x:row r="12" ht="58" customHeight="1">
      <x:c r="A12"/>
      <x:c r="B12"/>
      <x:c r="C12"/>
      <x:c r="D12"/>
      <x:c r="E12"/>
      <x:c r="F12"/>
      <x:c r="G12"/>
      <x:c r="N12"/>
    </x:row>
    <x:row r="13" ht="26" customHeight="1">
      <x:c r="A13" s="335" t="str">
        <x:v>ALTERNATIVE 1 - MAGH COMMON STOCK</x:v>
      </x:c>
      <x:c r="B13" s="336"/>
      <x:c r="C13" s="336"/>
      <x:c r="D13" s="336"/>
      <x:c r="E13" s="336"/>
      <x:c r="F13" s="336"/>
      <x:c r="G13" s="336"/>
      <x:c r="H13" s="336"/>
      <x:c r="I13" s="336"/>
      <x:c r="J13" s="336"/>
      <x:c r="K13" s="336"/>
      <x:c r="L13" s="337"/>
      <x:c r="N13"/>
    </x:row>
    <x:row r="14" ht="30" customHeight="1">
      <x:c r="A14" s="311" t="str">
        <x:v>Stock quote / return inputs</x:v>
      </x:c>
      <x:c r="B14" s="311" t="str">
        <x:v>Value</x:v>
      </x:c>
      <x:c r="C14" s="95"/>
      <x:c r="D14" s="311" t="str">
        <x:v>Transaction inputs</x:v>
      </x:c>
      <x:c r="E14" s="311" t="str">
        <x:v>Value</x:v>
      </x:c>
      <x:c r="F14" s="95"/>
      <x:c r="G14" s="311" t="str">
        <x:v>Linked calculation</x:v>
      </x:c>
      <x:c r="H14" s="311" t="str">
        <x:v>Formula result</x:v>
      </x:c>
      <x:c r="I14" s="95"/>
      <x:c r="J14" s="311" t="str">
        <x:v>Product classification</x:v>
      </x:c>
      <x:c r="K14" s="311" t="str">
        <x:v>Value</x:v>
      </x:c>
      <x:c r="N14"/>
    </x:row>
    <x:row r="15" ht="26" customHeight="1">
      <x:c r="A15" s="95" t="str">
        <x:v>Bid price</x:v>
      </x:c>
      <x:c r="B15" s="355" t="n">
        <x:v>39.55</x:v>
      </x:c>
      <x:c r="C15" s="95"/>
      <x:c r="D15" s="95" t="str">
        <x:v>Shares</x:v>
      </x:c>
      <x:c r="E15" s="340" t="n">
        <x:v>200</x:v>
      </x:c>
      <x:c r="F15" s="95"/>
      <x:c r="G15" s="95" t="str">
        <x:v>Bid-ask spread</x:v>
      </x:c>
      <x:c r="H15" s="356"/>
      <x:c r="I15" s="95"/>
      <x:c r="J15" s="95" t="str">
        <x:v>Product type</x:v>
      </x:c>
      <x:c r="K15" s="340" t="str">
        <x:v>Individual common stock</x:v>
      </x:c>
      <x:c r="N15"/>
    </x:row>
    <x:row r="16" ht="26" customHeight="1">
      <x:c r="A16" s="95" t="str">
        <x:v>Ask price</x:v>
      </x:c>
      <x:c r="B16" s="355" t="n">
        <x:v>39.68</x:v>
      </x:c>
      <x:c r="C16" s="95"/>
      <x:c r="D16" s="95" t="str">
        <x:v>Buy price/share</x:v>
      </x:c>
      <x:c r="E16" s="355" t="n">
        <x:v>39.09</x:v>
      </x:c>
      <x:c r="F16" s="95"/>
      <x:c r="G16" s="95" t="str">
        <x:v>Dividend yield</x:v>
      </x:c>
      <x:c r="H16" s="358"/>
      <x:c r="I16" s="95"/>
      <x:c r="J16" s="95"/>
      <x:c r="K16" s="95"/>
      <x:c r="N16"/>
    </x:row>
    <x:row r="17" ht="26" customHeight="1">
      <x:c r="A17" s="95" t="str">
        <x:v>Last price</x:v>
      </x:c>
      <x:c r="B17" s="355" t="n">
        <x:v>39.62</x:v>
      </x:c>
      <x:c r="C17" s="95"/>
      <x:c r="D17" s="95" t="str">
        <x:v>Sale price/share</x:v>
      </x:c>
      <x:c r="E17" s="355" t="n">
        <x:v>41.1</x:v>
      </x:c>
      <x:c r="F17" s="95"/>
      <x:c r="G17" s="95" t="str">
        <x:v>Total buy cost</x:v>
      </x:c>
      <x:c r="H17" s="356"/>
      <x:c r="I17" s="95"/>
      <x:c r="J17" s="95"/>
      <x:c r="K17" s="95"/>
      <x:c r="N17"/>
    </x:row>
    <x:row r="18" ht="26" customHeight="1">
      <x:c r="A18" s="95" t="str">
        <x:v>Annual dividend/share</x:v>
      </x:c>
      <x:c r="B18" s="355" t="n">
        <x:v>1.21</x:v>
      </x:c>
      <x:c r="C18" s="95"/>
      <x:c r="D18" s="95" t="str">
        <x:v>Commission rate</x:v>
      </x:c>
      <x:c r="E18" s="354" t="n">
        <x:v>0.01</x:v>
      </x:c>
      <x:c r="F18" s="95"/>
      <x:c r="G18" s="95" t="str">
        <x:v>Net sale proceeds</x:v>
      </x:c>
      <x:c r="H18" s="356"/>
      <x:c r="I18" s="95"/>
      <x:c r="J18" s="95"/>
      <x:c r="K18" s="95"/>
      <x:c r="N18"/>
    </x:row>
    <x:row r="19" ht="26" customHeight="1">
      <x:c r="A19" s="95"/>
      <x:c r="B19" s="95"/>
      <x:c r="C19" s="95"/>
      <x:c r="D19" s="95"/>
      <x:c r="E19" s="95"/>
      <x:c r="F19" s="95"/>
      <x:c r="G19" s="95" t="str">
        <x:v>Total dividends</x:v>
      </x:c>
      <x:c r="H19" s="356"/>
      <x:c r="I19" s="95"/>
      <x:c r="J19" s="95"/>
      <x:c r="K19" s="95"/>
      <x:c r="N19"/>
    </x:row>
    <x:row r="20" ht="26" customHeight="1">
      <x:c r="A20" s="95"/>
      <x:c r="B20" s="95"/>
      <x:c r="C20" s="95"/>
      <x:c r="D20" s="95"/>
      <x:c r="E20" s="95"/>
      <x:c r="F20" s="95"/>
      <x:c r="G20" s="95" t="str">
        <x:v>Observed ROI</x:v>
      </x:c>
      <x:c r="H20" s="358"/>
      <x:c r="I20" s="95"/>
      <x:c r="J20" s="95"/>
      <x:c r="K20" s="95"/>
    </x:row>
    <x:row r="21" ht="26" customHeight="1">
      <x:c r="A21" s="95"/>
      <x:c r="B21" s="95"/>
      <x:c r="C21" s="95"/>
      <x:c r="D21" s="95"/>
      <x:c r="E21" s="95"/>
      <x:c r="F21" s="95"/>
      <x:c r="G21" s="95" t="str">
        <x:v>Lower-risk proxy flag</x:v>
      </x:c>
      <x:c r="H21" s="361"/>
      <x:c r="I21" s="95"/>
      <x:c r="J21" s="95"/>
      <x:c r="K21" s="95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</x:row>
    <x:row r="24" ht="26" customHeight="1">
      <x:c r="A24" s="342" t="str">
        <x:v>ALTERNATIVE 2 - MERIDIAN 4% CORPORATE BOND</x:v>
      </x:c>
      <x:c r="B24" s="343"/>
      <x:c r="C24" s="343"/>
      <x:c r="D24" s="343"/>
      <x:c r="E24" s="343"/>
      <x:c r="F24" s="343"/>
      <x:c r="G24" s="343"/>
      <x:c r="H24" s="343"/>
      <x:c r="I24" s="343"/>
      <x:c r="J24" s="343"/>
      <x:c r="K24" s="343"/>
      <x:c r="L24" s="337"/>
    </x:row>
    <x:row r="25" ht="30" customHeight="1">
      <x:c r="A25" s="311" t="str">
        <x:v>Bond inputs</x:v>
      </x:c>
      <x:c r="B25" s="311" t="str">
        <x:v>Value</x:v>
      </x:c>
      <x:c r="C25" s="95"/>
      <x:c r="D25" s="95"/>
      <x:c r="E25" s="95"/>
      <x:c r="F25" s="95"/>
      <x:c r="G25" s="311" t="str">
        <x:v>Linked calculation</x:v>
      </x:c>
      <x:c r="H25" s="311" t="str">
        <x:v>Formula result</x:v>
      </x:c>
      <x:c r="I25" s="95"/>
      <x:c r="J25" s="311" t="str">
        <x:v>Product classification</x:v>
      </x:c>
      <x:c r="K25" s="311" t="str">
        <x:v>Value</x:v>
      </x:c>
    </x:row>
    <x:row r="26" ht="26" customHeight="1">
      <x:c r="A26" s="95" t="str">
        <x:v>Quoted price</x:v>
      </x:c>
      <x:c r="B26" s="355" t="n">
        <x:v>99.59</x:v>
      </x:c>
      <x:c r="C26" s="95"/>
      <x:c r="D26" s="95"/>
      <x:c r="E26" s="95"/>
      <x:c r="F26" s="95"/>
      <x:c r="G26" s="95" t="str">
        <x:v>Dollar price per bond</x:v>
      </x:c>
      <x:c r="H26" s="356"/>
      <x:c r="I26" s="95"/>
      <x:c r="J26" s="95" t="str">
        <x:v>Product type</x:v>
      </x:c>
      <x:c r="K26" s="340" t="str">
        <x:v>Bond</x:v>
      </x:c>
    </x:row>
    <x:row r="27" ht="26" customHeight="1">
      <x:c r="A27" s="95" t="str">
        <x:v>Face value</x:v>
      </x:c>
      <x:c r="B27" s="355" t="n">
        <x:v>1000</x:v>
      </x:c>
      <x:c r="C27" s="95"/>
      <x:c r="D27" s="95"/>
      <x:c r="E27" s="95"/>
      <x:c r="F27" s="95"/>
      <x:c r="G27" s="95" t="str">
        <x:v>Total purchase cost</x:v>
      </x:c>
      <x:c r="H27" s="356"/>
      <x:c r="I27" s="95"/>
      <x:c r="J27" s="95"/>
      <x:c r="K27" s="95"/>
    </x:row>
    <x:row r="28" ht="26" customHeight="1">
      <x:c r="A28" s="95" t="str">
        <x:v>Stated interest rate</x:v>
      </x:c>
      <x:c r="B28" s="354" t="n">
        <x:v>0.04</x:v>
      </x:c>
      <x:c r="C28" s="95"/>
      <x:c r="D28" s="95"/>
      <x:c r="E28" s="95"/>
      <x:c r="F28" s="95"/>
      <x:c r="G28" s="95" t="str">
        <x:v>Annual interest/bond</x:v>
      </x:c>
      <x:c r="H28" s="356"/>
      <x:c r="I28" s="95"/>
      <x:c r="J28" s="95"/>
      <x:c r="K28" s="95"/>
    </x:row>
    <x:row r="29" ht="26" customHeight="1">
      <x:c r="A29" s="95" t="str">
        <x:v>Number of bonds</x:v>
      </x:c>
      <x:c r="B29" s="340" t="n">
        <x:v>5</x:v>
      </x:c>
      <x:c r="C29" s="95"/>
      <x:c r="D29" s="95"/>
      <x:c r="E29" s="95"/>
      <x:c r="F29" s="95"/>
      <x:c r="G29" s="95" t="str">
        <x:v>Total annual income</x:v>
      </x:c>
      <x:c r="H29" s="356"/>
      <x:c r="I29" s="95"/>
      <x:c r="J29" s="95"/>
      <x:c r="K29" s="95"/>
    </x:row>
    <x:row r="30" ht="26" customHeight="1">
      <x:c r="A30" s="95"/>
      <x:c r="B30" s="95"/>
      <x:c r="C30" s="95"/>
      <x:c r="D30" s="95"/>
      <x:c r="E30" s="95"/>
      <x:c r="F30" s="95"/>
      <x:c r="G30" s="95" t="str">
        <x:v>Current yield</x:v>
      </x:c>
      <x:c r="H30" s="358"/>
      <x:c r="I30" s="95"/>
      <x:c r="J30" s="95"/>
      <x:c r="K30" s="95"/>
    </x:row>
    <x:row r="31" ht="26" customHeight="1">
      <x:c r="A31" s="95"/>
      <x:c r="B31" s="95"/>
      <x:c r="C31" s="95"/>
      <x:c r="D31" s="95"/>
      <x:c r="E31" s="95"/>
      <x:c r="F31" s="95"/>
      <x:c r="G31" s="95" t="str">
        <x:v>Lower-risk proxy flag</x:v>
      </x:c>
      <x:c r="H31" s="361"/>
      <x:c r="I31" s="95"/>
      <x:c r="J31" s="95"/>
      <x:c r="K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</x:row>
    <x:row r="35" ht="26" customHeight="1">
      <x:c r="A35" s="342" t="str">
        <x:v>ALTERNATIVE 3 - MERIDIAN BALANCED FUND</x:v>
      </x:c>
      <x:c r="B35" s="343"/>
      <x:c r="C35" s="343"/>
      <x:c r="D35" s="343"/>
      <x:c r="E35" s="343"/>
      <x:c r="F35" s="343"/>
      <x:c r="G35" s="343"/>
      <x:c r="H35" s="343"/>
      <x:c r="I35" s="343"/>
      <x:c r="J35" s="343"/>
      <x:c r="K35" s="343"/>
      <x:c r="L35" s="337"/>
    </x:row>
    <x:row r="36" ht="30" customHeight="1">
      <x:c r="A36" s="311" t="str">
        <x:v>Fund valuation inputs</x:v>
      </x:c>
      <x:c r="B36" s="311" t="str">
        <x:v>Value</x:v>
      </x:c>
      <x:c r="C36" s="95"/>
      <x:c r="D36" s="95"/>
      <x:c r="E36" s="95"/>
      <x:c r="F36" s="95"/>
      <x:c r="G36" s="311" t="str">
        <x:v>Linked calculation</x:v>
      </x:c>
      <x:c r="H36" s="311" t="str">
        <x:v>Formula result</x:v>
      </x:c>
      <x:c r="I36" s="95"/>
      <x:c r="J36" s="311" t="str">
        <x:v>Product classification</x:v>
      </x:c>
      <x:c r="K36" s="311" t="str">
        <x:v>Value</x:v>
      </x:c>
    </x:row>
    <x:row r="37" ht="26" customHeight="1">
      <x:c r="A37" s="95" t="str">
        <x:v>Holdings</x:v>
      </x:c>
      <x:c r="B37" s="355" t="n">
        <x:v>8400000</x:v>
      </x:c>
      <x:c r="C37" s="95"/>
      <x:c r="D37" s="95"/>
      <x:c r="E37" s="95"/>
      <x:c r="F37" s="95"/>
      <x:c r="G37" s="95" t="str">
        <x:v>Net assets</x:v>
      </x:c>
      <x:c r="H37" s="356"/>
      <x:c r="I37" s="95"/>
      <x:c r="J37" s="95" t="str">
        <x:v>Product type</x:v>
      </x:c>
      <x:c r="K37" s="340" t="str">
        <x:v>Diversified mutual fund</x:v>
      </x:c>
    </x:row>
    <x:row r="38" ht="26" customHeight="1">
      <x:c r="A38" s="95" t="str">
        <x:v>Liabilities</x:v>
      </x:c>
      <x:c r="B38" s="355" t="n">
        <x:v>950000</x:v>
      </x:c>
      <x:c r="C38" s="95"/>
      <x:c r="D38" s="95"/>
      <x:c r="E38" s="95"/>
      <x:c r="F38" s="95"/>
      <x:c r="G38" s="95" t="str">
        <x:v>NAV per share</x:v>
      </x:c>
      <x:c r="H38" s="356"/>
      <x:c r="I38" s="95"/>
      <x:c r="J38" s="95"/>
      <x:c r="K38" s="95"/>
    </x:row>
    <x:row r="39" ht="26" customHeight="1">
      <x:c r="A39" s="95" t="str">
        <x:v>Shares outstanding</x:v>
      </x:c>
      <x:c r="B39" s="340" t="n">
        <x:v>1200000</x:v>
      </x:c>
      <x:c r="C39" s="95"/>
      <x:c r="D39" s="95"/>
      <x:c r="E39" s="95"/>
      <x:c r="F39" s="95"/>
      <x:c r="G39" s="95" t="str">
        <x:v>Purchase cost</x:v>
      </x:c>
      <x:c r="H39" s="356"/>
      <x:c r="I39" s="95"/>
      <x:c r="J39" s="95"/>
      <x:c r="K39" s="95"/>
    </x:row>
    <x:row r="40" ht="26" customHeight="1">
      <x:c r="A40" s="95" t="str">
        <x:v>Shares to buy</x:v>
      </x:c>
      <x:c r="B40" s="340" t="n">
        <x:v>100</x:v>
      </x:c>
      <x:c r="C40" s="95"/>
      <x:c r="D40" s="95"/>
      <x:c r="E40" s="95"/>
      <x:c r="F40" s="95"/>
      <x:c r="G40" s="95" t="str">
        <x:v>Current yield / ROI</x:v>
      </x:c>
      <x:c r="H40" s="344"/>
      <x:c r="I40" s="95" t="str">
        <x:v>Not calculable from the provided M10 fund inputs; do not invent a return.</x:v>
      </x:c>
      <x:c r="J40" s="95"/>
      <x:c r="K40" s="95"/>
    </x:row>
    <x:row r="41" ht="26" customHeight="1">
      <x:c r="A41" s="95"/>
      <x:c r="B41" s="95"/>
      <x:c r="C41" s="95"/>
      <x:c r="D41" s="95"/>
      <x:c r="E41" s="95"/>
      <x:c r="F41" s="95"/>
      <x:c r="G41" s="95" t="str">
        <x:v>Lower-risk proxy flag</x:v>
      </x:c>
      <x:c r="H41" s="361"/>
      <x:c r="I41" s="95"/>
      <x:c r="J41" s="95"/>
      <x:c r="K41" s="95"/>
    </x:row>
    <x:row r="46" ht="26" customHeight="1">
      <x:c r="A46" s="335" t="str">
        <x:v>COMPARISON TABLE - LINK EVERY METRIC FROM THE CALCULATION BLOCKS</x:v>
      </x:c>
      <x:c r="B46" s="336"/>
      <x:c r="C46" s="336"/>
      <x:c r="D46" s="336"/>
      <x:c r="E46" s="336"/>
      <x:c r="F46" s="336"/>
      <x:c r="G46" s="336"/>
      <x:c r="H46" s="336"/>
      <x:c r="I46" s="336"/>
      <x:c r="J46" s="336"/>
      <x:c r="K46" s="336"/>
      <x:c r="L46" s="337"/>
    </x:row>
    <x:row r="47" ht="46" customHeight="1">
      <x:c r="A47" s="311" t="str">
        <x:v>Alternative</x:v>
      </x:c>
      <x:c r="B47" s="311" t="str">
        <x:v>Cost</x:v>
      </x:c>
      <x:c r="C47" s="311" t="str">
        <x:v>Income yield</x:v>
      </x:c>
      <x:c r="D47" s="311" t="str">
        <x:v>Observed ROI</x:v>
      </x:c>
      <x:c r="E47" s="311" t="str">
        <x:v>Quote / valuation metric</x:v>
      </x:c>
      <x:c r="F47" s="311" t="str">
        <x:v>Risk proxy</x:v>
      </x:c>
      <x:c r="G47" s="311" t="str">
        <x:v>Budget pass</x:v>
      </x:c>
      <x:c r="H47" s="311" t="str">
        <x:v>Income or return pass</x:v>
      </x:c>
      <x:c r="I47" s="311" t="str">
        <x:v>Risk pass</x:v>
      </x:c>
      <x:c r="J47" s="311" t="str">
        <x:v>Eligible</x:v>
      </x:c>
      <x:c r="K47" s="311" t="str">
        <x:v>Status</x:v>
      </x:c>
    </x:row>
    <x:row r="48">
      <x:c r="A48" s="102"/>
      <x:c r="B48" s="102"/>
      <x:c r="C48" s="102"/>
      <x:c r="D48" s="102"/>
      <x:c r="E48" s="102"/>
      <x:c r="F48" s="102"/>
      <x:c r="G48" s="102"/>
      <x:c r="H48" s="102"/>
      <x:c r="I48" s="102"/>
      <x:c r="J48" s="102"/>
      <x:c r="K48" s="102"/>
    </x:row>
    <x:row r="49" ht="26" customHeight="1">
      <x:c r="A49" s="102" t="str">
        <x:v>MAGH Common Stock</x:v>
      </x:c>
      <x:c r="B49" s="357"/>
      <x:c r="C49" s="359"/>
      <x:c r="D49" s="359"/>
      <x:c r="E49" s="357"/>
      <x:c r="F49" s="362"/>
      <x:c r="G49" s="362"/>
      <x:c r="H49" s="362"/>
      <x:c r="I49" s="362"/>
      <x:c r="J49" s="362"/>
      <x:c r="K49" s="350" t="str">
        <x:f>IF(COUNT(G49:J49)&lt;4,"Build tests",IF(J49=1,"Eligible","Not eligible"))</x:f>
        <x:v>Build tests</x:v>
      </x:c>
    </x:row>
    <x:row r="50" ht="26" customHeight="1">
      <x:c r="A50" s="102" t="str">
        <x:v>Meridian 4% Bond</x:v>
      </x:c>
      <x:c r="B50" s="357"/>
      <x:c r="C50" s="360"/>
      <x:c r="D50" s="360"/>
      <x:c r="E50" s="357"/>
      <x:c r="F50" s="362"/>
      <x:c r="G50" s="362"/>
      <x:c r="H50" s="362"/>
      <x:c r="I50" s="362"/>
      <x:c r="J50" s="362"/>
      <x:c r="K50" s="350" t="str">
        <x:f>IF(COUNT(G50:J50)&lt;4,"Build tests",IF(J50=1,"Eligible","Not eligible"))</x:f>
        <x:v>Build tests</x:v>
      </x:c>
    </x:row>
    <x:row r="51" ht="26" customHeight="1">
      <x:c r="A51" s="102" t="str">
        <x:v>Meridian Balanced Fund</x:v>
      </x:c>
      <x:c r="B51" s="357"/>
      <x:c r="C51" s="360"/>
      <x:c r="D51" s="360"/>
      <x:c r="E51" s="357"/>
      <x:c r="F51" s="362"/>
      <x:c r="G51" s="362"/>
      <x:c r="H51" s="362"/>
      <x:c r="I51" s="362"/>
      <x:c r="J51" s="362"/>
      <x:c r="K51" s="350" t="str">
        <x:f>IF(COUNT(G51:J51)&lt;4,"Build tests",IF(J51=1,"Eligible","Not eligible"))</x:f>
        <x:v>Build tests</x:v>
      </x:c>
    </x:row>
    <x:row r="52">
      <x:c r="A52" s="102"/>
      <x:c r="B52" s="102"/>
      <x:c r="C52" s="102"/>
      <x:c r="D52" s="102"/>
      <x:c r="E52" s="102"/>
      <x:c r="F52" s="102"/>
      <x:c r="G52" s="102"/>
      <x:c r="H52" s="102"/>
      <x:c r="I52" s="102"/>
      <x:c r="J52" s="102"/>
      <x:c r="K52" s="102"/>
    </x:row>
    <x:row r="53">
      <x:c r="A53" s="102" t="str">
        <x:v>Eligible alternatives</x:v>
      </x:c>
      <x:c r="B53" s="363" t="n">
        <x:f>SUM(J49:J51)</x:f>
        <x:v>0</x:v>
      </x:c>
      <x:c r="C53" s="102"/>
      <x:c r="D53" s="102"/>
      <x:c r="E53" s="102"/>
      <x:c r="F53" s="102"/>
      <x:c r="G53" s="102"/>
      <x:c r="H53" s="102"/>
      <x:c r="I53" s="102"/>
      <x:c r="J53" s="102"/>
      <x:c r="K53" s="102"/>
    </x:row>
    <x:row r="55" ht="26" customHeight="1">
      <x:c r="A55" s="335" t="str">
        <x:v>RECOMMENDATION</x:v>
      </x:c>
      <x:c r="B55" s="336"/>
      <x:c r="C55" s="336"/>
      <x:c r="D55" s="336"/>
      <x:c r="E55" s="336"/>
      <x:c r="F55" s="336"/>
      <x:c r="G55" s="336"/>
      <x:c r="H55" s="336"/>
      <x:c r="I55" s="336"/>
      <x:c r="J55" s="336"/>
      <x:c r="K55" s="336"/>
      <x:c r="L55" s="337"/>
    </x:row>
    <x:row r="56" ht="26" customHeight="1">
      <x:c r="A56" s="102" t="str">
        <x:v>Selected recommendation</x:v>
      </x:c>
      <x:c r="B56" s="346"/>
      <x:c r="C56" s="102"/>
      <x:c r="D56" s="102"/>
      <x:c r="E56" s="102"/>
      <x:c r="F56" s="102"/>
      <x:c r="G56" s="102"/>
      <x:c r="H56" s="102"/>
      <x:c r="I56" s="102"/>
      <x:c r="J56" s="102"/>
      <x:c r="K56" s="102"/>
      <x:c r="L56" s="102"/>
    </x:row>
    <x:row r="57" ht="26" customHeight="1">
      <x:c r="A57" s="102" t="str">
        <x:v>Selected recommendation eligible?</x:v>
      </x:c>
      <x:c r="B57" s="363" t="str">
        <x:f>IF(B56="","",IF(B56=A49,J49,IF(B56=A50,J50,IF(B56=A51,J51,0))))</x:f>
      </x:c>
      <x:c r="C57" s="102"/>
      <x:c r="D57" s="102"/>
      <x:c r="E57" s="102"/>
      <x:c r="F57" s="102"/>
      <x:c r="G57" s="102"/>
      <x:c r="H57" s="102"/>
      <x:c r="I57" s="102"/>
      <x:c r="J57" s="102"/>
      <x:c r="K57" s="102"/>
      <x:c r="L57" s="102"/>
    </x:row>
    <x:row r="58" ht="26" customHeight="1">
      <x:c r="A58" s="102" t="str">
        <x:v>Decision check</x:v>
      </x:c>
      <x:c r="B58" s="352" t="str">
        <x:f>IF(B56="","Choose an alternative",IF(B57=1,"Consistent with calculated constraints","Revise: the selection fails at least one client constraint"))</x:f>
        <x:v>Choose an alternative</x:v>
      </x:c>
      <x:c r="C58" s="102"/>
      <x:c r="D58" s="102"/>
      <x:c r="E58" s="102"/>
      <x:c r="F58" s="102"/>
      <x:c r="G58" s="102"/>
      <x:c r="H58" s="102"/>
      <x:c r="I58" s="102"/>
      <x:c r="J58" s="102"/>
      <x:c r="K58" s="102"/>
      <x:c r="L58" s="102"/>
    </x:row>
    <x:row r="60" ht="34" customHeight="1">
      <x:c r="A60" s="53" t="str">
        <x:v>Recommendation explanation</x:v>
      </x:c>
      <x:c r="B60" s="107" t="str">
        <x:v>In 2-4 sentences, cite the selected alternative's calculated cost, yield or ROI evidence, and lower-risk proxy. Explain why the other choices fail.</x:v>
      </x:c>
      <x:c r="C60" s="107"/>
      <x:c r="D60" s="107"/>
      <x:c r="E60" s="107"/>
      <x:c r="F60" s="107"/>
      <x:c r="G60" s="107"/>
      <x:c r="H60" s="107"/>
      <x:c r="I60" s="107"/>
      <x:c r="J60" s="107"/>
      <x:c r="K60" s="107"/>
      <x:c r="L60" s="51"/>
    </x:row>
    <x:row r="61" ht="28" customHeight="1">
      <x:c r="A61" s="348"/>
      <x:c r="B61" s="348"/>
      <x:c r="C61" s="348"/>
      <x:c r="D61" s="348"/>
      <x:c r="E61" s="348"/>
      <x:c r="F61" s="348"/>
      <x:c r="G61" s="348"/>
      <x:c r="H61" s="348"/>
      <x:c r="I61" s="348"/>
      <x:c r="J61" s="348"/>
      <x:c r="K61" s="348"/>
      <x:c r="L61" s="348"/>
    </x:row>
    <x:row r="62" ht="28" customHeight="1">
      <x:c r="A62" s="348"/>
      <x:c r="B62" s="348"/>
      <x:c r="C62" s="348"/>
      <x:c r="D62" s="348"/>
      <x:c r="E62" s="348"/>
      <x:c r="F62" s="348"/>
      <x:c r="G62" s="348"/>
      <x:c r="H62" s="348"/>
      <x:c r="I62" s="348"/>
      <x:c r="J62" s="348"/>
      <x:c r="K62" s="348"/>
      <x:c r="L62" s="348"/>
    </x:row>
    <x:row r="63" ht="28" customHeight="1">
      <x:c r="A63" s="348"/>
      <x:c r="B63" s="348"/>
      <x:c r="C63" s="348"/>
      <x:c r="D63" s="348"/>
      <x:c r="E63" s="348"/>
      <x:c r="F63" s="348"/>
      <x:c r="G63" s="348"/>
      <x:c r="H63" s="348"/>
      <x:c r="I63" s="348"/>
      <x:c r="J63" s="348"/>
      <x:c r="K63" s="348"/>
      <x:c r="L63" s="348"/>
    </x:row>
  </x:sheetData>
  <x:mergeCells>
    <x:mergeCell ref="A1:L1"/>
    <x:mergeCell ref="A2:L2"/>
    <x:mergeCell ref="A4:L4"/>
    <x:mergeCell ref="C5:L5"/>
    <x:mergeCell ref="C6:L6"/>
    <x:mergeCell ref="C7:L7"/>
    <x:mergeCell ref="C8:L8"/>
    <x:mergeCell ref="C9:L9"/>
    <x:mergeCell ref="C10:L10"/>
    <x:mergeCell ref="A13:L13"/>
    <x:mergeCell ref="A24:L24"/>
    <x:mergeCell ref="A35:L35"/>
    <x:mergeCell ref="A46:L46"/>
    <x:mergeCell ref="A55:L55"/>
    <x:mergeCell ref="B60:L60"/>
    <x:mergeCell ref="A61:L63"/>
    <x:mergeCell ref="I40:L40"/>
    <x:mergeCell ref="B58:L58"/>
  </x:mergeCells>
  <x:conditionalFormatting sqref="G49:J51">
    <x:cfRule type="cellIs" dxfId="0" priority="1" operator="equal">
      <x:formula>1</x:formula>
    </x:cfRule>
    <x:cfRule type="cellIs" dxfId="1" priority="2" operator="equal">
      <x:formula>0</x:formula>
    </x:cfRule>
    <x:cfRule type="cellIs" dxfId="2" priority="3" operator="equal">
      <x:formula>1</x:formula>
    </x:cfRule>
    <x:cfRule type="cellIs" dxfId="3" priority="4" operator="equal">
      <x:formula>0</x:formula>
    </x:cfRule>
    <x:cfRule type="cellIs" dxfId="4" priority="5" operator="equal">
      <x:formula>1</x:formula>
    </x:cfRule>
    <x:cfRule type="cellIs" dxfId="5" priority="6" operator="equal">
      <x:formula>0</x:formula>
    </x:cfRule>
    <x:cfRule type="cellIs" dxfId="6" priority="7" operator="equal">
      <x:formula>1</x:formula>
    </x:cfRule>
    <x:cfRule type="cellIs" dxfId="7" priority="8" operator="equal">
      <x:formula>0</x:formula>
    </x:cfRule>
    <x:cfRule type="cellIs" dxfId="8" priority="9" operator="equal">
      <x:formula>1</x:formula>
    </x:cfRule>
    <x:cfRule type="cellIs" dxfId="9" priority="10" operator="equal">
      <x:formula>0</x:formula>
    </x:cfRule>
  </x:conditionalFormatting>
  <x:dataValidations count="1">
    <x:dataValidation type="list" sqref="B56">
      <x:formula1>"MAGH Common Stock,Meridian 4% Bond,Meridian Balanced Fund"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hidden="0" customWidth="1"/>
    <x:col min="2" max="2" width="38" hidden="0" customWidth="1"/>
    <x:col min="3" max="3" width="40" hidden="0" customWidth="1"/>
    <x:col min="4" max="4" width="42" hidden="0" customWidth="1"/>
    <x:col min="5" max="5" width="18" hidden="0" customWidth="1"/>
  </x:cols>
  <x:sheetData>
    <x:row r="1" ht="30" customHeight="1">
      <x:c r="A1" s="318" t="str">
        <x:v>Formula Reference Card - BUS123 MATH-M10-L01</x:v>
      </x:c>
      <x:c r="B1" s="318"/>
      <x:c r="C1" s="318"/>
      <x:c r="D1" s="318"/>
      <x:c r="E1" s="318"/>
    </x:row>
    <x:row r="2" ht="24" customHeight="1">
      <x:c r="A2" s="61" t="str">
        <x:v>Use this as a syntax helper after you identify the business question and required inputs.</x:v>
      </x:c>
      <x:c r="B2" s="61"/>
      <x:c r="C2" s="61"/>
      <x:c r="D2" s="61"/>
      <x:c r="E2" s="61"/>
    </x:row>
    <x:row r="3">
      <x:c r="A3" s="62"/>
      <x:c r="B3" s="62"/>
      <x:c r="C3" s="62"/>
      <x:c r="D3" s="62"/>
      <x:c r="E3" s="62"/>
    </x:row>
    <x:row r="4" ht="28" customHeight="1">
      <x:c r="A4" s="319" t="str">
        <x:v>Concept</x:v>
      </x:c>
      <x:c r="B4" s="319" t="str">
        <x:v>Business formula</x:v>
      </x:c>
      <x:c r="C4" s="319" t="str">
        <x:v>Excel syntax pattern</x:v>
      </x:c>
      <x:c r="D4" s="319" t="str">
        <x:v>Example using lesson numbers</x:v>
      </x:c>
      <x:c r="E4" s="319" t="str">
        <x:v>Result</x:v>
      </x:c>
    </x:row>
    <x:row r="5" ht="42" customHeight="1">
      <x:c r="A5" s="64" t="str">
        <x:v>Bid-Ask Spread</x:v>
      </x:c>
      <x:c r="B5" s="65" t="str">
        <x:v>Ask Price - Bid Price</x:v>
      </x:c>
      <x:c r="C5" s="315" t="str">
        <x:v>=Ask_Cell - Bid_Cell</x:v>
      </x:c>
      <x:c r="D5" s="65" t="str">
        <x:v>$39.68 - $39.55</x:v>
      </x:c>
      <x:c r="E5" s="67" t="str">
        <x:v>$0.13</x:v>
      </x:c>
    </x:row>
    <x:row r="6" ht="42" customHeight="1">
      <x:c r="A6" s="68" t="str">
        <x:v>Dividend Yield</x:v>
      </x:c>
      <x:c r="B6" s="69" t="str">
        <x:v>Annual Dividend / Stock Price</x:v>
      </x:c>
      <x:c r="C6" s="316" t="str">
        <x:v>=Dividend_Cell / Price_Cell</x:v>
      </x:c>
      <x:c r="D6" s="69" t="str">
        <x:v>$1.21 / $39.62</x:v>
      </x:c>
      <x:c r="E6" s="71" t="str">
        <x:v>3.05%</x:v>
      </x:c>
    </x:row>
    <x:row r="7" ht="42" customHeight="1">
      <x:c r="A7" s="68" t="str">
        <x:v>Total Buy Cost</x:v>
      </x:c>
      <x:c r="B7" s="69" t="str">
        <x:v>Shares x Buy Price x (1 + Commission Rate)</x:v>
      </x:c>
      <x:c r="C7" s="316" t="str">
        <x:v>=Shares * BuyPrice * (1 + Commission)</x:v>
      </x:c>
      <x:c r="D7" s="69" t="str">
        <x:v>200 x $39.09 x 1.01</x:v>
      </x:c>
      <x:c r="E7" s="71" t="str">
        <x:v>$7,896.18</x:v>
      </x:c>
    </x:row>
    <x:row r="8" ht="42" customHeight="1">
      <x:c r="A8" s="68" t="str">
        <x:v>Net Sale Proceeds</x:v>
      </x:c>
      <x:c r="B8" s="69" t="str">
        <x:v>Shares x Sale Price x (1 - Commission Rate)</x:v>
      </x:c>
      <x:c r="C8" s="316" t="str">
        <x:v>=Shares * SalePrice * (1 - Commission)</x:v>
      </x:c>
      <x:c r="D8" s="69" t="str">
        <x:v>200 x $41.10 x 0.99</x:v>
      </x:c>
      <x:c r="E8" s="71" t="str">
        <x:v>$8,137.80</x:v>
      </x:c>
    </x:row>
    <x:row r="9" ht="42" customHeight="1">
      <x:c r="A9" s="68" t="str">
        <x:v>ROI</x:v>
      </x:c>
      <x:c r="B9" s="69" t="str">
        <x:v>(Net Proceeds - Total Buy Cost + Dividends) / Total Buy Cost</x:v>
      </x:c>
      <x:c r="C9" s="316" t="str">
        <x:v>=(NetProceeds - BuyCost + Dividends) / BuyCost</x:v>
      </x:c>
      <x:c r="D9" s="69" t="str">
        <x:v>($8,137.80 - $7,896.18 + $242.00) / $7,896.18</x:v>
      </x:c>
      <x:c r="E9" s="71" t="str">
        <x:v>6.12%</x:v>
      </x:c>
    </x:row>
    <x:row r="10" ht="42" customHeight="1">
      <x:c r="A10" s="68" t="str">
        <x:v>Bond Dollar Price</x:v>
      </x:c>
      <x:c r="B10" s="69" t="str">
        <x:v>Quoted Price / 100 x Face Value</x:v>
      </x:c>
      <x:c r="C10" s="316" t="str">
        <x:v>=QuotedPrice / 100 * FaceValue</x:v>
      </x:c>
      <x:c r="D10" s="69" t="str">
        <x:v>99.59 / 100 x $1,000</x:v>
      </x:c>
      <x:c r="E10" s="71" t="str">
        <x:v>$995.90</x:v>
      </x:c>
    </x:row>
    <x:row r="11" ht="42" customHeight="1">
      <x:c r="A11" s="68" t="str">
        <x:v>Bond Current Yield</x:v>
      </x:c>
      <x:c r="B11" s="69" t="str">
        <x:v>Annual Interest / Dollar Price</x:v>
      </x:c>
      <x:c r="C11" s="316" t="str">
        <x:v>=AnnualInterest / DollarPrice</x:v>
      </x:c>
      <x:c r="D11" s="69" t="str">
        <x:v>$40 / $995.90</x:v>
      </x:c>
      <x:c r="E11" s="71" t="str">
        <x:v>4.02%</x:v>
      </x:c>
    </x:row>
    <x:row r="12" ht="42" customHeight="1">
      <x:c r="A12" s="68" t="str">
        <x:v>Net Asset Value</x:v>
      </x:c>
      <x:c r="B12" s="69" t="str">
        <x:v>(Holdings - Liabilities) / Shares Outstanding</x:v>
      </x:c>
      <x:c r="C12" s="316" t="str">
        <x:v>=(Holdings - Liabilities) / Shares</x:v>
      </x:c>
      <x:c r="D12" s="69" t="str">
        <x:v>($8,400,000 - $950,000) / 1,200,000</x:v>
      </x:c>
      <x:c r="E12" s="71" t="str">
        <x:v>$6.21</x:v>
      </x:c>
    </x:row>
    <x:row r="13" ht="42" customHeight="1">
      <x:c r="A13" s="68" t="str">
        <x:v>Fund Purchase Cost</x:v>
      </x:c>
      <x:c r="B13" s="69" t="str">
        <x:v>Rounded NAV x Shares Purchased</x:v>
      </x:c>
      <x:c r="C13" s="316" t="str">
        <x:v>=ROUND(NAV,2) * SharesToBuy</x:v>
      </x:c>
      <x:c r="D13" s="69" t="str">
        <x:v>$6.21 x 100</x:v>
      </x:c>
      <x:c r="E13" s="71" t="str">
        <x:v>$621.00</x:v>
      </x:c>
    </x:row>
    <x:row r="14" ht="42" customHeight="1">
      <x:c r="A14" s="68" t="str">
        <x:v>Budget Test</x:v>
      </x:c>
      <x:c r="B14" s="69" t="str">
        <x:v>Cost is at or below client budget</x:v>
      </x:c>
      <x:c r="C14" s="316" t="str">
        <x:v>=IF(Cost&lt;=Budget,1,0)</x:v>
      </x:c>
      <x:c r="D14" s="69" t="str">
        <x:v>$4,979.50 &lt;= $8,000</x:v>
      </x:c>
      <x:c r="E14" s="71" t="str">
        <x:v>1 = pass</x:v>
      </x:c>
    </x:row>
    <x:row r="15" ht="42" customHeight="1">
      <x:c r="A15" s="68" t="str">
        <x:v>Income or Return Test</x:v>
      </x:c>
      <x:c r="B15" s="69" t="str">
        <x:v>Yield meets minimum OR ROI meets minimum</x:v>
      </x:c>
      <x:c r="C15" s="316" t="str">
        <x:v>=IF(OR(Yield&gt;=MinYield,ROI&gt;=MinROI),1,0)</x:v>
      </x:c>
      <x:c r="D15" s="69" t="str">
        <x:v>4.02% &gt;= 4.00%</x:v>
      </x:c>
      <x:c r="E15" s="71" t="str">
        <x:v>1 = pass</x:v>
      </x:c>
    </x:row>
    <x:row r="16" ht="42" customHeight="1">
      <x:c r="A16" s="68" t="str">
        <x:v>Risk-Proxy Test</x:v>
      </x:c>
      <x:c r="B16" s="69" t="str">
        <x:v>Creditor priority or diversified pooled fund</x:v>
      </x:c>
      <x:c r="C16" s="316" t="str">
        <x:v>=IF(OR(Type="Bond",Type="Diversified mutual fund"),1,0)</x:v>
      </x:c>
      <x:c r="D16" s="69" t="str">
        <x:v>Bond</x:v>
      </x:c>
      <x:c r="E16" s="71" t="str">
        <x:v>1 = pass</x:v>
      </x:c>
    </x:row>
    <x:row r="17" ht="42" customHeight="1">
      <x:c r="A17" s="72" t="str">
        <x:v>Overall Eligibility</x:v>
      </x:c>
      <x:c r="B17" s="73" t="str">
        <x:v>Every client constraint passes</x:v>
      </x:c>
      <x:c r="C17" s="317" t="str">
        <x:v>=IF(AND(BudgetTest=1,PerformanceTest=1,RiskTest=1),1,0)</x:v>
      </x:c>
      <x:c r="D17" s="73" t="str">
        <x:v>1 x 1 x 1</x:v>
      </x:c>
      <x:c r="E17" s="75" t="str">
        <x:v>1 = eligible</x:v>
      </x:c>
    </x:row>
    <x:row r="18">
      <x:c r="A18" s="62"/>
      <x:c r="B18" s="62"/>
      <x:c r="C18" s="62"/>
      <x:c r="D18" s="62"/>
      <x:c r="E18" s="62"/>
    </x:row>
    <x:row r="19">
      <x:c r="A19" s="62"/>
      <x:c r="B19" s="62"/>
      <x:c r="C19" s="62"/>
      <x:c r="D19" s="62"/>
      <x:c r="E19" s="62"/>
    </x:row>
    <x:row r="20">
      <x:c r="A20" s="62"/>
      <x:c r="B20" s="62"/>
      <x:c r="C20" s="62"/>
      <x:c r="D20" s="62"/>
      <x:c r="E20" s="62"/>
    </x:row>
    <x:row r="21">
      <x:c r="A21" s="62"/>
      <x:c r="B21" s="62"/>
      <x:c r="C21" s="62"/>
      <x:c r="D21" s="62"/>
      <x:c r="E21" s="62"/>
    </x:row>
    <x:row r="22">
      <x:c r="A22" s="62"/>
      <x:c r="B22" s="62"/>
      <x:c r="C22" s="62"/>
      <x:c r="D22" s="62"/>
      <x:c r="E22" s="62"/>
    </x:row>
    <x:row r="23">
      <x:c r="A23" s="62"/>
      <x:c r="B23" s="62"/>
      <x:c r="C23" s="62"/>
      <x:c r="D23" s="62"/>
      <x:c r="E23" s="62"/>
    </x:row>
    <x:row r="24">
      <x:c r="A24" s="62"/>
      <x:c r="B24" s="62"/>
      <x:c r="C24" s="62"/>
      <x:c r="D24" s="62"/>
      <x:c r="E24" s="62"/>
    </x:row>
    <x:row r="25">
      <x:c r="A25" s="62"/>
      <x:c r="B25" s="62"/>
      <x:c r="C25" s="62"/>
      <x:c r="D25" s="62"/>
      <x:c r="E25" s="62"/>
    </x:row>
    <x:row r="26">
      <x:c r="A26" s="62"/>
      <x:c r="B26" s="62"/>
      <x:c r="C26" s="62"/>
      <x:c r="D26" s="62"/>
      <x:c r="E26" s="62"/>
    </x:row>
    <x:row r="27">
      <x:c r="A27" s="62"/>
      <x:c r="B27" s="62"/>
      <x:c r="C27" s="62"/>
      <x:c r="D27" s="62"/>
      <x:c r="E27" s="62"/>
    </x:row>
    <x:row r="28">
      <x:c r="A28" s="62"/>
      <x:c r="B28" s="62"/>
      <x:c r="C28" s="62"/>
      <x:c r="D28" s="62"/>
      <x:c r="E28" s="62"/>
    </x:row>
    <x:row r="29">
      <x:c r="A29" s="62"/>
      <x:c r="B29" s="62"/>
      <x:c r="C29" s="62"/>
      <x:c r="D29" s="62"/>
      <x:c r="E29" s="62"/>
    </x:row>
    <x:row r="30">
      <x:c r="A30" s="62"/>
      <x:c r="B30" s="62"/>
      <x:c r="C30" s="62"/>
      <x:c r="D30" s="62"/>
      <x:c r="E30" s="62"/>
    </x:row>
  </x:sheetData>
  <x:mergeCells>
    <x:mergeCell ref="A1:E1"/>
    <x:mergeCell ref="A2:E2"/>
  </x:mergeCells>
  <x:pageMargins left="0.7" right="0.7" top="0.75" bottom="0.75" header="0.3" footer="0.3"/>
</x:worksheet>
</file>