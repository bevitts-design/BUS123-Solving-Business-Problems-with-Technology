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eaafb58e5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3fb3f2b95494aaa"/>
    <x:sheet xmlns:r="http://schemas.openxmlformats.org/officeDocument/2006/relationships" name="Live You Try It" sheetId="2" r:id="R171763a0c2ce4833"/>
    <x:sheet xmlns:r="http://schemas.openxmlformats.org/officeDocument/2006/relationships" name="Class Challenge" sheetId="3" r:id="R9735681f121447e9"/>
    <x:sheet xmlns:r="http://schemas.openxmlformats.org/officeDocument/2006/relationships" name="FormulaReferenceCard" sheetId="4" r:id="R52975d82a79a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200" formatCode="0.00"/>
    <x:numFmt numFmtId="201" formatCode="0"/>
    <x:numFmt numFmtId="202" formatCode="0.000"/>
  </x:numFmts>
  <x:fonts count="21">
    <x:font>
      <x:sz val="11"/>
      <x:color theme="1"/>
      <x:name val="Calibri"/>
    </x:font>
    <x:font>
      <x:b/>
      <x:sz val="18"/>
      <x:color rgb="FFFFFFFF"/>
      <x:name val="Aptos Display"/>
    </x:font>
    <x:font>
      <x:b/>
      <x:sz val="13"/>
      <x:color rgb="FF4A7C5E"/>
      <x:name val="Aptos"/>
    </x:font>
    <x:font>
      <x:b/>
      <x:sz val="12"/>
      <x:color rgb="FFFFFFFF"/>
      <x:name val="Aptos"/>
    </x:font>
    <x:font>
      <x:b/>
      <x:sz val="10"/>
      <x:color rgb="FF1A1F2C"/>
      <x:name val="Aptos"/>
    </x:font>
    <x:font>
      <x:sz val="10"/>
      <x:color rgb="FF4A5567"/>
      <x:name val="Aptos"/>
    </x:font>
    <x:font>
      <x:b/>
      <x:sz val="11"/>
      <x:color rgb="FF4A7C5E"/>
      <x:name val="Aptos"/>
    </x:font>
    <x:font>
      <x:sz val="11"/>
      <x:color rgb="FF1A1F2C"/>
      <x:name val="Aptos"/>
    </x:font>
    <x:font>
      <x:i/>
      <x:sz val="11"/>
      <x:color rgb="FF4A5567"/>
      <x:name val="Aptos"/>
    </x:font>
    <x:font>
      <x:b/>
      <x:sz val="10"/>
      <x:color rgb="FFB8843D"/>
      <x:name val="Aptos"/>
    </x:font>
    <x:font>
      <x:sz val="10"/>
      <x:color rgb="FF1A1F2C"/>
      <x:name val="Aptos"/>
    </x:font>
    <x:font>
      <x:b/>
      <x:sz val="12"/>
      <x:color rgb="FF4A7C5E"/>
      <x:name val="Aptos"/>
    </x:font>
    <x:font>
      <x:b/>
      <x:sz val="10"/>
      <x:color rgb="FF355773"/>
      <x:name val="Aptos Mono"/>
    </x:font>
    <x:font>
      <x:b/>
      <x:sz val="11"/>
      <x:color rgb="FFFFFFFF"/>
      <x:name val="Calibri"/>
    </x:font>
    <x:font>
      <x:i/>
      <x:sz val="11"/>
      <x:color rgb="FF4A5567"/>
      <x:name val="Calibri"/>
    </x:font>
    <x:font>
      <x:b/>
      <x:sz val="11"/>
      <x:color rgb="FF355773"/>
      <x:name val="Calibri"/>
    </x:font>
    <x:font>
      <x:b/>
      <x:sz val="11"/>
      <x:color rgb="FF9C4A2B"/>
      <x:name val="Calibri"/>
    </x:font>
    <x:font>
      <x:b/>
      <x:sz val="11"/>
      <x:color rgb="FFB8843D"/>
      <x:name val="Calibri"/>
    </x:font>
    <x:font>
      <x:sz val="11"/>
      <x:color rgb="FF1A1F2C"/>
      <x:name val="Calibri"/>
    </x:font>
    <x:font>
      <x:b/>
      <x:sz val="11"/>
      <x:color rgb="FF4A7C5E"/>
      <x:name val="Calibri"/>
    </x:font>
    <x:font>
      <x:b/>
      <x:sz val="11"/>
      <x:color rgb="FF1A1F2C"/>
      <x:name val="Calibri"/>
    </x:font>
  </x:fonts>
  <x:fills count="18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4A7C5E"/>
      </x:patternFill>
    </x:fill>
    <x:fill>
      <x:patternFill patternType="solid">
        <x:fgColor rgb="FFF2EEE5"/>
      </x:patternFill>
    </x:fill>
    <x:fill>
      <x:patternFill patternType="solid">
        <x:fgColor rgb="FFFFFFFF"/>
      </x:patternFill>
    </x:fill>
    <x:fill>
      <x:patternFill patternType="solid">
        <x:fgColor rgb="FFB8843D"/>
      </x:patternFill>
    </x:fill>
    <x:fill>
      <x:patternFill patternType="solid">
        <x:fgColor rgb="FFFFF2CC"/>
      </x:patternFill>
    </x:fill>
    <x:fill>
      <x:patternFill patternType="solid">
        <x:fgColor rgb="FFEAF3EC"/>
      </x:patternFill>
    </x:fill>
    <x:fill>
      <x:patternFill patternType="solid">
        <x:fgColor rgb="FF9C4A2B"/>
      </x:patternFill>
    </x:fill>
    <x:fill>
      <x:patternFill patternType="solid">
        <x:fgColor rgb="FF0E1116"/>
      </x:patternFill>
    </x:fill>
    <x:fill>
      <x:patternFill patternType="solid">
        <x:fgColor rgb="FFEAF3EC"/>
      </x:patternFill>
    </x:fill>
    <x:fill>
      <x:patternFill patternType="solid">
        <x:fgColor rgb="FFF7E8E1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FFF2CC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</x:fills>
  <x:borders count="34">
    <x:border/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B8843D"/>
      </x:left>
      <x:right style="thin">
        <x:color rgb="FFB8843D"/>
      </x:right>
      <x:top style="thin">
        <x:color rgb="FFB8843D"/>
      </x:top>
      <x:bottom style="thin">
        <x:color rgb="FFB8843D"/>
      </x:bottom>
    </x:border>
    <x:border>
      <x:top style="thin">
        <x:color rgb="FFE5E1D6"/>
      </x:top>
    </x:border>
    <x:border>
      <x:right style="thin">
        <x:color rgb="FFE5E1D6"/>
      </x:right>
      <x:top style="thin">
        <x:color rgb="FFE5E1D6"/>
      </x:top>
    </x:border>
    <x:border>
      <x:top style="thin">
        <x:color rgb="FFE5E1D6"/>
      </x:top>
      <x:bottom style="thin">
        <x:color rgb="FFE5E1D6"/>
      </x:bottom>
    </x:border>
    <x:border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medium">
        <x:color rgb="FF4A7C5E"/>
      </x:left>
      <x:top style="medium">
        <x:color rgb="FF4A7C5E"/>
      </x:top>
    </x:border>
    <x:border>
      <x:top style="medium">
        <x:color rgb="FF4A7C5E"/>
      </x:top>
    </x:border>
    <x:border>
      <x:right style="medium">
        <x:color rgb="FF4A7C5E"/>
      </x:right>
      <x:top style="medium">
        <x:color rgb="FF4A7C5E"/>
      </x:top>
    </x:border>
    <x:border>
      <x:left style="medium">
        <x:color rgb="FF4A7C5E"/>
      </x:left>
      <x:bottom style="medium">
        <x:color rgb="FF4A7C5E"/>
      </x:bottom>
    </x:border>
    <x:border>
      <x:bottom style="medium">
        <x:color rgb="FF4A7C5E"/>
      </x:bottom>
    </x:border>
    <x:border>
      <x:right style="medium">
        <x:color rgb="FF4A7C5E"/>
      </x:right>
      <x:bottom style="medium">
        <x:color rgb="FF4A7C5E"/>
      </x:bottom>
    </x:border>
    <x:border>
      <x:left style="medium">
        <x:color rgb="FF9C4A2B"/>
      </x:left>
      <x:top style="medium">
        <x:color rgb="FF9C4A2B"/>
      </x:top>
    </x:border>
    <x:border>
      <x:top style="medium">
        <x:color rgb="FF9C4A2B"/>
      </x:top>
    </x:border>
    <x:border>
      <x:right style="medium">
        <x:color rgb="FF9C4A2B"/>
      </x:right>
      <x:top style="medium">
        <x:color rgb="FF9C4A2B"/>
      </x:top>
    </x:border>
    <x:border>
      <x:left style="medium">
        <x:color rgb="FF9C4A2B"/>
      </x:left>
      <x:bottom style="medium">
        <x:color rgb="FF9C4A2B"/>
      </x:bottom>
    </x:border>
    <x:border>
      <x:bottom style="medium">
        <x:color rgb="FF9C4A2B"/>
      </x:bottom>
    </x:border>
    <x:border>
      <x:right style="medium">
        <x:color rgb="FF9C4A2B"/>
      </x:right>
      <x:bottom style="medium">
        <x:color rgb="FF9C4A2B"/>
      </x:bottom>
    </x:border>
    <x:border>
      <x:left style="thin">
        <x:color rgb="FFB8843D"/>
      </x:left>
      <x:right style="thin">
        <x:color rgb="FFB8843D"/>
      </x:right>
      <x:top style="thin">
        <x:color rgb="FFB8843D"/>
      </x:top>
      <x:bottom style="thin">
        <x:color rgb="FFB8843D"/>
      </x:bottom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right style="thin">
        <x:color rgb="FFE5E1D6"/>
      </x:right>
      <x:top style="medium">
        <x:color rgb="FF9C4A2B"/>
      </x:top>
      <x:bottom style="thin">
        <x:color rgb="FFE5E1D6"/>
      </x:bottom>
    </x:border>
    <x:border>
      <x:left style="thin">
        <x:color rgb="FFE5E1D6"/>
      </x:left>
      <x:top style="thin">
        <x:color rgb="FFE5E1D6"/>
      </x:top>
      <x:bottom style="thin">
        <x:color rgb="FFE5E1D6"/>
      </x:bottom>
    </x:border>
    <x:border>
      <x:left style="medium">
        <x:color rgb="FFB8843D"/>
      </x:left>
      <x:top style="medium">
        <x:color rgb="FFB8843D"/>
      </x:top>
    </x:border>
    <x:border>
      <x:top style="medium">
        <x:color rgb="FFB8843D"/>
      </x:top>
    </x:border>
    <x:border>
      <x:right style="medium">
        <x:color rgb="FFB8843D"/>
      </x:right>
      <x:top style="medium">
        <x:color rgb="FFB8843D"/>
      </x:top>
    </x:border>
    <x:border>
      <x:left style="medium">
        <x:color rgb="FFB8843D"/>
      </x:left>
    </x:border>
    <x:border>
      <x:right style="medium">
        <x:color rgb="FFB8843D"/>
      </x:right>
    </x:border>
    <x:border>
      <x:left style="medium">
        <x:color rgb="FFB8843D"/>
      </x:left>
      <x:bottom style="medium">
        <x:color rgb="FFB8843D"/>
      </x:bottom>
    </x:border>
    <x:border>
      <x:bottom style="medium">
        <x:color rgb="FFB8843D"/>
      </x:bottom>
    </x:border>
    <x:border>
      <x:right style="medium">
        <x:color rgb="FFB8843D"/>
      </x:right>
      <x:bottom style="medium">
        <x:color rgb="FFB8843D"/>
      </x:bottom>
    </x:border>
    <x:border>
      <x:left style="thin">
        <x:color rgb="FF4A7C5E"/>
      </x:left>
      <x:top style="thin">
        <x:color rgb="FF4A7C5E"/>
      </x:top>
      <x:bottom style="thin">
        <x:color rgb="FF4A7C5E"/>
      </x:bottom>
    </x:border>
    <x:border>
      <x:top style="thin">
        <x:color rgb="FF4A7C5E"/>
      </x:top>
      <x:bottom style="thin">
        <x:color rgb="FF4A7C5E"/>
      </x:bottom>
    </x:border>
    <x:border>
      <x:right style="thin">
        <x:color rgb="FF4A7C5E"/>
      </x:right>
      <x:top style="thin">
        <x:color rgb="FF4A7C5E"/>
      </x:top>
      <x:bottom style="thin">
        <x:color rgb="FF4A7C5E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3" fillId="3" borderId="0" xfId="0" applyAlignment="1">
      <x:alignment horizontal="left"/>
    </x:xf>
    <x:xf numFmtId="0" fontId="4" fillId="4" borderId="1" xfId="0" applyAlignment="1">
      <x:alignment vertical="center" wrapText="1"/>
    </x:xf>
    <x:xf numFmtId="0" fontId="5" fillId="5" borderId="1" xfId="0" applyAlignment="1">
      <x:alignment vertical="top" wrapText="1"/>
    </x:xf>
    <x:xf numFmtId="0" fontId="3" fillId="6" borderId="0" xfId="0" applyAlignment="1">
      <x:alignment horizontal="left"/>
    </x:xf>
    <x:xf numFmtId="0" fontId="6" fillId="0" borderId="0" xfId="0"/>
    <x:xf numFmtId="0" fontId="7" fillId="0" borderId="0" xfId="0" applyAlignment="1">
      <x:alignment wrapText="1"/>
    </x:xf>
    <x:xf numFmtId="0" fontId="8" fillId="0" borderId="0" xfId="0" applyAlignment="1">
      <x:alignment wrapText="1"/>
    </x:xf>
    <x:xf numFmtId="0" fontId="9" fillId="2" borderId="2" xfId="0" applyAlignment="1">
      <x:alignment horizontal="center" vertical="center" wrapText="1"/>
    </x:xf>
    <x:xf numFmtId="0" fontId="7" fillId="7" borderId="2" xfId="0" applyAlignment="1">
      <x:alignment horizontal="center" vertical="center" wrapText="1"/>
    </x:xf>
    <x:xf numFmtId="2" fontId="7" fillId="7" borderId="2" xfId="0" applyAlignment="1">
      <x:alignment horizontal="center" vertical="center" wrapText="1"/>
    </x:xf>
    <x:xf numFmtId="0" fontId="5" fillId="8" borderId="1" xfId="0" applyAlignment="1">
      <x:alignment vertical="top" wrapText="1"/>
    </x:xf>
    <x:xf numFmtId="0" fontId="3" fillId="9" borderId="0" xfId="0" applyAlignment="1">
      <x:alignment horizontal="left"/>
    </x:xf>
    <x:xf numFmtId="164" fontId="7" fillId="7" borderId="2" xfId="0" applyAlignment="1">
      <x:alignment horizontal="center" vertical="center" wrapText="1"/>
    </x:xf>
    <x:xf numFmtId="0" fontId="6" fillId="4" borderId="1" xfId="0" applyAlignment="1">
      <x:alignment horizontal="center" vertical="top"/>
    </x:xf>
    <x:xf numFmtId="0" fontId="10" fillId="5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11" fillId="0" borderId="0" xfId="0"/>
    <x:xf numFmtId="0" fontId="12" fillId="8" borderId="1" xfId="0" applyAlignment="1">
      <x:alignment vertical="top" wrapText="1"/>
    </x:xf>
    <x:xf numFmtId="0" fontId="0" fillId="0" borderId="5" xfId="0"/>
    <x:xf numFmtId="0" fontId="0" fillId="0" borderId="6" xfId="0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7" xfId="0" applyNumberFormat="1" applyFont="1" applyFill="1" applyBorder="1"/>
    <x:xf numFmtId="0" fontId="15" fillId="11" borderId="8" xfId="0" applyNumberFormat="1" applyFont="1" applyFill="1" applyBorder="1"/>
    <x:xf numFmtId="0" fontId="15" fillId="11" borderId="9" xfId="0" applyNumberFormat="1" applyFont="1" applyFill="1" applyBorder="1"/>
    <x:xf numFmtId="0" fontId="15" fillId="11" borderId="10" xfId="0" applyNumberFormat="1" applyFont="1" applyFill="1" applyBorder="1"/>
    <x:xf numFmtId="0" fontId="15" fillId="11" borderId="11" xfId="0" applyNumberFormat="1" applyFont="1" applyFill="1" applyBorder="1"/>
    <x:xf numFmtId="0" fontId="15" fillId="11" borderId="12" xfId="0" applyNumberFormat="1" applyFont="1" applyFill="1" applyBorder="1"/>
    <x:xf numFmtId="0" fontId="15" fillId="11" borderId="7" xfId="0" applyNumberFormat="1" applyFont="1" applyFill="1" applyBorder="1" applyAlignment="1">
      <x:alignment wrapText="1"/>
    </x:xf>
    <x:xf numFmtId="0" fontId="15" fillId="11" borderId="8" xfId="0" applyNumberFormat="1" applyFont="1" applyFill="1" applyBorder="1" applyAlignment="1">
      <x:alignment wrapText="1"/>
    </x:xf>
    <x:xf numFmtId="0" fontId="15" fillId="11" borderId="9" xfId="0" applyNumberFormat="1" applyFont="1" applyFill="1" applyBorder="1" applyAlignment="1">
      <x:alignment wrapText="1"/>
    </x:xf>
    <x:xf numFmtId="0" fontId="15" fillId="11" borderId="10" xfId="0" applyNumberFormat="1" applyFont="1" applyFill="1" applyBorder="1" applyAlignment="1">
      <x:alignment wrapText="1"/>
    </x:xf>
    <x:xf numFmtId="0" fontId="15" fillId="11" borderId="11" xfId="0" applyNumberFormat="1" applyFont="1" applyFill="1" applyBorder="1" applyAlignment="1">
      <x:alignment wrapText="1"/>
    </x:xf>
    <x:xf numFmtId="0" fontId="15" fillId="11" borderId="12" xfId="0" applyNumberFormat="1" applyFont="1" applyFill="1" applyBorder="1" applyAlignment="1">
      <x:alignment wrapText="1"/>
    </x:xf>
    <x:xf numFmtId="0" fontId="15" fillId="11" borderId="7" xfId="0" applyNumberFormat="1" applyFont="1" applyFill="1" applyBorder="1" applyAlignment="1">
      <x:alignment vertical="center" wrapText="1"/>
    </x:xf>
    <x:xf numFmtId="0" fontId="15" fillId="11" borderId="8" xfId="0" applyNumberFormat="1" applyFont="1" applyFill="1" applyBorder="1" applyAlignment="1">
      <x:alignment vertical="center" wrapText="1"/>
    </x:xf>
    <x:xf numFmtId="0" fontId="15" fillId="11" borderId="9" xfId="0" applyNumberFormat="1" applyFont="1" applyFill="1" applyBorder="1" applyAlignment="1">
      <x:alignment vertical="center" wrapText="1"/>
    </x:xf>
    <x:xf numFmtId="0" fontId="15" fillId="11" borderId="10" xfId="0" applyNumberFormat="1" applyFont="1" applyFill="1" applyBorder="1" applyAlignment="1">
      <x:alignment vertical="center" wrapText="1"/>
    </x:xf>
    <x:xf numFmtId="0" fontId="15" fillId="11" borderId="11" xfId="0" applyNumberFormat="1" applyFont="1" applyFill="1" applyBorder="1" applyAlignment="1">
      <x:alignment vertical="center" wrapText="1"/>
    </x:xf>
    <x:xf numFmtId="0" fontId="15" fillId="11" borderId="1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13" xfId="0" applyNumberFormat="1" applyFont="1" applyFill="1" applyBorder="1"/>
    <x:xf numFmtId="0" fontId="16" fillId="12" borderId="14" xfId="0" applyNumberFormat="1" applyFont="1" applyFill="1" applyBorder="1"/>
    <x:xf numFmtId="0" fontId="16" fillId="12" borderId="15" xfId="0" applyNumberFormat="1" applyFont="1" applyFill="1" applyBorder="1"/>
    <x:xf numFmtId="0" fontId="16" fillId="12" borderId="16" xfId="0" applyNumberFormat="1" applyFont="1" applyFill="1" applyBorder="1"/>
    <x:xf numFmtId="0" fontId="16" fillId="12" borderId="17" xfId="0" applyNumberFormat="1" applyFont="1" applyFill="1" applyBorder="1"/>
    <x:xf numFmtId="0" fontId="16" fillId="12" borderId="18" xfId="0" applyNumberFormat="1" applyFont="1" applyFill="1" applyBorder="1"/>
    <x:xf numFmtId="0" fontId="16" fillId="12" borderId="13" xfId="0" applyNumberFormat="1" applyFont="1" applyFill="1" applyBorder="1" applyAlignment="1">
      <x:alignment wrapText="1"/>
    </x:xf>
    <x:xf numFmtId="0" fontId="16" fillId="12" borderId="14" xfId="0" applyNumberFormat="1" applyFont="1" applyFill="1" applyBorder="1" applyAlignment="1">
      <x:alignment wrapText="1"/>
    </x:xf>
    <x:xf numFmtId="0" fontId="16" fillId="12" borderId="15" xfId="0" applyNumberFormat="1" applyFont="1" applyFill="1" applyBorder="1" applyAlignment="1">
      <x:alignment wrapText="1"/>
    </x:xf>
    <x:xf numFmtId="0" fontId="16" fillId="12" borderId="16" xfId="0" applyNumberFormat="1" applyFont="1" applyFill="1" applyBorder="1" applyAlignment="1">
      <x:alignment wrapText="1"/>
    </x:xf>
    <x:xf numFmtId="0" fontId="16" fillId="12" borderId="17" xfId="0" applyNumberFormat="1" applyFont="1" applyFill="1" applyBorder="1" applyAlignment="1">
      <x:alignment wrapText="1"/>
    </x:xf>
    <x:xf numFmtId="0" fontId="16" fillId="12" borderId="18" xfId="0" applyNumberFormat="1" applyFont="1" applyFill="1" applyBorder="1" applyAlignment="1">
      <x:alignment wrapText="1"/>
    </x:xf>
    <x:xf numFmtId="0" fontId="16" fillId="12" borderId="13" xfId="0" applyNumberFormat="1" applyFont="1" applyFill="1" applyBorder="1" applyAlignment="1">
      <x:alignment vertical="center" wrapText="1"/>
    </x:xf>
    <x:xf numFmtId="0" fontId="16" fillId="12" borderId="14" xfId="0" applyNumberFormat="1" applyFont="1" applyFill="1" applyBorder="1" applyAlignment="1">
      <x:alignment vertical="center" wrapText="1"/>
    </x:xf>
    <x:xf numFmtId="0" fontId="16" fillId="12" borderId="15" xfId="0" applyNumberFormat="1" applyFont="1" applyFill="1" applyBorder="1" applyAlignment="1">
      <x:alignment vertical="center" wrapText="1"/>
    </x:xf>
    <x:xf numFmtId="0" fontId="16" fillId="12" borderId="16" xfId="0" applyNumberFormat="1" applyFont="1" applyFill="1" applyBorder="1" applyAlignment="1">
      <x:alignment vertical="center" wrapText="1"/>
    </x:xf>
    <x:xf numFmtId="0" fontId="16" fillId="12" borderId="17" xfId="0" applyNumberFormat="1" applyFont="1" applyFill="1" applyBorder="1" applyAlignment="1">
      <x:alignment vertical="center" wrapText="1"/>
    </x:xf>
    <x:xf numFmtId="0" fontId="16" fillId="12" borderId="18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/>
    <x:xf numFmtId="0" fontId="17" fillId="10" borderId="19" xfId="0" applyNumberFormat="1" applyFont="1" applyFill="1" applyBorder="1"/>
    <x:xf numFmtId="0" fontId="17" fillId="10" borderId="19" xfId="0" applyNumberFormat="1" applyFont="1" applyFill="1" applyBorder="1" applyAlignment="1">
      <x:alignment wrapText="1"/>
    </x:xf>
    <x:xf numFmtId="0" fontId="17" fillId="10" borderId="19" xfId="0" applyNumberFormat="1" applyFont="1" applyFill="1" applyBorder="1" applyAlignment="1">
      <x:alignment horizontal="center" wrapText="1"/>
    </x:xf>
    <x:xf numFmtId="0" fontId="17" fillId="10" borderId="19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20" xfId="0" applyNumberFormat="1" applyFont="1" applyFill="1" applyBorder="1"/>
    <x:xf numFmtId="0" fontId="18" fillId="0" borderId="20" xfId="0" applyNumberFormat="1" applyFont="1" applyFill="1" applyBorder="1" applyAlignment="1">
      <x:alignment vertical="center"/>
    </x:xf>
    <x:xf numFmtId="0" fontId="18" fillId="13" borderId="20" xfId="0" applyNumberFormat="1" applyFont="1" applyFill="1" applyBorder="1" applyAlignment="1">
      <x:alignment vertical="center"/>
    </x:xf>
    <x:xf numFmtId="0" fontId="18" fillId="13" borderId="20" xfId="0" applyNumberFormat="1" applyFont="1" applyFill="1" applyBorder="1" applyAlignment="1">
      <x:alignment horizontal="center" vertical="center"/>
    </x:xf>
    <x:xf numFmtId="0" fontId="18" fillId="0" borderId="20" xfId="0" applyNumberFormat="1" applyFont="1" applyFill="1" applyBorder="1" applyAlignment="1">
      <x:alignment horizontal="center" vertical="center"/>
    </x:xf>
    <x:xf numFmtId="164" fontId="18" fillId="13" borderId="20" xfId="0" applyNumberFormat="1" applyFont="1" applyFill="1" applyBorder="1" applyAlignment="1">
      <x:alignment horizontal="center" vertical="center"/>
    </x:xf>
    <x:xf numFmtId="164" fontId="18" fillId="0" borderId="20" xfId="0" applyNumberFormat="1" applyFont="1" applyFill="1" applyBorder="1" applyAlignment="1">
      <x:alignment horizontal="center" vertical="center"/>
    </x:xf>
    <x:xf numFmtId="0" fontId="18" fillId="13" borderId="21" xfId="0" applyNumberFormat="1" applyFont="1" applyFill="1" applyBorder="1" applyAlignment="1">
      <x:alignment horizontal="center" vertical="center"/>
    </x:xf>
    <x:xf numFmtId="0" fontId="18" fillId="13" borderId="21" xfId="0" applyNumberFormat="1" applyFont="1" applyFill="1" applyBorder="1" applyAlignment="1">
      <x:alignment vertical="center"/>
    </x:xf>
    <x:xf numFmtId="164" fontId="18" fillId="13" borderId="2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vertical="center"/>
    </x:xf>
    <x:xf numFmtId="0" fontId="18" fillId="0" borderId="20" xfId="0" applyNumberFormat="1" applyFont="1" applyFill="1" applyBorder="1" applyAlignment="1">
      <x:alignment wrapText="1"/>
    </x:xf>
    <x:xf numFmtId="0" fontId="18" fillId="0" borderId="20" xfId="0" applyNumberFormat="1" applyFont="1" applyFill="1" applyBorder="1" applyAlignment="1">
      <x:alignment vertical="center" wrapText="1"/>
    </x:xf>
    <x:xf numFmtId="0" fontId="18" fillId="13" borderId="20" xfId="0" applyNumberFormat="1" applyFont="1" applyFill="1" applyBorder="1" applyAlignment="1">
      <x:alignment vertical="center" wrapText="1"/>
    </x:xf>
    <x:xf numFmtId="0" fontId="19" fillId="13" borderId="20" xfId="0" applyNumberFormat="1" applyFont="1" applyFill="1" applyBorder="1" applyAlignment="1">
      <x:alignment vertical="center" wrapText="1"/>
    </x:xf>
    <x:xf numFmtId="0" fontId="19" fillId="13" borderId="20" xfId="0" applyNumberFormat="1" applyFont="1" applyFill="1" applyBorder="1" applyAlignment="1">
      <x:alignment horizontal="center" vertical="center" wrapText="1"/>
    </x:xf>
    <x:xf numFmtId="0" fontId="20" fillId="0" borderId="20" xfId="0" applyNumberFormat="1" applyFont="1" applyFill="1" applyBorder="1" applyAlignment="1">
      <x:alignment vertical="center" wrapText="1"/>
    </x:xf>
    <x:xf numFmtId="0" fontId="18" fillId="15" borderId="20" xfId="0" applyNumberFormat="1" applyFont="1" applyFill="1" applyBorder="1" applyAlignment="1">
      <x:alignment vertical="center" wrapText="1"/>
    </x:xf>
    <x:xf numFmtId="0" fontId="15" fillId="15" borderId="20" xfId="0" applyNumberFormat="1" applyFont="1" applyFill="1" applyBorder="1" applyAlignment="1">
      <x:alignment vertical="center" wrapText="1"/>
    </x:xf>
    <x:xf numFmtId="0" fontId="15" fillId="15" borderId="19" xfId="0" applyNumberFormat="1" applyFont="1" applyFill="1" applyBorder="1" applyAlignment="1">
      <x:alignment vertical="center" wrapText="1"/>
    </x:xf>
    <x:xf numFmtId="200" fontId="15" fillId="15" borderId="19" xfId="0" applyNumberFormat="1" applyFont="1" applyFill="1" applyBorder="1" applyAlignment="1">
      <x:alignment vertical="center" wrapText="1"/>
    </x:xf>
    <x:xf numFmtId="200" fontId="15" fillId="15" borderId="19" xfId="0" applyNumberFormat="1" applyFont="1" applyFill="1" applyBorder="1" applyAlignment="1">
      <x:alignment horizontal="center" vertical="center" wrapText="1"/>
    </x:xf>
    <x:xf numFmtId="201" fontId="15" fillId="15" borderId="19" xfId="0" applyNumberFormat="1" applyFont="1" applyFill="1" applyBorder="1" applyAlignment="1">
      <x:alignment horizontal="center" vertical="center" wrapText="1"/>
    </x:xf>
    <x:xf numFmtId="202" fontId="15" fillId="15" borderId="19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0" xfId="0" applyNumberFormat="1" applyFont="1" applyFill="1" applyBorder="1" applyAlignment="1">
      <x:alignment vertical="center"/>
    </x:xf>
    <x:xf numFmtId="0" fontId="18" fillId="10" borderId="20" xfId="0" applyNumberFormat="1" applyFont="1" applyFill="1" applyBorder="1" applyAlignment="1">
      <x:alignment vertical="center" wrapText="1"/>
    </x:xf>
    <x:xf numFmtId="0" fontId="17" fillId="10" borderId="20" xfId="0" applyNumberFormat="1" applyFont="1" applyFill="1" applyBorder="1" applyAlignment="1">
      <x:alignment vertical="center" wrapText="1"/>
    </x:xf>
    <x:xf numFmtId="0" fontId="17" fillId="10" borderId="19" xfId="0" applyNumberFormat="1" applyFont="1" applyFill="1" applyBorder="1" applyAlignment="1">
      <x:alignment vertical="center" wrapText="1"/>
    </x:xf>
    <x:xf numFmtId="202" fontId="15" fillId="15" borderId="19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22" xfId="0" applyNumberFormat="1" applyFont="1" applyFill="1" applyBorder="1"/>
    <x:xf numFmtId="0" fontId="14" fillId="13" borderId="5" xfId="0" applyNumberFormat="1" applyFont="1" applyFill="1" applyBorder="1"/>
    <x:xf numFmtId="0" fontId="14" fillId="13" borderId="6" xfId="0" applyNumberFormat="1" applyFont="1" applyFill="1" applyBorder="1"/>
    <x:xf numFmtId="0" fontId="14" fillId="13" borderId="22" xfId="0" applyNumberFormat="1" applyFont="1" applyFill="1" applyBorder="1" applyAlignment="1">
      <x:alignment wrapText="1"/>
    </x:xf>
    <x:xf numFmtId="0" fontId="14" fillId="13" borderId="5" xfId="0" applyNumberFormat="1" applyFont="1" applyFill="1" applyBorder="1" applyAlignment="1">
      <x:alignment wrapText="1"/>
    </x:xf>
    <x:xf numFmtId="0" fontId="14" fillId="13" borderId="6" xfId="0" applyNumberFormat="1" applyFont="1" applyFill="1" applyBorder="1" applyAlignment="1">
      <x:alignment wrapText="1"/>
    </x:xf>
    <x:xf numFmtId="0" fontId="14" fillId="13" borderId="22" xfId="0" applyNumberFormat="1" applyFont="1" applyFill="1" applyBorder="1" applyAlignment="1">
      <x:alignment vertical="center" wrapText="1"/>
    </x:xf>
    <x:xf numFmtId="0" fontId="14" fillId="13" borderId="5" xfId="0" applyNumberFormat="1" applyFont="1" applyFill="1" applyBorder="1" applyAlignment="1">
      <x:alignment vertical="center" wrapText="1"/>
    </x:xf>
    <x:xf numFmtId="0" fontId="14" fillId="13" borderId="6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23" xfId="0" applyNumberFormat="1" applyFont="1" applyFill="1" applyBorder="1"/>
    <x:xf numFmtId="0" fontId="18" fillId="15" borderId="24" xfId="0" applyNumberFormat="1" applyFont="1" applyFill="1" applyBorder="1"/>
    <x:xf numFmtId="0" fontId="18" fillId="15" borderId="25" xfId="0" applyNumberFormat="1" applyFont="1" applyFill="1" applyBorder="1"/>
    <x:xf numFmtId="0" fontId="18" fillId="15" borderId="26" xfId="0" applyNumberFormat="1" applyFont="1" applyFill="1" applyBorder="1"/>
    <x:xf numFmtId="0" fontId="18" fillId="15" borderId="27" xfId="0" applyNumberFormat="1" applyFont="1" applyFill="1" applyBorder="1"/>
    <x:xf numFmtId="0" fontId="18" fillId="15" borderId="28" xfId="0" applyNumberFormat="1" applyFont="1" applyFill="1" applyBorder="1"/>
    <x:xf numFmtId="0" fontId="18" fillId="15" borderId="29" xfId="0" applyNumberFormat="1" applyFont="1" applyFill="1" applyBorder="1"/>
    <x:xf numFmtId="0" fontId="18" fillId="15" borderId="30" xfId="0" applyNumberFormat="1" applyFont="1" applyFill="1" applyBorder="1"/>
    <x:xf numFmtId="0" fontId="18" fillId="15" borderId="23" xfId="0" applyNumberFormat="1" applyFont="1" applyFill="1" applyBorder="1" applyAlignment="1">
      <x:alignment wrapText="1"/>
    </x:xf>
    <x:xf numFmtId="0" fontId="18" fillId="15" borderId="24" xfId="0" applyNumberFormat="1" applyFont="1" applyFill="1" applyBorder="1" applyAlignment="1">
      <x:alignment wrapText="1"/>
    </x:xf>
    <x:xf numFmtId="0" fontId="18" fillId="15" borderId="25" xfId="0" applyNumberFormat="1" applyFont="1" applyFill="1" applyBorder="1" applyAlignment="1">
      <x:alignment wrapText="1"/>
    </x:xf>
    <x:xf numFmtId="0" fontId="18" fillId="15" borderId="26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wrapText="1"/>
    </x:xf>
    <x:xf numFmtId="0" fontId="18" fillId="15" borderId="27" xfId="0" applyNumberFormat="1" applyFont="1" applyFill="1" applyBorder="1" applyAlignment="1">
      <x:alignment wrapText="1"/>
    </x:xf>
    <x:xf numFmtId="0" fontId="18" fillId="15" borderId="28" xfId="0" applyNumberFormat="1" applyFont="1" applyFill="1" applyBorder="1" applyAlignment="1">
      <x:alignment wrapText="1"/>
    </x:xf>
    <x:xf numFmtId="0" fontId="18" fillId="15" borderId="29" xfId="0" applyNumberFormat="1" applyFont="1" applyFill="1" applyBorder="1" applyAlignment="1">
      <x:alignment wrapText="1"/>
    </x:xf>
    <x:xf numFmtId="0" fontId="18" fillId="15" borderId="30" xfId="0" applyNumberFormat="1" applyFont="1" applyFill="1" applyBorder="1" applyAlignment="1">
      <x:alignment wrapText="1"/>
    </x:xf>
    <x:xf numFmtId="0" fontId="18" fillId="15" borderId="23" xfId="0" applyNumberFormat="1" applyFont="1" applyFill="1" applyBorder="1" applyAlignment="1">
      <x:alignment vertical="top" wrapText="1"/>
    </x:xf>
    <x:xf numFmtId="0" fontId="18" fillId="15" borderId="24" xfId="0" applyNumberFormat="1" applyFont="1" applyFill="1" applyBorder="1" applyAlignment="1">
      <x:alignment vertical="top" wrapText="1"/>
    </x:xf>
    <x:xf numFmtId="0" fontId="18" fillId="15" borderId="25" xfId="0" applyNumberFormat="1" applyFont="1" applyFill="1" applyBorder="1" applyAlignment="1">
      <x:alignment vertical="top" wrapText="1"/>
    </x:xf>
    <x:xf numFmtId="0" fontId="18" fillId="15" borderId="26" xfId="0" applyNumberFormat="1" applyFont="1" applyFill="1" applyBorder="1" applyAlignment="1">
      <x:alignment vertical="top" wrapText="1"/>
    </x:xf>
    <x:xf numFmtId="0" fontId="18" fillId="15" borderId="0" xfId="0" applyNumberFormat="1" applyFont="1" applyFill="1" applyBorder="1" applyAlignment="1">
      <x:alignment vertical="top" wrapText="1"/>
    </x:xf>
    <x:xf numFmtId="0" fontId="18" fillId="15" borderId="27" xfId="0" applyNumberFormat="1" applyFont="1" applyFill="1" applyBorder="1" applyAlignment="1">
      <x:alignment vertical="top" wrapText="1"/>
    </x:xf>
    <x:xf numFmtId="0" fontId="18" fillId="15" borderId="28" xfId="0" applyNumberFormat="1" applyFont="1" applyFill="1" applyBorder="1" applyAlignment="1">
      <x:alignment vertical="top" wrapText="1"/>
    </x:xf>
    <x:xf numFmtId="0" fontId="18" fillId="15" borderId="29" xfId="0" applyNumberFormat="1" applyFont="1" applyFill="1" applyBorder="1" applyAlignment="1">
      <x:alignment vertical="top" wrapText="1"/>
    </x:xf>
    <x:xf numFmtId="0" fontId="18" fillId="15" borderId="30" xfId="0" applyNumberFormat="1" applyFont="1" applyFill="1" applyBorder="1" applyAlignment="1">
      <x:alignment vertical="top" wrapText="1"/>
    </x:xf>
    <x:xf numFmtId="0" fontId="19" fillId="11" borderId="0" xfId="0" applyNumberFormat="1" applyFont="1" applyFill="1" applyBorder="1"/>
    <x:xf numFmtId="0" fontId="19" fillId="11" borderId="31" xfId="0" applyNumberFormat="1" applyFont="1" applyFill="1" applyBorder="1"/>
    <x:xf numFmtId="0" fontId="19" fillId="11" borderId="32" xfId="0" applyNumberFormat="1" applyFont="1" applyFill="1" applyBorder="1"/>
    <x:xf numFmtId="0" fontId="19" fillId="11" borderId="33" xfId="0" applyNumberFormat="1" applyFont="1" applyFill="1" applyBorder="1"/>
    <x:xf numFmtId="0" fontId="19" fillId="11" borderId="31" xfId="0" applyNumberFormat="1" applyFont="1" applyFill="1" applyBorder="1" applyAlignment="1">
      <x:alignment wrapText="1"/>
    </x:xf>
    <x:xf numFmtId="0" fontId="19" fillId="11" borderId="32" xfId="0" applyNumberFormat="1" applyFont="1" applyFill="1" applyBorder="1" applyAlignment="1">
      <x:alignment wrapText="1"/>
    </x:xf>
    <x:xf numFmtId="0" fontId="19" fillId="11" borderId="33" xfId="0" applyNumberFormat="1" applyFont="1" applyFill="1" applyBorder="1" applyAlignment="1">
      <x:alignment wrapText="1"/>
    </x:xf>
    <x:xf numFmtId="0" fontId="19" fillId="11" borderId="31" xfId="0" applyNumberFormat="1" applyFont="1" applyFill="1" applyBorder="1" applyAlignment="1">
      <x:alignment vertical="center" wrapText="1"/>
    </x:xf>
    <x:xf numFmtId="0" fontId="19" fillId="11" borderId="32" xfId="0" applyNumberFormat="1" applyFont="1" applyFill="1" applyBorder="1" applyAlignment="1">
      <x:alignment vertical="center" wrapText="1"/>
    </x:xf>
    <x:xf numFmtId="0" fontId="19" fillId="11" borderId="33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e44d4f73f47ff" /><Relationship Type="http://schemas.openxmlformats.org/officeDocument/2006/relationships/theme" Target="/xl/theme/theme1.xml" Id="R36d90450b5094d4d" /><Relationship Type="http://schemas.openxmlformats.org/officeDocument/2006/relationships/sharedStrings" Target="/xl/sharedStrings.xml" Id="R1d4056d424d64a3a" /><Relationship Type="http://schemas.openxmlformats.org/officeDocument/2006/relationships/worksheet" Target="/xl/worksheets/sheet1.xml" Id="Re3fb3f2b95494aaa" /><Relationship Type="http://schemas.openxmlformats.org/officeDocument/2006/relationships/worksheet" Target="/xl/worksheets/sheet2.xml" Id="R171763a0c2ce4833" /><Relationship Type="http://schemas.openxmlformats.org/officeDocument/2006/relationships/worksheet" Target="/xl/worksheets/sheet3.xml" Id="R9735681f121447e9" /><Relationship Type="http://schemas.openxmlformats.org/officeDocument/2006/relationships/worksheet" Target="/xl/worksheets/sheet4.xml" Id="R52975d82a79a48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customWidth="1"/>
    <x:col min="2" max="2" width="24" customWidth="1"/>
    <x:col min="3" max="3" width="92" customWidth="1"/>
  </x:cols>
  <x:sheetData>
    <x:row r="2" ht="30" customHeight="1">
      <x:c r="B2" s="1" t="inlineStr">
        <x:is>
          <x:t xml:space="preserve">BUS123 · MATH-M12-L01  |  Business Statistics</x:t>
        </x:is>
      </x:c>
    </x:row>
    <x:row r="4">
      <x:c r="B4" s="2" t="inlineStr">
        <x:is>
          <x:t xml:space="preserve">Harborside Medical Center · Central Tendency, Dispersion &amp; Correlation</x:t>
        </x:is>
      </x:c>
    </x:row>
    <x:row r="6">
      <x:c r="B6" s="3" t="inlineStr">
        <x:is>
          <x:t xml:space="preserve">HOW TO USE THIS WORKBOOK</x:t>
        </x:is>
      </x:c>
    </x:row>
    <x:row r="7" ht="42" customHeight="1">
      <x:c r="B7" s="4" t="inlineStr">
        <x:is>
          <x:t xml:space="preserve">Live You Try It tab</x:t>
        </x:is>
      </x:c>
      <x:c r="C7" s="5" t="inlineStr">
        <x:is>
          <x:t xml:space="preserve">Use this during slides. First enter the slide givens into yellow input cells. Then build formulas in yellow answer cells that reference those inputs. Feedback cells are for self-check only.</x:t>
        </x:is>
      </x:c>
    </x:row>
    <x:row r="8" ht="42" customHeight="1">
      <x:c r="B8" s="4" t="inlineStr">
        <x:is>
          <x:t xml:space="preserve">Class Challenge tab</x:t>
        </x:is>
      </x:c>
      <x:c r="C8" s="5" t="str">
        <x:v>This is the graded investigation. The raw operational observations are already provided. Build the analysis summary in class, then finish CORREL and the evidence-based recommendation as homework.</x:v>
      </x:c>
    </x:row>
    <x:row r="9" ht="42" customHeight="1">
      <x:c r="B9" s="4" t="inlineStr">
        <x:is>
          <x:t xml:space="preserve">FormulaReferenceCard tab</x:t>
        </x:is>
      </x:c>
      <x:c r="C9" s="5" t="inlineStr">
        <x:is>
          <x:t xml:space="preserve">Use this as a syntax reminder while you decide which calculation fits the business question.</x:t>
        </x:is>
      </x:c>
    </x:row>
    <x:row r="10" ht="42" customHeight="1">
      <x:c r="B10" s="4" t="inlineStr">
        <x:is>
          <x:t xml:space="preserve">Yellow cells</x:t>
        </x:is>
      </x:c>
      <x:c r="C10" s="5" t="str">
        <x:v>Yellow cells are student work areas. In Class Challenge, do not alter the populated raw-data table; enter formulas, the outlier ID, evidence links, and your recommendation only in the yellow cells.</x:v>
      </x:c>
    </x:row>
    <x:row r="12">
      <x:c r="B12" s="6" t="inlineStr">
        <x:is>
          <x:t xml:space="preserve">LEARNING OBJECTIVES</x:t>
        </x:is>
      </x:c>
    </x:row>
    <x:row r="13">
      <x:c r="B13" s="7" t="inlineStr">
        <x:is>
          <x:t xml:space="preserve">1.</x:t>
        </x:is>
      </x:c>
      <x:c r="C13" s="8" t="inlineStr">
        <x:is>
          <x:t xml:space="preserve">Calculate and interpret mean, median, and mode using Excel functions.</x:t>
        </x:is>
      </x:c>
    </x:row>
    <x:row r="14">
      <x:c r="B14" s="7" t="inlineStr">
        <x:is>
          <x:t xml:space="preserve">2.</x:t>
        </x:is>
      </x:c>
      <x:c r="C14" s="8" t="inlineStr">
        <x:is>
          <x:t xml:space="preserve">Calculate standard deviation and explain what a high or low value means in a business context.</x:t>
        </x:is>
      </x:c>
    </x:row>
    <x:row r="15">
      <x:c r="B15" s="7" t="inlineStr">
        <x:is>
          <x:t xml:space="preserve">3.</x:t>
        </x:is>
      </x:c>
      <x:c r="C15" s="8" t="str">
        <x:v>Compare operational groups, diagnose unusual observations, and support a process recommendation with descriptive statistics.</x:v>
      </x:c>
    </x:row>
    <x:row r="16">
      <x:c r="B16" s="7" t="inlineStr">
        <x:is>
          <x:t xml:space="preserve">4.</x:t>
        </x:is>
      </x:c>
      <x:c r="C16" s="8" t="str">
        <x:v>Use CORREL on paired variables and distinguish relationship evidence from causation.</x:v>
      </x:c>
    </x:row>
  </x:sheetData>
  <x:mergeCells>
    <x:mergeCell ref="B12:C12"/>
    <x:mergeCell ref="B6:C6"/>
    <x:mergeCell ref="B4:C4"/>
    <x:mergeCell ref="B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customWidth="1"/>
    <x:col min="2" max="2" width="26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34" customWidth="1"/>
    <x:col min="9" max="9" width="38" customWidth="1"/>
  </x:cols>
  <x:sheetData>
    <x:row r="1" ht="24" customHeight="1"/>
    <x:row r="2" ht="24" customHeight="1">
      <x:c r="B2" s="1" t="inlineStr">
        <x:is>
          <x:t xml:space="preserve">Live You Try It · Self-Graded Excel Practice</x:t>
        </x:is>
      </x:c>
    </x:row>
    <x:row r="3" ht="24" customHeight="1"/>
    <x:row r="4" ht="34" customHeight="1">
      <x:c r="B4" s="9" t="inlineStr">
        <x:is>
          <x:t xml:space="preserve">Use this tab during the slide deck. Enter the exact slide givens into the yellow input cells first, then build formulas that reference those input cells.</x:t>
        </x:is>
      </x:c>
    </x:row>
    <x:row r="5" ht="24" customHeight="1"/>
    <x:row r="6" ht="24" customHeight="1">
      <x:c r="B6" s="3" t="inlineStr">
        <x:is>
          <x:t xml:space="preserve">PAUSE 1 · Slides 6-7 · Patient wait times</x:t>
        </x:is>
      </x:c>
    </x:row>
    <x:row r="7" ht="24" customHeight="1">
      <x:c r="B7" s="10" t="inlineStr">
        <x:is>
          <x:t xml:space="preserve">Enter slide givens</x:t>
        </x:is>
      </x:c>
      <x:c r="C7" s="10" t="inlineStr">
        <x:is>
          <x:t xml:space="preserve">Mon</x:t>
        </x:is>
      </x:c>
      <x:c r="D7" s="10" t="inlineStr">
        <x:is>
          <x:t xml:space="preserve">Tue</x:t>
        </x:is>
      </x:c>
      <x:c r="E7" s="10" t="inlineStr">
        <x:is>
          <x:t xml:space="preserve">Wed</x:t>
        </x:is>
      </x:c>
      <x:c r="F7" s="10" t="inlineStr">
        <x:is>
          <x:t xml:space="preserve">Thu</x:t>
        </x:is>
      </x:c>
      <x:c r="G7" s="10" t="inlineStr">
        <x:is>
          <x:t xml:space="preserve">Fri</x:t>
        </x:is>
      </x:c>
      <x:c r="H7" s="10" t="inlineStr">
        <x:is>
          <x:t xml:space="preserve">Hint</x:t>
        </x:is>
      </x:c>
      <x:c r="I7" s="10" t="inlineStr">
        <x:is>
          <x:t xml:space="preserve">Self-check feedback</x:t>
        </x:is>
      </x:c>
    </x:row>
    <x:row r="8" ht="24" customHeight="1">
      <x:c r="B8" s="4" t="inlineStr">
        <x:is>
          <x:t xml:space="preserve">Wait time inputs</x:t>
        </x:is>
      </x:c>
      <x:c r="C8" s="11" t="n"/>
      <x:c r="D8" s="11" t="n"/>
      <x:c r="E8" s="11" t="n"/>
      <x:c r="F8" s="11" t="n"/>
      <x:c r="G8" s="11" t="n"/>
    </x:row>
    <x:row r="9" ht="24" customHeight="1"/>
    <x:row r="10" ht="24" customHeight="1">
      <x:c r="B10" s="4" t="inlineStr">
        <x:is>
          <x:t xml:space="preserve">Mean wait time</x:t>
        </x:is>
      </x:c>
      <x:c r="C10" s="12" t="n"/>
      <x:c r="D10" s="5" t="inlineStr">
        <x:is>
          <x:t xml:space="preserve">Build =AVERAGE(C8:G8) by referencing C8:G8.</x:t>
        </x:is>
      </x:c>
      <x:c r="E10" s="21" t="n"/>
      <x:c r="F10" s="21" t="n"/>
      <x:c r="G10" s="21" t="n"/>
      <x:c r="H10" s="22" t="n"/>
      <x:c r="I10" s="13" t="str">
        <x:f>IF(COUNT($C$8:$G$8)&lt;5,"Enter all five wait times first",IF(ABS(C10-AVERAGE($C$8:$G$8))&lt;=0.01,"Looks right","Check the formula and input range"))</x:f>
        <x:v>Enter all five wait times first</x:v>
      </x:c>
    </x:row>
    <x:row r="11" ht="24" customHeight="1">
      <x:c r="B11" s="4" t="inlineStr">
        <x:is>
          <x:t xml:space="preserve">Median wait time</x:t>
        </x:is>
      </x:c>
      <x:c r="C11" s="12" t="n"/>
      <x:c r="D11" s="5" t="inlineStr">
        <x:is>
          <x:t xml:space="preserve">Build =MEDIAN(C8:G8) by referencing C8:G8.</x:t>
        </x:is>
      </x:c>
      <x:c r="E11" s="21" t="n"/>
      <x:c r="F11" s="21" t="n"/>
      <x:c r="G11" s="21" t="n"/>
      <x:c r="H11" s="22" t="n"/>
      <x:c r="I11" s="13" t="str">
        <x:f>IF(COUNT($C$8:$G$8)&lt;5,"Enter all five wait times first",IF(ABS(C11-MEDIAN($C$8:$G$8))&lt;=0.01,"Looks right","Check the formula and input range"))</x:f>
        <x:v>Enter all five wait times first</x:v>
      </x:c>
    </x:row>
    <x:row r="12" ht="24" customHeight="1">
      <x:c r="B12" s="4" t="inlineStr">
        <x:is>
          <x:t xml:space="preserve">Mean minus median</x:t>
        </x:is>
      </x:c>
      <x:c r="C12" s="12" t="n"/>
      <x:c r="D12" s="5" t="inlineStr">
        <x:is>
          <x:t xml:space="preserve">Build =C10-C11 by referencing C8:G8.</x:t>
        </x:is>
      </x:c>
      <x:c r="E12" s="21" t="n"/>
      <x:c r="F12" s="21" t="n"/>
      <x:c r="G12" s="21" t="n"/>
      <x:c r="H12" s="22" t="n"/>
      <x:c r="I12" s="13" t="str">
        <x:f>IF(COUNT($C$8:$G$8)&lt;5,"Enter all five wait times first",IF(ABS(C12-(AVERAGE($C$8:$G$8)-MEDIAN($C$8:$G$8)))&lt;=0.01,"Looks right","Check mean minus median"))</x:f>
        <x:v>Enter all five wait times first</x:v>
      </x:c>
    </x:row>
    <x:row r="13" ht="24" customHeight="1"/>
    <x:row r="14" ht="24" customHeight="1"/>
    <x:row r="15" ht="24" customHeight="1">
      <x:c r="B15" s="6" t="inlineStr">
        <x:is>
          <x:t xml:space="preserve">PAUSE 2 · Slide 12 · Nurse overtime hours</x:t>
        </x:is>
      </x:c>
    </x:row>
    <x:row r="16" ht="24" customHeight="1">
      <x:c r="B16" s="10" t="inlineStr">
        <x:is>
          <x:t xml:space="preserve">Enter slide givens</x:t>
        </x:is>
      </x:c>
      <x:c r="C16" s="10" t="inlineStr">
        <x:is>
          <x:t xml:space="preserve">Rivera</x:t>
        </x:is>
      </x:c>
      <x:c r="D16" s="10" t="inlineStr">
        <x:is>
          <x:t xml:space="preserve">Chen</x:t>
        </x:is>
      </x:c>
      <x:c r="E16" s="10" t="inlineStr">
        <x:is>
          <x:t xml:space="preserve">O'Brien</x:t>
        </x:is>
      </x:c>
      <x:c r="F16" s="10" t="inlineStr">
        <x:is>
          <x:t xml:space="preserve">Patel</x:t>
        </x:is>
      </x:c>
      <x:c r="G16" s="10" t="inlineStr">
        <x:is>
          <x:t xml:space="preserve">Walsh</x:t>
        </x:is>
      </x:c>
      <x:c r="H16" s="10" t="inlineStr">
        <x:is>
          <x:t xml:space="preserve">Hint</x:t>
        </x:is>
      </x:c>
      <x:c r="I16" s="10" t="inlineStr">
        <x:is>
          <x:t xml:space="preserve">Self-check feedback</x:t>
        </x:is>
      </x:c>
    </x:row>
    <x:row r="17" ht="24" customHeight="1">
      <x:c r="B17" s="4" t="inlineStr">
        <x:is>
          <x:t xml:space="preserve">Overtime inputs</x:t>
        </x:is>
      </x:c>
      <x:c r="C17" s="11" t="n"/>
      <x:c r="D17" s="11" t="n"/>
      <x:c r="E17" s="11" t="n"/>
      <x:c r="F17" s="11" t="n"/>
      <x:c r="G17" s="11" t="n"/>
    </x:row>
    <x:row r="18" ht="24" customHeight="1"/>
    <x:row r="19" ht="24" customHeight="1">
      <x:c r="B19" s="4" t="inlineStr">
        <x:is>
          <x:t xml:space="preserve">Mean overtime</x:t>
        </x:is>
      </x:c>
      <x:c r="C19" s="12" t="n"/>
      <x:c r="D19" s="5" t="inlineStr">
        <x:is>
          <x:t xml:space="preserve">Use AVERAGE on the input range C17:G17.</x:t>
        </x:is>
      </x:c>
      <x:c r="E19" s="21" t="n"/>
      <x:c r="F19" s="21" t="n"/>
      <x:c r="G19" s="21" t="n"/>
      <x:c r="H19" s="22" t="n"/>
      <x:c r="I19" s="13" t="str">
        <x:f>IF(COUNT($C$17:$G$17)&lt;5,"Enter all five overtime values first",IF(ABS(C19-AVERAGE($C$17:$G$17))&lt;=0.01,"Looks right","Check the AVERAGE formula and range"))</x:f>
        <x:v>Enter all five overtime values first</x:v>
      </x:c>
    </x:row>
    <x:row r="20" ht="24" customHeight="1">
      <x:c r="B20" s="4" t="inlineStr">
        <x:is>
          <x:t xml:space="preserve">Sample SD</x:t>
        </x:is>
      </x:c>
      <x:c r="C20" s="12" t="n"/>
      <x:c r="D20" s="5" t="inlineStr">
        <x:is>
          <x:t xml:space="preserve">Use STDEV.S on the input range C17:G17.</x:t>
        </x:is>
      </x:c>
      <x:c r="E20" s="21" t="n"/>
      <x:c r="F20" s="21" t="n"/>
      <x:c r="G20" s="21" t="n"/>
      <x:c r="H20" s="22" t="n"/>
      <x:c r="I20" s="13" t="str">
        <x:f>IF(COUNT($C$17:$G$17)&lt;5,"Enter all five overtime values first",IF(ABS(C20-STDEV($C$17:$G$17))&lt;=0.01,"Looks right","Check the STDEV.S formula and range"))</x:f>
        <x:v>Enter all five overtime values first</x:v>
      </x:c>
    </x:row>
    <x:row r="21" ht="24" customHeight="1">
      <x:c r="B21" s="4" t="inlineStr">
        <x:is>
          <x:t xml:space="preserve">Population SD</x:t>
        </x:is>
      </x:c>
      <x:c r="C21" s="12" t="n"/>
      <x:c r="D21" s="5" t="inlineStr">
        <x:is>
          <x:t xml:space="preserve">Use STDEV.P on the input range C17:G17.</x:t>
        </x:is>
      </x:c>
      <x:c r="E21" s="21" t="n"/>
      <x:c r="F21" s="21" t="n"/>
      <x:c r="G21" s="21" t="n"/>
      <x:c r="H21" s="22" t="n"/>
      <x:c r="I21" s="13" t="str">
        <x:f>IF(COUNT($C$17:$G$17)&lt;5,"Enter all five overtime values first",IF(ABS(C21-STDEVP($C$17:$G$17))&lt;=0.01,"Looks right","Check the STDEV.P formula and range"))</x:f>
        <x:v>Enter all five overtime values first</x:v>
      </x:c>
    </x:row>
    <x:row r="22" ht="24" customHeight="1"/>
    <x:row r="23" ht="24" customHeight="1"/>
    <x:row r="24" ht="24" customHeight="1">
      <x:c r="B24" s="14" t="inlineStr">
        <x:is>
          <x:t xml:space="preserve">PAUSE 3 · Slide 15 · Wait time vs. satisfaction</x:t>
        </x:is>
      </x:c>
    </x:row>
    <x:row r="25" ht="24" customHeight="1">
      <x:c r="B25" s="10" t="inlineStr">
        <x:is>
          <x:t xml:space="preserve">Day</x:t>
        </x:is>
      </x:c>
      <x:c r="C25" s="10" t="inlineStr">
        <x:is>
          <x:t xml:space="preserve">Mon</x:t>
        </x:is>
      </x:c>
      <x:c r="D25" s="10" t="inlineStr">
        <x:is>
          <x:t xml:space="preserve">Tue</x:t>
        </x:is>
      </x:c>
      <x:c r="E25" s="10" t="inlineStr">
        <x:is>
          <x:t xml:space="preserve">Wed</x:t>
        </x:is>
      </x:c>
      <x:c r="F25" s="10" t="inlineStr">
        <x:is>
          <x:t xml:space="preserve">Thu</x:t>
        </x:is>
      </x:c>
      <x:c r="G25" s="10" t="inlineStr">
        <x:is>
          <x:t xml:space="preserve">Fri</x:t>
        </x:is>
      </x:c>
      <x:c r="H25" s="10" t="inlineStr">
        <x:is>
          <x:t xml:space="preserve">Sat</x:t>
        </x:is>
      </x:c>
      <x:c r="I25" s="10" t="inlineStr">
        <x:is>
          <x:t xml:space="preserve">Sun</x:t>
        </x:is>
      </x:c>
    </x:row>
    <x:row r="26" ht="24" customHeight="1">
      <x:c r="B26" s="4" t="inlineStr">
        <x:is>
          <x:t xml:space="preserve">Wait inputs</x:t>
        </x:is>
      </x:c>
      <x:c r="C26" s="11" t="n"/>
      <x:c r="D26" s="11" t="n"/>
      <x:c r="E26" s="11" t="n"/>
      <x:c r="F26" s="11" t="n"/>
      <x:c r="G26" s="11" t="n"/>
      <x:c r="H26" s="11" t="n"/>
      <x:c r="I26" s="11" t="n"/>
    </x:row>
    <x:row r="27" ht="24" customHeight="1">
      <x:c r="B27" s="4" t="inlineStr">
        <x:is>
          <x:t xml:space="preserve">Satisfaction inputs</x:t>
        </x:is>
      </x:c>
      <x:c r="C27" s="15" t="n"/>
      <x:c r="D27" s="15" t="n"/>
      <x:c r="E27" s="15" t="n"/>
      <x:c r="F27" s="15" t="n"/>
      <x:c r="G27" s="15" t="n"/>
      <x:c r="H27" s="15" t="n"/>
      <x:c r="I27" s="15" t="n"/>
    </x:row>
    <x:row r="28" ht="24" customHeight="1"/>
    <x:row r="29" ht="24" customHeight="1">
      <x:c r="B29" s="4" t="inlineStr">
        <x:is>
          <x:t xml:space="preserve">Correlation coefficient</x:t>
        </x:is>
      </x:c>
      <x:c r="C29" s="12" t="n"/>
      <x:c r="D29" s="5" t="inlineStr">
        <x:is>
          <x:t xml:space="preserve">Use CORREL on the wait-time row and satisfaction row. Interpret the sign and strength in class.</x:t>
        </x:is>
      </x:c>
      <x:c r="E29" s="21" t="n"/>
      <x:c r="F29" s="21" t="n"/>
      <x:c r="G29" s="21" t="n"/>
      <x:c r="H29" s="22" t="n"/>
      <x:c r="I29" s="13" t="str">
        <x:f>IF(COUNT($C$26:$I$26)&lt;7,"Enter all wait times",IF(COUNT($C$27:$I$27)&lt;7,"Enter all satisfaction scores",IF(ABS(C29-CORREL($C$26:$I$26,$C$27:$I$27))&lt;=0.03,"Looks right","Check CORREL ranges")))</x:f>
        <x:v>Enter all wait times</x:v>
      </x:c>
    </x:row>
    <x:row r="30" ht="24" customHeight="1"/>
  </x:sheetData>
  <x:mergeCells>
    <x:mergeCell ref="D12:H12"/>
    <x:mergeCell ref="D21:H21"/>
    <x:mergeCell ref="D20:H20"/>
    <x:mergeCell ref="B15:I15"/>
    <x:mergeCell ref="B6:I6"/>
    <x:mergeCell ref="D10:H10"/>
    <x:mergeCell ref="B2:I2"/>
    <x:mergeCell ref="B24:I24"/>
    <x:mergeCell ref="D19:H19"/>
    <x:mergeCell ref="D11:H11"/>
    <x:mergeCell ref="D29:H29"/>
    <x:mergeCell ref="B4:I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customWidth="1"/>
    <x:col min="2" max="2" width="11" hidden="0" customWidth="1"/>
    <x:col min="3" max="3" width="18" hidden="0" customWidth="1"/>
    <x:col min="4" max="4" width="28" hidden="0" customWidth="1"/>
    <x:col min="5" max="5" width="17" hidden="0" customWidth="1"/>
    <x:col min="6" max="6" width="14" hidden="0" customWidth="1"/>
    <x:col min="7" max="7" width="18" hidden="0" customWidth="1"/>
    <x:col min="8" max="8" width="18" hidden="0" customWidth="1"/>
    <x:col min="9" max="9" width="19" hidden="0" customWidth="1"/>
  </x:cols>
  <x:sheetData>
    <x:row r="2" ht="27" customHeight="1">
      <x:c r="B2" s="25" t="str">
        <x:v>Class Challenge · Harborside Operations Investigation</x:v>
      </x:c>
      <x:c r="C2" s="25"/>
      <x:c r="D2" s="25"/>
      <x:c r="E2" s="25"/>
      <x:c r="F2" s="25"/>
      <x:c r="G2" s="25"/>
      <x:c r="H2" s="25"/>
      <x:c r="I2" s="25"/>
    </x:row>
    <x:row r="4" ht="34" customHeight="1">
      <x:c r="B4" s="28" t="str">
        <x:v>Use the raw shift observations exactly as provided. Build a compact analysis, compare AM and PM conditions, investigate the unusual observation, then make one evidence-based operations recommendation.</x:v>
      </x:c>
      <x:c r="C4" s="28"/>
      <x:c r="D4" s="28"/>
      <x:c r="E4" s="28"/>
      <x:c r="F4" s="28"/>
      <x:c r="G4" s="28"/>
      <x:c r="H4" s="28"/>
      <x:c r="I4" s="28"/>
    </x:row>
    <x:row r="5">
      <x:c r="B5"/>
      <x:c r="C5"/>
      <x:c r="D5"/>
      <x:c r="E5"/>
      <x:c r="F5"/>
    </x:row>
    <x:row r="6" ht="36" customHeight="1">
      <x:c r="B6" s="43" t="str">
        <x:v>IN CLASS · 25 MINUTES
Audit rows 10-33, build the overall and group summary through E48, and identify the unusual observation. Deliverable: a working analysis summary.</x:v>
      </x:c>
      <x:c r="C6" s="44"/>
      <x:c r="D6" s="44"/>
      <x:c r="E6" s="45"/>
      <x:c r="F6" s="63" t="str">
        <x:v>HOMEWORK · FINISH BEFORE NEXT CLASS
Complete CORREL in E49, verify the evidence links, and write a 2-4 sentence recommendation. Deliverable: upload the completed workbook to Canvas.</x:v>
      </x:c>
      <x:c r="G6" s="64"/>
      <x:c r="H6" s="64"/>
      <x:c r="I6" s="65"/>
    </x:row>
    <x:row r="7" ht="36" customHeight="1">
      <x:c r="B7" s="46"/>
      <x:c r="C7" s="47"/>
      <x:c r="D7" s="47"/>
      <x:c r="E7" s="48"/>
      <x:c r="F7" s="66"/>
      <x:c r="G7" s="67"/>
      <x:c r="H7" s="67"/>
      <x:c r="I7" s="68"/>
    </x:row>
    <x:row r="8" ht="48" customHeight="1">
      <x:c r="B8"/>
      <x:c r="C8"/>
      <x:c r="D8"/>
      <x:c r="E8"/>
      <x:c r="F8"/>
    </x:row>
    <x:row r="9" ht="32" customHeight="1">
      <x:c r="B9" s="73" t="str">
        <x:v>Observation ID</x:v>
      </x:c>
      <x:c r="C9" s="73" t="str">
        <x:v>Day</x:v>
      </x:c>
      <x:c r="D9" s="73" t="str">
        <x:v>Shift</x:v>
      </x:c>
      <x:c r="E9" s="73" t="str">
        <x:v>Patients checked in</x:v>
      </x:c>
      <x:c r="F9" s="73" t="str">
        <x:v>Staff on duty</x:v>
      </x:c>
      <x:c r="G9" s="73" t="str">
        <x:v>Average wait (min)</x:v>
      </x:c>
      <x:c r="H9" s="73" t="str">
        <x:v>Satisfaction (1-10)</x:v>
      </x:c>
      <x:c r="I9" s="73" t="str">
        <x:v>Service recovery cases</x:v>
      </x:c>
    </x:row>
    <x:row r="10" ht="22" customHeight="1">
      <x:c r="B10" s="78" t="n">
        <x:v>1</x:v>
      </x:c>
      <x:c r="C10" s="77" t="str">
        <x:v>Mon Wk1</x:v>
      </x:c>
      <x:c r="D10" s="78" t="str">
        <x:v>AM</x:v>
      </x:c>
      <x:c r="E10" s="78" t="n">
        <x:v>28</x:v>
      </x:c>
      <x:c r="F10" s="78" t="n">
        <x:v>4</x:v>
      </x:c>
      <x:c r="G10" s="78" t="n">
        <x:v>12</x:v>
      </x:c>
      <x:c r="H10" s="80" t="n">
        <x:v>8.4</x:v>
      </x:c>
      <x:c r="I10" s="78" t="n">
        <x:v>0</x:v>
      </x:c>
    </x:row>
    <x:row r="11" ht="22" customHeight="1">
      <x:c r="B11" s="79" t="n">
        <x:v>2</x:v>
      </x:c>
      <x:c r="C11" s="76" t="str">
        <x:v>Tue Wk1</x:v>
      </x:c>
      <x:c r="D11" s="79" t="str">
        <x:v>AM</x:v>
      </x:c>
      <x:c r="E11" s="79" t="n">
        <x:v>31</x:v>
      </x:c>
      <x:c r="F11" s="79" t="n">
        <x:v>4</x:v>
      </x:c>
      <x:c r="G11" s="79" t="n">
        <x:v>15</x:v>
      </x:c>
      <x:c r="H11" s="81" t="n">
        <x:v>7.9</x:v>
      </x:c>
      <x:c r="I11" s="79" t="n">
        <x:v>1</x:v>
      </x:c>
    </x:row>
    <x:row r="12" ht="22" customHeight="1">
      <x:c r="B12" s="78" t="n">
        <x:v>3</x:v>
      </x:c>
      <x:c r="C12" s="77" t="str">
        <x:v>Wed Wk1</x:v>
      </x:c>
      <x:c r="D12" s="78" t="str">
        <x:v>AM</x:v>
      </x:c>
      <x:c r="E12" s="78" t="n">
        <x:v>25</x:v>
      </x:c>
      <x:c r="F12" s="78" t="n">
        <x:v>5</x:v>
      </x:c>
      <x:c r="G12" s="78" t="n">
        <x:v>10</x:v>
      </x:c>
      <x:c r="H12" s="80" t="n">
        <x:v>8.8</x:v>
      </x:c>
      <x:c r="I12" s="78" t="n">
        <x:v>0</x:v>
      </x:c>
    </x:row>
    <x:row r="13" ht="22" customHeight="1">
      <x:c r="B13" s="79" t="n">
        <x:v>4</x:v>
      </x:c>
      <x:c r="C13" s="76" t="str">
        <x:v>Thu Wk1</x:v>
      </x:c>
      <x:c r="D13" s="79" t="str">
        <x:v>AM</x:v>
      </x:c>
      <x:c r="E13" s="79" t="n">
        <x:v>38</x:v>
      </x:c>
      <x:c r="F13" s="79" t="n">
        <x:v>4</x:v>
      </x:c>
      <x:c r="G13" s="79" t="n">
        <x:v>22</x:v>
      </x:c>
      <x:c r="H13" s="81" t="n">
        <x:v>6.5</x:v>
      </x:c>
      <x:c r="I13" s="79" t="n">
        <x:v>1</x:v>
      </x:c>
    </x:row>
    <x:row r="14" ht="22" customHeight="1">
      <x:c r="B14" s="78" t="n">
        <x:v>5</x:v>
      </x:c>
      <x:c r="C14" s="77" t="str">
        <x:v>Fri Wk1</x:v>
      </x:c>
      <x:c r="D14" s="78" t="str">
        <x:v>AM</x:v>
      </x:c>
      <x:c r="E14" s="78" t="n">
        <x:v>44</x:v>
      </x:c>
      <x:c r="F14" s="78" t="n">
        <x:v>3</x:v>
      </x:c>
      <x:c r="G14" s="78" t="n">
        <x:v>30</x:v>
      </x:c>
      <x:c r="H14" s="80" t="n">
        <x:v>5.2</x:v>
      </x:c>
      <x:c r="I14" s="78" t="n">
        <x:v>3</x:v>
      </x:c>
    </x:row>
    <x:row r="15" ht="22" customHeight="1">
      <x:c r="B15" s="79" t="n">
        <x:v>6</x:v>
      </x:c>
      <x:c r="C15" s="76" t="str">
        <x:v>Mon Wk2</x:v>
      </x:c>
      <x:c r="D15" s="79" t="str">
        <x:v>AM</x:v>
      </x:c>
      <x:c r="E15" s="79" t="n">
        <x:v>22</x:v>
      </x:c>
      <x:c r="F15" s="79" t="n">
        <x:v>5</x:v>
      </x:c>
      <x:c r="G15" s="79" t="n">
        <x:v>8</x:v>
      </x:c>
      <x:c r="H15" s="81" t="n">
        <x:v>9.1</x:v>
      </x:c>
      <x:c r="I15" s="79" t="n">
        <x:v>0</x:v>
      </x:c>
    </x:row>
    <x:row r="16" ht="22" customHeight="1">
      <x:c r="B16" s="78" t="n">
        <x:v>7</x:v>
      </x:c>
      <x:c r="C16" s="77" t="str">
        <x:v>Tue Wk2</x:v>
      </x:c>
      <x:c r="D16" s="78" t="str">
        <x:v>AM</x:v>
      </x:c>
      <x:c r="E16" s="78" t="n">
        <x:v>35</x:v>
      </x:c>
      <x:c r="F16" s="78" t="n">
        <x:v>4</x:v>
      </x:c>
      <x:c r="G16" s="78" t="n">
        <x:v>18</x:v>
      </x:c>
      <x:c r="H16" s="80" t="n">
        <x:v>7.1</x:v>
      </x:c>
      <x:c r="I16" s="78" t="n">
        <x:v>1</x:v>
      </x:c>
    </x:row>
    <x:row r="17" ht="22" customHeight="1">
      <x:c r="B17" s="79" t="n">
        <x:v>8</x:v>
      </x:c>
      <x:c r="C17" s="76" t="str">
        <x:v>Wed Wk2</x:v>
      </x:c>
      <x:c r="D17" s="79" t="str">
        <x:v>AM</x:v>
      </x:c>
      <x:c r="E17" s="79" t="n">
        <x:v>30</x:v>
      </x:c>
      <x:c r="F17" s="79" t="n">
        <x:v>4</x:v>
      </x:c>
      <x:c r="G17" s="79" t="n">
        <x:v>14</x:v>
      </x:c>
      <x:c r="H17" s="81" t="n">
        <x:v>8.3</x:v>
      </x:c>
      <x:c r="I17" s="79" t="n">
        <x:v>0</x:v>
      </x:c>
    </x:row>
    <x:row r="18" ht="22" customHeight="1">
      <x:c r="B18" s="78" t="n">
        <x:v>9</x:v>
      </x:c>
      <x:c r="C18" s="77" t="str">
        <x:v>Thu Wk2</x:v>
      </x:c>
      <x:c r="D18" s="78" t="str">
        <x:v>AM</x:v>
      </x:c>
      <x:c r="E18" s="78" t="n">
        <x:v>32</x:v>
      </x:c>
      <x:c r="F18" s="78" t="n">
        <x:v>4</x:v>
      </x:c>
      <x:c r="G18" s="78" t="n">
        <x:v>16</x:v>
      </x:c>
      <x:c r="H18" s="80" t="n">
        <x:v>7.8</x:v>
      </x:c>
      <x:c r="I18" s="78" t="n">
        <x:v>1</x:v>
      </x:c>
    </x:row>
    <x:row r="19" ht="22" customHeight="1">
      <x:c r="B19" s="79" t="n">
        <x:v>10</x:v>
      </x:c>
      <x:c r="C19" s="76" t="str">
        <x:v>Fri Wk2</x:v>
      </x:c>
      <x:c r="D19" s="79" t="str">
        <x:v>AM</x:v>
      </x:c>
      <x:c r="E19" s="79" t="n">
        <x:v>27</x:v>
      </x:c>
      <x:c r="F19" s="79" t="n">
        <x:v>4</x:v>
      </x:c>
      <x:c r="G19" s="79" t="n">
        <x:v>12</x:v>
      </x:c>
      <x:c r="H19" s="81" t="n">
        <x:v>8.1</x:v>
      </x:c>
      <x:c r="I19" s="79" t="n">
        <x:v>0</x:v>
      </x:c>
    </x:row>
    <x:row r="20" ht="22" customHeight="1">
      <x:c r="B20" s="78" t="n">
        <x:v>11</x:v>
      </x:c>
      <x:c r="C20" s="77" t="str">
        <x:v>Mon Wk3</x:v>
      </x:c>
      <x:c r="D20" s="78" t="str">
        <x:v>AM</x:v>
      </x:c>
      <x:c r="E20" s="78" t="n">
        <x:v>36</x:v>
      </x:c>
      <x:c r="F20" s="78" t="n">
        <x:v>3</x:v>
      </x:c>
      <x:c r="G20" s="78" t="n">
        <x:v>20</x:v>
      </x:c>
      <x:c r="H20" s="80" t="n">
        <x:v>6.9</x:v>
      </x:c>
      <x:c r="I20" s="78" t="n">
        <x:v>1</x:v>
      </x:c>
    </x:row>
    <x:row r="21" ht="22" customHeight="1">
      <x:c r="B21" s="79" t="n">
        <x:v>12</x:v>
      </x:c>
      <x:c r="C21" s="76" t="str">
        <x:v>Tue Wk3</x:v>
      </x:c>
      <x:c r="D21" s="79" t="str">
        <x:v>AM</x:v>
      </x:c>
      <x:c r="E21" s="79" t="n">
        <x:v>24</x:v>
      </x:c>
      <x:c r="F21" s="79" t="n">
        <x:v>5</x:v>
      </x:c>
      <x:c r="G21" s="79" t="n">
        <x:v>11</x:v>
      </x:c>
      <x:c r="H21" s="81" t="n">
        <x:v>8.6</x:v>
      </x:c>
      <x:c r="I21" s="79" t="n">
        <x:v>0</x:v>
      </x:c>
    </x:row>
    <x:row r="22" ht="22" customHeight="1">
      <x:c r="B22" s="82" t="n">
        <x:v>13</x:v>
      </x:c>
      <x:c r="C22" s="83" t="str">
        <x:v>Mon Wk1</x:v>
      </x:c>
      <x:c r="D22" s="82" t="str">
        <x:v>PM</x:v>
      </x:c>
      <x:c r="E22" s="82" t="n">
        <x:v>34</x:v>
      </x:c>
      <x:c r="F22" s="82" t="n">
        <x:v>3</x:v>
      </x:c>
      <x:c r="G22" s="82" t="n">
        <x:v>18</x:v>
      </x:c>
      <x:c r="H22" s="84" t="n">
        <x:v>7.6</x:v>
      </x:c>
      <x:c r="I22" s="82" t="n">
        <x:v>1</x:v>
      </x:c>
    </x:row>
    <x:row r="23" ht="22" customHeight="1">
      <x:c r="B23" s="79" t="n">
        <x:v>14</x:v>
      </x:c>
      <x:c r="C23" s="76" t="str">
        <x:v>Tue Wk1</x:v>
      </x:c>
      <x:c r="D23" s="79" t="str">
        <x:v>PM</x:v>
      </x:c>
      <x:c r="E23" s="79" t="n">
        <x:v>39</x:v>
      </x:c>
      <x:c r="F23" s="79" t="n">
        <x:v>4</x:v>
      </x:c>
      <x:c r="G23" s="79" t="n">
        <x:v>21</x:v>
      </x:c>
      <x:c r="H23" s="81" t="n">
        <x:v>7.2</x:v>
      </x:c>
      <x:c r="I23" s="79" t="n">
        <x:v>1</x:v>
      </x:c>
    </x:row>
    <x:row r="24" ht="22" customHeight="1">
      <x:c r="B24" s="78" t="n">
        <x:v>15</x:v>
      </x:c>
      <x:c r="C24" s="77" t="str">
        <x:v>Wed Wk1</x:v>
      </x:c>
      <x:c r="D24" s="78" t="str">
        <x:v>PM</x:v>
      </x:c>
      <x:c r="E24" s="78" t="n">
        <x:v>42</x:v>
      </x:c>
      <x:c r="F24" s="78" t="n">
        <x:v>3</x:v>
      </x:c>
      <x:c r="G24" s="78" t="n">
        <x:v>25</x:v>
      </x:c>
      <x:c r="H24" s="80" t="n">
        <x:v>6.4</x:v>
      </x:c>
      <x:c r="I24" s="78" t="n">
        <x:v>2</x:v>
      </x:c>
    </x:row>
    <x:row r="25" ht="22" customHeight="1">
      <x:c r="B25" s="79" t="n">
        <x:v>16</x:v>
      </x:c>
      <x:c r="C25" s="76" t="str">
        <x:v>Thu Wk1</x:v>
      </x:c>
      <x:c r="D25" s="79" t="str">
        <x:v>PM</x:v>
      </x:c>
      <x:c r="E25" s="79" t="n">
        <x:v>45</x:v>
      </x:c>
      <x:c r="F25" s="79" t="n">
        <x:v>3</x:v>
      </x:c>
      <x:c r="G25" s="79" t="n">
        <x:v>29</x:v>
      </x:c>
      <x:c r="H25" s="81" t="n">
        <x:v>5.9</x:v>
      </x:c>
      <x:c r="I25" s="79" t="n">
        <x:v>2</x:v>
      </x:c>
    </x:row>
    <x:row r="26" ht="22" customHeight="1">
      <x:c r="B26" s="78" t="n">
        <x:v>17</x:v>
      </x:c>
      <x:c r="C26" s="77" t="str">
        <x:v>Fri Wk1</x:v>
      </x:c>
      <x:c r="D26" s="78" t="str">
        <x:v>PM</x:v>
      </x:c>
      <x:c r="E26" s="78" t="n">
        <x:v>51</x:v>
      </x:c>
      <x:c r="F26" s="78" t="n">
        <x:v>2</x:v>
      </x:c>
      <x:c r="G26" s="78" t="n">
        <x:v>61</x:v>
      </x:c>
      <x:c r="H26" s="80" t="n">
        <x:v>3.8</x:v>
      </x:c>
      <x:c r="I26" s="78" t="n">
        <x:v>6</x:v>
      </x:c>
    </x:row>
    <x:row r="27" ht="22" customHeight="1">
      <x:c r="B27" s="79" t="n">
        <x:v>18</x:v>
      </x:c>
      <x:c r="C27" s="76" t="str">
        <x:v>Mon Wk2</x:v>
      </x:c>
      <x:c r="D27" s="79" t="str">
        <x:v>PM</x:v>
      </x:c>
      <x:c r="E27" s="79" t="n">
        <x:v>40</x:v>
      </x:c>
      <x:c r="F27" s="79" t="n">
        <x:v>4</x:v>
      </x:c>
      <x:c r="G27" s="79" t="n">
        <x:v>24</x:v>
      </x:c>
      <x:c r="H27" s="81" t="n">
        <x:v>6.1</x:v>
      </x:c>
      <x:c r="I27" s="79" t="n">
        <x:v>2</x:v>
      </x:c>
    </x:row>
    <x:row r="28" ht="22" customHeight="1">
      <x:c r="B28" s="78" t="n">
        <x:v>19</x:v>
      </x:c>
      <x:c r="C28" s="77" t="str">
        <x:v>Tue Wk2</x:v>
      </x:c>
      <x:c r="D28" s="78" t="str">
        <x:v>PM</x:v>
      </x:c>
      <x:c r="E28" s="78" t="n">
        <x:v>43</x:v>
      </x:c>
      <x:c r="F28" s="78" t="n">
        <x:v>3</x:v>
      </x:c>
      <x:c r="G28" s="78" t="n">
        <x:v>27</x:v>
      </x:c>
      <x:c r="H28" s="80" t="n">
        <x:v>5.8</x:v>
      </x:c>
      <x:c r="I28" s="78" t="n">
        <x:v>2</x:v>
      </x:c>
    </x:row>
    <x:row r="29" ht="22" customHeight="1">
      <x:c r="B29" s="79" t="n">
        <x:v>20</x:v>
      </x:c>
      <x:c r="C29" s="76" t="str">
        <x:v>Wed Wk2</x:v>
      </x:c>
      <x:c r="D29" s="79" t="str">
        <x:v>PM</x:v>
      </x:c>
      <x:c r="E29" s="79" t="n">
        <x:v>33</x:v>
      </x:c>
      <x:c r="F29" s="79" t="n">
        <x:v>4</x:v>
      </x:c>
      <x:c r="G29" s="79" t="n">
        <x:v>19</x:v>
      </x:c>
      <x:c r="H29" s="81" t="n">
        <x:v>7.4</x:v>
      </x:c>
      <x:c r="I29" s="79" t="n">
        <x:v>1</x:v>
      </x:c>
    </x:row>
    <x:row r="30" ht="22" customHeight="1">
      <x:c r="B30" s="78" t="n">
        <x:v>21</x:v>
      </x:c>
      <x:c r="C30" s="77" t="str">
        <x:v>Thu Wk2</x:v>
      </x:c>
      <x:c r="D30" s="78" t="str">
        <x:v>PM</x:v>
      </x:c>
      <x:c r="E30" s="78" t="n">
        <x:v>47</x:v>
      </x:c>
      <x:c r="F30" s="78" t="n">
        <x:v>3</x:v>
      </x:c>
      <x:c r="G30" s="78" t="n">
        <x:v>31</x:v>
      </x:c>
      <x:c r="H30" s="80" t="n">
        <x:v>5.2</x:v>
      </x:c>
      <x:c r="I30" s="78" t="n">
        <x:v>3</x:v>
      </x:c>
    </x:row>
    <x:row r="31" ht="22" customHeight="1">
      <x:c r="B31" s="79" t="n">
        <x:v>22</x:v>
      </x:c>
      <x:c r="C31" s="76" t="str">
        <x:v>Fri Wk2</x:v>
      </x:c>
      <x:c r="D31" s="79" t="str">
        <x:v>PM</x:v>
      </x:c>
      <x:c r="E31" s="79" t="n">
        <x:v>38</x:v>
      </x:c>
      <x:c r="F31" s="79" t="n">
        <x:v>4</x:v>
      </x:c>
      <x:c r="G31" s="79" t="n">
        <x:v>23</x:v>
      </x:c>
      <x:c r="H31" s="81" t="n">
        <x:v>6.6</x:v>
      </x:c>
      <x:c r="I31" s="79" t="n">
        <x:v>2</x:v>
      </x:c>
    </x:row>
    <x:row r="32" ht="22" customHeight="1">
      <x:c r="B32" s="78" t="n">
        <x:v>23</x:v>
      </x:c>
      <x:c r="C32" s="77" t="str">
        <x:v>Mon Wk3</x:v>
      </x:c>
      <x:c r="D32" s="78" t="str">
        <x:v>PM</x:v>
      </x:c>
      <x:c r="E32" s="78" t="n">
        <x:v>41</x:v>
      </x:c>
      <x:c r="F32" s="78" t="n">
        <x:v>3</x:v>
      </x:c>
      <x:c r="G32" s="78" t="n">
        <x:v>26</x:v>
      </x:c>
      <x:c r="H32" s="80" t="n">
        <x:v>6</x:v>
      </x:c>
      <x:c r="I32" s="78" t="n">
        <x:v>2</x:v>
      </x:c>
    </x:row>
    <x:row r="33" ht="22" customHeight="1">
      <x:c r="B33" s="79" t="n">
        <x:v>24</x:v>
      </x:c>
      <x:c r="C33" s="76" t="str">
        <x:v>Tue Wk3</x:v>
      </x:c>
      <x:c r="D33" s="79" t="str">
        <x:v>PM</x:v>
      </x:c>
      <x:c r="E33" s="79" t="n">
        <x:v>36</x:v>
      </x:c>
      <x:c r="F33" s="79" t="n">
        <x:v>4</x:v>
      </x:c>
      <x:c r="G33" s="79" t="n">
        <x:v>22</x:v>
      </x:c>
      <x:c r="H33" s="81" t="n">
        <x:v>7</x:v>
      </x:c>
      <x:c r="I33" s="79" t="n">
        <x:v>1</x:v>
      </x:c>
    </x:row>
    <x:row r="34">
      <x:c r="B34"/>
      <x:c r="C34"/>
      <x:c r="D34"/>
      <x:c r="E34"/>
      <x:c r="F34"/>
    </x:row>
    <x:row r="35" ht="24" customHeight="1">
      <x:c r="B35" s="87" t="str">
        <x:v>ANALYSIS SUMMARY · Build formulas from the raw-data ranges above</x:v>
      </x:c>
      <x:c r="C35" s="87"/>
      <x:c r="D35" s="87"/>
      <x:c r="E35" s="87"/>
      <x:c r="F35" s="87"/>
      <x:c r="G35" s="87"/>
      <x:c r="H35" s="87"/>
      <x:c r="I35" s="87"/>
    </x:row>
    <x:row r="36" ht="27" customHeight="1">
      <x:c r="B36" s="73" t="str">
        <x:v>#</x:v>
      </x:c>
      <x:c r="C36" s="73" t="str">
        <x:v>Metric</x:v>
      </x:c>
      <x:c r="D36" s="73" t="str">
        <x:v>Required calculation or decision</x:v>
      </x:c>
      <x:c r="E36" s="73" t="str">
        <x:v>Result</x:v>
      </x:c>
      <x:c r="F36" s="73" t="str">
        <x:v>Unit</x:v>
      </x:c>
    </x:row>
    <x:row r="37" ht="36" customHeight="1">
      <x:c r="B37" s="92" t="n">
        <x:v>1</x:v>
      </x:c>
      <x:c r="C37" s="93" t="str">
        <x:v>Overall mean wait</x:v>
      </x:c>
      <x:c r="D37" s="89" t="str">
        <x:v>Use all 24 wait-time observations.</x:v>
      </x:c>
      <x:c r="E37" s="98"/>
      <x:c r="F37" s="89" t="str">
        <x:v>minutes</x:v>
      </x:c>
    </x:row>
    <x:row r="38" ht="36" customHeight="1">
      <x:c r="B38" s="92" t="n">
        <x:v>2</x:v>
      </x:c>
      <x:c r="C38" s="93" t="str">
        <x:v>Overall median wait</x:v>
      </x:c>
      <x:c r="D38" s="89" t="str">
        <x:v>Find the middle wait across all observations.</x:v>
      </x:c>
      <x:c r="E38" s="98"/>
      <x:c r="F38" s="89" t="str">
        <x:v>minutes</x:v>
      </x:c>
    </x:row>
    <x:row r="39" ht="36" customHeight="1">
      <x:c r="B39" s="92" t="n">
        <x:v>3</x:v>
      </x:c>
      <x:c r="C39" s="93" t="str">
        <x:v>Most common staff count</x:v>
      </x:c>
      <x:c r="D39" s="89" t="str">
        <x:v>Use the Staff on duty column.</x:v>
      </x:c>
      <x:c r="E39" s="99"/>
      <x:c r="F39" s="89" t="str">
        <x:v>staff</x:v>
      </x:c>
    </x:row>
    <x:row r="40" ht="36" customHeight="1">
      <x:c r="B40" s="92" t="n">
        <x:v>4</x:v>
      </x:c>
      <x:c r="C40" s="93" t="str">
        <x:v>Overall sample SD</x:v>
      </x:c>
      <x:c r="D40" s="89" t="str">
        <x:v>Treat these shifts as a sample of the broader process.</x:v>
      </x:c>
      <x:c r="E40" s="98"/>
      <x:c r="F40" s="89" t="str">
        <x:v>minutes</x:v>
      </x:c>
    </x:row>
    <x:row r="41" ht="36" customHeight="1">
      <x:c r="B41" s="92" t="n">
        <x:v>5</x:v>
      </x:c>
      <x:c r="C41" s="93" t="str">
        <x:v>Observed-period population SD</x:v>
      </x:c>
      <x:c r="D41" s="89" t="str">
        <x:v>Treat these 24 shifts as the full defined study period.</x:v>
      </x:c>
      <x:c r="E41" s="98"/>
      <x:c r="F41" s="89" t="str">
        <x:v>minutes</x:v>
      </x:c>
    </x:row>
    <x:row r="42" ht="36" customHeight="1">
      <x:c r="B42" s="92" t="n">
        <x:v>6</x:v>
      </x:c>
      <x:c r="C42" s="93" t="str">
        <x:v>Outlier observation ID</x:v>
      </x:c>
      <x:c r="D42" s="89" t="str">
        <x:v>Inspect the wait-time column and enter the ID of the clearly unusual shift.</x:v>
      </x:c>
      <x:c r="E42" s="99"/>
      <x:c r="F42" s="89" t="str">
        <x:v>ID</x:v>
      </x:c>
    </x:row>
    <x:row r="43" ht="36" customHeight="1">
      <x:c r="B43" s="92" t="n">
        <x:v>7</x:v>
      </x:c>
      <x:c r="C43" s="93" t="str">
        <x:v>Mean without the outlier</x:v>
      </x:c>
      <x:c r="D43" s="89" t="str">
        <x:v>Exclude only the unusual observation you identified.</x:v>
      </x:c>
      <x:c r="E43" s="98"/>
      <x:c r="F43" s="89" t="str">
        <x:v>minutes</x:v>
      </x:c>
    </x:row>
    <x:row r="44" ht="36" customHeight="1">
      <x:c r="B44" s="92" t="n">
        <x:v>8</x:v>
      </x:c>
      <x:c r="C44" s="93" t="str">
        <x:v>AM mean wait</x:v>
      </x:c>
      <x:c r="D44" s="89" t="str">
        <x:v>Use only the AM observations in rows 10-21.</x:v>
      </x:c>
      <x:c r="E44" s="98"/>
      <x:c r="F44" s="89" t="str">
        <x:v>minutes</x:v>
      </x:c>
    </x:row>
    <x:row r="45" ht="36" customHeight="1">
      <x:c r="B45" s="92" t="n">
        <x:v>9</x:v>
      </x:c>
      <x:c r="C45" s="93" t="str">
        <x:v>PM mean wait</x:v>
      </x:c>
      <x:c r="D45" s="89" t="str">
        <x:v>Use only the PM observations in rows 22-33.</x:v>
      </x:c>
      <x:c r="E45" s="98"/>
      <x:c r="F45" s="89" t="str">
        <x:v>minutes</x:v>
      </x:c>
    </x:row>
    <x:row r="46" ht="36" customHeight="1">
      <x:c r="B46" s="92" t="n">
        <x:v>10</x:v>
      </x:c>
      <x:c r="C46" s="93" t="str">
        <x:v>AM sample SD</x:v>
      </x:c>
      <x:c r="D46" s="89" t="str">
        <x:v>Measure consistency for the AM condition.</x:v>
      </x:c>
      <x:c r="E46" s="98"/>
      <x:c r="F46" s="89" t="str">
        <x:v>minutes</x:v>
      </x:c>
    </x:row>
    <x:row r="47" ht="36" customHeight="1">
      <x:c r="B47" s="92" t="n">
        <x:v>11</x:v>
      </x:c>
      <x:c r="C47" s="93" t="str">
        <x:v>PM sample SD</x:v>
      </x:c>
      <x:c r="D47" s="89" t="str">
        <x:v>Measure consistency for the PM condition.</x:v>
      </x:c>
      <x:c r="E47" s="98"/>
      <x:c r="F47" s="89" t="str">
        <x:v>minutes</x:v>
      </x:c>
    </x:row>
    <x:row r="48" ht="36" customHeight="1">
      <x:c r="B48" s="92" t="n">
        <x:v>12</x:v>
      </x:c>
      <x:c r="C48" s="93" t="str">
        <x:v>PM minus AM mean wait</x:v>
      </x:c>
      <x:c r="D48" s="89" t="str">
        <x:v>Compare the two group means with a positive difference.</x:v>
      </x:c>
      <x:c r="E48" s="98"/>
      <x:c r="F48" s="89" t="str">
        <x:v>minutes</x:v>
      </x:c>
    </x:row>
    <x:row r="49" ht="36" customHeight="1">
      <x:c r="B49" s="92" t="n">
        <x:v>13</x:v>
      </x:c>
      <x:c r="C49" s="93" t="str">
        <x:v>Wait vs. satisfaction correlation</x:v>
      </x:c>
      <x:c r="D49" s="89" t="str">
        <x:v>Use CORREL on the full paired wait and satisfaction columns.</x:v>
      </x:c>
      <x:c r="E49" s="100"/>
      <x:c r="F49" s="89" t="str">
        <x:v>r</x:v>
      </x:c>
    </x:row>
    <x:row r="51" ht="24" customHeight="1">
      <x:c r="B51" s="103" t="str">
        <x:v>EVIDENCE BRIDGE · Link the two checked results your recommendation must reference</x:v>
      </x:c>
      <x:c r="C51" s="103"/>
      <x:c r="D51" s="103"/>
      <x:c r="E51" s="103"/>
      <x:c r="F51" s="103"/>
      <x:c r="G51" s="103"/>
      <x:c r="H51" s="103"/>
      <x:c r="I51" s="103"/>
    </x:row>
    <x:row r="52">
      <x:c r="B52" s="73" t="str">
        <x:v>Evidence</x:v>
      </x:c>
      <x:c r="C52" s="73" t="str">
        <x:v>What to carry into the recommendation</x:v>
      </x:c>
      <x:c r="D52" s="73"/>
      <x:c r="E52" s="73" t="str">
        <x:v>Linked value</x:v>
      </x:c>
      <x:c r="F52" s="73" t="str">
        <x:v>Unit</x:v>
      </x:c>
    </x:row>
    <x:row r="53" ht="28" customHeight="1">
      <x:c r="B53" s="89" t="str">
        <x:v>Group gap</x:v>
      </x:c>
      <x:c r="C53" s="89" t="str">
        <x:v>PM minus AM mean wait</x:v>
      </x:c>
      <x:c r="D53" s="89"/>
      <x:c r="E53" s="98"/>
      <x:c r="F53" s="89" t="str">
        <x:v>minutes</x:v>
      </x:c>
    </x:row>
    <x:row r="54" ht="28" customHeight="1">
      <x:c r="B54" s="89" t="str">
        <x:v>Relationship</x:v>
      </x:c>
      <x:c r="C54" s="89" t="str">
        <x:v>Wait vs. satisfaction correlation</x:v>
      </x:c>
      <x:c r="D54" s="89"/>
      <x:c r="E54" s="100"/>
      <x:c r="F54" s="89" t="str">
        <x:v>r</x:v>
      </x:c>
    </x:row>
    <x:row r="55" ht="65" customHeight="1">
      <x:c r="B55" s="89" t="str">
        <x:v>Guardrail</x:v>
      </x:c>
      <x:c r="C55" s="89" t="str">
        <x:v>A relationship can guide investigation, but correlation does not prove causation.</x:v>
      </x:c>
      <x:c r="D55" s="89"/>
      <x:c r="E55" s="89"/>
      <x:c r="F55" s="89"/>
    </x:row>
    <x:row r="57" ht="24" customHeight="1">
      <x:c r="B57" s="110" t="str">
        <x:v>RECOMMENDATION · 4-point instructor spot-check</x:v>
      </x:c>
      <x:c r="C57" s="110"/>
      <x:c r="D57" s="110"/>
      <x:c r="E57" s="110"/>
      <x:c r="F57" s="110"/>
      <x:c r="G57" s="110"/>
      <x:c r="H57" s="110"/>
      <x:c r="I57" s="110"/>
    </x:row>
    <x:row r="58" ht="31" customHeight="1">
      <x:c r="B58" s="119" t="str">
        <x:v>Write 2-4 sentences. Recommend one staffing, service, or process action; cite at least one linked value above; explain the operational reason; and avoid claiming that correlation proves causation.</x:v>
      </x:c>
      <x:c r="C58" s="120"/>
      <x:c r="D58" s="120"/>
      <x:c r="E58" s="120"/>
      <x:c r="F58" s="120"/>
      <x:c r="G58" s="120"/>
      <x:c r="H58" s="120"/>
      <x:c r="I58" s="121"/>
    </x:row>
    <x:row r="59" ht="30" customHeight="1">
      <x:c r="B59" s="141"/>
      <x:c r="C59" s="142"/>
      <x:c r="D59" s="142"/>
      <x:c r="E59" s="142"/>
      <x:c r="F59" s="142"/>
      <x:c r="G59" s="142"/>
      <x:c r="H59" s="142"/>
      <x:c r="I59" s="143"/>
    </x:row>
    <x:row r="60" ht="30" customHeight="1">
      <x:c r="B60" s="144"/>
      <x:c r="C60" s="145"/>
      <x:c r="D60" s="145"/>
      <x:c r="E60" s="145"/>
      <x:c r="F60" s="145"/>
      <x:c r="G60" s="145"/>
      <x:c r="H60" s="145"/>
      <x:c r="I60" s="146"/>
    </x:row>
    <x:row r="61" ht="30" customHeight="1">
      <x:c r="B61" s="147"/>
      <x:c r="C61" s="148"/>
      <x:c r="D61" s="148"/>
      <x:c r="E61" s="148"/>
      <x:c r="F61" s="148"/>
      <x:c r="G61" s="148"/>
      <x:c r="H61" s="148"/>
      <x:c r="I61" s="149"/>
    </x:row>
    <x:row r="63" ht="28" customHeight="1">
      <x:c r="B63" s="157" t="str">
        <x:v>PRE-SUBMIT CHECK · Raw rows unchanged · E37:E49 complete · E53:E54 linked by formulas · recommendation names evidence and avoids causal overclaim</x:v>
      </x:c>
      <x:c r="C63" s="158"/>
      <x:c r="D63" s="158"/>
      <x:c r="E63" s="158"/>
      <x:c r="F63" s="158"/>
      <x:c r="G63" s="158"/>
      <x:c r="H63" s="158"/>
      <x:c r="I63" s="159"/>
    </x:row>
  </x:sheetData>
  <x:mergeCells>
    <x:mergeCell ref="B2:I2"/>
    <x:mergeCell ref="B4:I4"/>
    <x:mergeCell ref="B6:E7"/>
    <x:mergeCell ref="F6:I7"/>
    <x:mergeCell ref="B35:I35"/>
    <x:mergeCell ref="B51:I51"/>
    <x:mergeCell ref="B57:I57"/>
    <x:mergeCell ref="B58:I58"/>
    <x:mergeCell ref="B59:I61"/>
    <x:mergeCell ref="B63:I6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customWidth="1"/>
    <x:col min="2" max="2" width="20" customWidth="1"/>
    <x:col min="3" max="3" width="34" customWidth="1"/>
    <x:col min="4" max="4" width="48" customWidth="1"/>
    <x:col min="5" max="5" width="42" customWidth="1"/>
  </x:cols>
  <x:sheetData>
    <x:row r="2">
      <x:c r="B2" s="1" t="inlineStr">
        <x:is>
          <x:t xml:space="preserve">MATH-M12-L01 · Formula Reference Card</x:t>
        </x:is>
      </x:c>
    </x:row>
    <x:row r="3">
      <x:c r="B3" s="19" t="inlineStr">
        <x:is>
          <x:t xml:space="preserve">Harborside Medical Center · Central Tendency, Dispersion &amp; Correlation</x:t>
        </x:is>
      </x:c>
    </x:row>
    <x:row r="5">
      <x:c r="B5" s="10" t="inlineStr">
        <x:is>
          <x:t xml:space="preserve">Concept</x:t>
        </x:is>
      </x:c>
      <x:c r="C5" s="10" t="inlineStr">
        <x:is>
          <x:t xml:space="preserve">Excel Pattern</x:t>
        </x:is>
      </x:c>
      <x:c r="D5" s="10" t="inlineStr">
        <x:is>
          <x:t xml:space="preserve">Plain-English Meaning</x:t>
        </x:is>
      </x:c>
      <x:c r="E5" s="10" t="inlineStr">
        <x:is>
          <x:t xml:space="preserve">Watch Out For</x:t>
        </x:is>
      </x:c>
    </x:row>
    <x:row r="6" ht="42" customHeight="1">
      <x:c r="B6" s="18" t="inlineStr">
        <x:is>
          <x:t xml:space="preserve">AVERAGE</x:t>
        </x:is>
      </x:c>
      <x:c r="C6" s="20" t="inlineStr">
        <x:is>
          <x:t xml:space="preserve">'=AVERAGE(B2:B8)</x:t>
        </x:is>
      </x:c>
      <x:c r="D6" s="17" t="inlineStr">
        <x:is>
          <x:t xml:space="preserve">Returns the arithmetic mean of a range.</x:t>
        </x:is>
      </x:c>
      <x:c r="E6" s="17" t="inlineStr">
        <x:is>
          <x:t xml:space="preserve">Outliers can pull the mean upward or downward.</x:t>
        </x:is>
      </x:c>
    </x:row>
    <x:row r="7" ht="42" customHeight="1">
      <x:c r="B7" s="18" t="inlineStr">
        <x:is>
          <x:t xml:space="preserve">MEDIAN</x:t>
        </x:is>
      </x:c>
      <x:c r="C7" s="20" t="inlineStr">
        <x:is>
          <x:t xml:space="preserve">'=MEDIAN(B2:B8)</x:t>
        </x:is>
      </x:c>
      <x:c r="D7" s="17" t="inlineStr">
        <x:is>
          <x:t xml:space="preserve">Returns the middle value after sorting.</x:t>
        </x:is>
      </x:c>
      <x:c r="E7" s="17" t="inlineStr">
        <x:is>
          <x:t xml:space="preserve">Use when an outlier distorts the average.</x:t>
        </x:is>
      </x:c>
    </x:row>
    <x:row r="8" ht="42" customHeight="1">
      <x:c r="B8" s="18" t="inlineStr">
        <x:is>
          <x:t xml:space="preserve">MODE.SNGL</x:t>
        </x:is>
      </x:c>
      <x:c r="C8" s="20" t="inlineStr">
        <x:is>
          <x:t xml:space="preserve">'=MODE.SNGL(B2:B8)</x:t>
        </x:is>
      </x:c>
      <x:c r="D8" s="17" t="inlineStr">
        <x:is>
          <x:t xml:space="preserve">Returns the single most frequent value.</x:t>
        </x:is>
      </x:c>
      <x:c r="E8" s="17" t="inlineStr">
        <x:is>
          <x:t xml:space="preserve">May error if no value repeats.</x:t>
        </x:is>
      </x:c>
    </x:row>
    <x:row r="9" ht="42" customHeight="1">
      <x:c r="B9" s="18" t="inlineStr">
        <x:is>
          <x:t xml:space="preserve">MIN / MAX</x:t>
        </x:is>
      </x:c>
      <x:c r="C9" s="20" t="inlineStr">
        <x:is>
          <x:t xml:space="preserve">'=MIN(range) / =MAX(range)</x:t>
        </x:is>
      </x:c>
      <x:c r="D9" s="17" t="inlineStr">
        <x:is>
          <x:t xml:space="preserve">Returns the smallest or largest value.</x:t>
        </x:is>
      </x:c>
      <x:c r="E9" s="17" t="inlineStr">
        <x:is>
          <x:t xml:space="preserve">Useful for spotting range and outliers.</x:t>
        </x:is>
      </x:c>
    </x:row>
    <x:row r="10" ht="42" customHeight="1">
      <x:c r="B10" s="18" t="inlineStr">
        <x:is>
          <x:t xml:space="preserve">STDEV.S</x:t>
        </x:is>
      </x:c>
      <x:c r="C10" s="20" t="inlineStr">
        <x:is>
          <x:t xml:space="preserve">'=STDEV.S(B2:B8)</x:t>
        </x:is>
      </x:c>
      <x:c r="D10" s="17" t="inlineStr">
        <x:is>
          <x:t xml:space="preserve">Measures spread for a sample.</x:t>
        </x:is>
      </x:c>
      <x:c r="E10" s="17" t="inlineStr">
        <x:is>
          <x:t xml:space="preserve">Use for most business samples.</x:t>
        </x:is>
      </x:c>
    </x:row>
    <x:row r="11" ht="42" customHeight="1">
      <x:c r="B11" s="18" t="inlineStr">
        <x:is>
          <x:t xml:space="preserve">STDEV.P</x:t>
        </x:is>
      </x:c>
      <x:c r="C11" s="20" t="inlineStr">
        <x:is>
          <x:t xml:space="preserve">'=STDEV.P(B2:B8)</x:t>
        </x:is>
      </x:c>
      <x:c r="D11" s="17" t="inlineStr">
        <x:is>
          <x:t xml:space="preserve">Measures spread for a full population.</x:t>
        </x:is>
      </x:c>
      <x:c r="E11" s="17" t="inlineStr">
        <x:is>
          <x:t xml:space="preserve">Use only when you have every observation.</x:t>
        </x:is>
      </x:c>
    </x:row>
    <x:row r="12" ht="42" customHeight="1">
      <x:c r="B12" s="18" t="inlineStr">
        <x:is>
          <x:t xml:space="preserve">CORREL</x:t>
        </x:is>
      </x:c>
      <x:c r="C12" s="20" t="inlineStr">
        <x:is>
          <x:t xml:space="preserve">'=CORREL(A2:A8,B2:B8)</x:t>
        </x:is>
      </x:c>
      <x:c r="D12" s="17" t="inlineStr">
        <x:is>
          <x:t xml:space="preserve">Returns relationship strength and direction.</x:t>
        </x:is>
      </x:c>
      <x:c r="E12" s="17" t="inlineStr">
        <x:is>
          <x:t xml:space="preserve">Correlation does not prove causation.</x:t>
        </x:is>
      </x:c>
    </x:row>
  </x:sheetData>
  <x:mergeCells>
    <x:mergeCell ref="B3:E3"/>
    <x:mergeCell ref="B2:E2"/>
  </x:mergeCells>
  <x:pageMargins left="0.7" right="0.7" top="0.75" bottom="0.75" header="0.3" footer="0.3"/>
</x:worksheet>
</file>