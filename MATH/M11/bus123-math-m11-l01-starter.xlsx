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fb7927079042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0e70c526392c4a84"/>
    <x:sheet xmlns:r="http://schemas.openxmlformats.org/officeDocument/2006/relationships" name="Live You Try It" sheetId="2" r:id="Re63e3150a96e403e"/>
    <x:sheet xmlns:r="http://schemas.openxmlformats.org/officeDocument/2006/relationships" name="Class Challenge" sheetId="3" r:id="R3e1a8011ebb540cd"/>
    <x:sheet xmlns:r="http://schemas.openxmlformats.org/officeDocument/2006/relationships" name="FormulaReferenceCard" sheetId="4" r:id="R5852ae9d63334f6f"/>
  </x:sheets>
</x:workbook>
</file>

<file path=xl/sharedStrings.xml><?xml version="1.0" encoding="utf-8"?>
<x:sst xmlns:x="http://schemas.openxmlformats.org/spreadsheetml/2006/main">
  <x:si>
    <x:t xml:space="preserve">BUS123 · MATH-M11-L01 · Financial Reports Workbook</x:t>
  </x:si>
  <x:si>
    <x:t xml:space="preserve">Harborside Medical Center · Fall 2026</x:t>
  </x:si>
  <x:si>
    <x:t xml:space="preserve">Student Name:</x:t>
  </x:si>
  <x:si>
    <x:t xml:space="preserve">Date:</x:t>
  </x:si>
  <x:si>
    <x:t xml:space="preserve">Course:</x:t>
  </x:si>
  <x:si>
    <x:t xml:space="preserve">BUS123 — Solving Business Problems with Technology</x:t>
  </x:si>
  <x:si>
    <x:t xml:space="preserve">Workbook Tabs</x:t>
  </x:si>
  <x:si>
    <x:t xml:space="preserve">Live You Try It</x:t>
  </x:si>
  <x:si>
    <x:t xml:space="preserve">Self-graded practice tied to the worked examples in the slides. Enter slide givens in yellow cells first, then build formulas that reference those cells.</x:t>
  </x:si>
  <x:si>
    <x:t xml:space="preserve">Class Challenge</x:t>
  </x:si>
  <x:si>
    <x:t xml:space="preserve">FormulaReferenceCard</x:t>
  </x:si>
  <x:si>
    <x:t xml:space="preserve">Color Key</x:t>
  </x:si>
  <x:si>
    <x:t xml:space="preserve">Yellow</x:t>
  </x:si>
  <x:si>
    <x:t xml:space="preserve">Student-editable input or answer cell.</x:t>
  </x:si>
  <x:si>
    <x:t xml:space="preserve">Green</x:t>
  </x:si>
  <x:si>
    <x:t xml:space="preserve">Formula-driven feedback for Live You Try It.</x:t>
  </x:si>
  <x:si>
    <x:t xml:space="preserve">No instructor tabs</x:t>
  </x:si>
  <x:si>
    <x:t xml:space="preserve">The public starter contains no answer key, grading map, rubric, or sample submission data.</x:t>
  </x:si>
  <x:si>
    <x:t xml:space="preserve">Live You Try It · Self-Graded Excel Pauses</x:t>
  </x:si>
  <x:si>
    <x:t xml:space="preserve">Use the exact givens from the slide deck. This tab is practice only and is not part of the private graded rubric.</x:t>
  </x:si>
  <x:si>
    <x:t xml:space="preserve">Workflow: enter the slide givens in the yellow input cells first, then build your result formula by referencing those input cells. The feedback cell checks your result against your entered inputs.</x:t>
  </x:si>
  <x:si>
    <x:t xml:space="preserve">Pause</x:t>
  </x:si>
  <x:si>
    <x:t xml:space="preserve">Source</x:t>
  </x:si>
  <x:si>
    <x:t xml:space="preserve">Task</x:t>
  </x:si>
  <x:si>
    <x:t xml:space="preserve">Input 1</x:t>
  </x:si>
  <x:si>
    <x:t xml:space="preserve">Input 2</x:t>
  </x:si>
  <x:si>
    <x:t xml:space="preserve">Input 3</x:t>
  </x:si>
  <x:si>
    <x:t xml:space="preserve">Input 4</x:t>
  </x:si>
  <x:si>
    <x:t xml:space="preserve">Input 5</x:t>
  </x:si>
  <x:si>
    <x:t xml:space="preserve">Your Formula / Result</x:t>
  </x:si>
  <x:si>
    <x:t xml:space="preserve">Feedback</x:t>
  </x:si>
  <x:si>
    <x:t xml:space="preserve">Hint</x:t>
  </x:si>
  <x:si>
    <x:t xml:space="preserve">Pause 1</x:t>
  </x:si>
  <x:si>
    <x:t xml:space="preserve">Slide 8</x:t>
  </x:si>
  <x:si>
    <x:t xml:space="preserve">Total assets from the balance sheet example</x:t>
  </x:si>
  <x:si>
    <x:t xml:space="preserve">Reference the four input cells, then use SUM.</x:t>
  </x:si>
  <x:si>
    <x:t xml:space="preserve">Total liabilities plus equity</x:t>
  </x:si>
  <x:si>
    <x:t xml:space="preserve">Add liabilities first, then include equity in the same formula.</x:t>
  </x:si>
  <x:si>
    <x:t xml:space="preserve">Pause 2</x:t>
  </x:si>
  <x:si>
    <x:t xml:space="preserve">Slide 10</x:t>
  </x:si>
  <x:si>
    <x:t xml:space="preserve">Gross profit</x:t>
  </x:si>
  <x:si>
    <x:t xml:space="preserve">Gross profit is revenue minus cost of services.</x:t>
  </x:si>
  <x:si>
    <x:t xml:space="preserve">Net income</x:t>
  </x:si>
  <x:si>
    <x:t xml:space="preserve">Net income is gross profit minus operating expenses.</x:t>
  </x:si>
  <x:si>
    <x:t xml:space="preserve">Pause 3</x:t>
  </x:si>
  <x:si>
    <x:t xml:space="preserve">Slide 12</x:t>
  </x:si>
  <x:si>
    <x:t xml:space="preserve">Net change in cash</x:t>
  </x:si>
  <x:si>
    <x:t xml:space="preserve">Enter the investing outflow as a negative number.</x:t>
  </x:si>
  <x:si>
    <x:t xml:space="preserve">Closing cash</x:t>
  </x:si>
  <x:si>
    <x:t xml:space="preserve">Closing cash equals opening cash plus the net change.</x:t>
  </x:si>
  <x:si>
    <x:t xml:space="preserve">Pause 4</x:t>
  </x:si>
  <x:si>
    <x:t xml:space="preserve">Slide 15</x:t>
  </x:si>
  <x:si>
    <x:t xml:space="preserve">2026 net revenue trend %</x:t>
  </x:si>
  <x:si>
    <x:t xml:space="preserve">Current year divided by base year.</x:t>
  </x:si>
  <x:si>
    <x:t xml:space="preserve">2026 net income trend %</x:t>
  </x:si>
  <x:si>
    <x:t xml:space="preserve">Keep the base year in the denominator.</x:t>
  </x:si>
  <x:si>
    <x:t xml:space="preserve">Pause 5</x:t>
  </x:si>
  <x:si>
    <x:t xml:space="preserve">Slide 17</x:t>
  </x:si>
  <x:si>
    <x:t xml:space="preserve">Profit margin</x:t>
  </x:si>
  <x:si>
    <x:t xml:space="preserve">Profit margin is net income divided by net revenue.</x:t>
  </x:si>
  <x:si>
    <x:t xml:space="preserve">Total debt to total assets</x:t>
  </x:si>
  <x:si>
    <x:t xml:space="preserve">Debt-to-assets uses liabilities in the numerator.</x:t>
  </x:si>
  <x:si>
    <x:t xml:space="preserve">Return on equity</x:t>
  </x:si>
  <x:si>
    <x:t xml:space="preserve">ROE asks how much income each dollar of equity produced.</x:t>
  </x:si>
</x:sst>
</file>

<file path=xl/styles.xml><?xml version="1.0" encoding="utf-8"?>
<x:styleSheet xmlns:x="http://schemas.openxmlformats.org/spreadsheetml/2006/main">
  <x:numFmts count="3">
    <x:numFmt numFmtId="164" formatCode="&quot;$&quot;#,##0"/>
    <x:numFmt numFmtId="165" formatCode="0.0%"/>
    <x:numFmt numFmtId="200" formatCode="$#,##0;[Red]($#,##0);-"/>
  </x:numFmts>
  <x:fonts count="14">
    <x:font>
      <x:sz val="11"/>
      <x:color theme="1"/>
      <x:name val="Calibri"/>
    </x:font>
    <x:font>
      <x:b/>
      <x:sz val="18"/>
      <x:color rgb="FFFFFFFF"/>
      <x:name val="Aptos Display"/>
    </x:font>
    <x:font>
      <x:i/>
      <x:sz val="11"/>
      <x:color rgb="FFFFFFFF"/>
      <x:name val="Aptos"/>
    </x:font>
    <x:font>
      <x:b/>
      <x:sz val="11"/>
      <x:color rgb="FF1A1F2C"/>
      <x:name val="Aptos"/>
    </x:font>
    <x:font>
      <x:b/>
      <x:sz val="11"/>
      <x:color rgb="FFFFFFFF"/>
      <x:name val="Aptos"/>
    </x:font>
    <x:font>
      <x:sz val="11"/>
      <x:color rgb="FF1A1F2C"/>
      <x:name val="Aptos"/>
    </x:font>
    <x:font>
      <x:b/>
      <x:sz val="10"/>
      <x:color rgb="FFFFFFFF"/>
      <x:name val="Aptos"/>
    </x:font>
    <x:font>
      <x:b/>
      <x:sz val="10"/>
      <x:color rgb="FF355773"/>
      <x:name val="Aptos Mono"/>
    </x:font>
    <x:font>
      <x:b/>
      <x:sz val="11"/>
      <x:color rgb="FFFFFFFF"/>
      <x:name val="Aptos Display"/>
    </x:font>
    <x:font>
      <x:i/>
      <x:sz val="11"/>
      <x:color rgb="FFFFFFFF"/>
      <x:name val="Calibri"/>
    </x:font>
    <x:font>
      <x:sz val="11"/>
      <x:color rgb="FF1A1F2C"/>
      <x:name val="Calibri"/>
    </x:font>
    <x:font>
      <x:b/>
      <x:sz val="11"/>
      <x:color rgb="FF355773"/>
      <x:name val="Aptos"/>
    </x:font>
    <x:font>
      <x:b/>
      <x:sz val="11"/>
      <x:color rgb="FF1A1F2C"/>
      <x:name val="Calibri"/>
    </x:font>
    <x:font>
      <x:b/>
      <x:sz val="11"/>
      <x:color rgb="FF355773"/>
      <x:name val="Aptos Mono"/>
    </x:font>
  </x:fonts>
  <x:fills count="47">
    <x:fill>
      <x:patternFill patternType="none"/>
    </x:fill>
    <x:fill>
      <x:patternFill patternType="gray125"/>
    </x:fill>
    <x:fill>
      <x:patternFill patternType="solid">
        <x:fgColor rgb="FF0E1116"/>
      </x:patternFill>
    </x:fill>
    <x:fill>
      <x:patternFill patternType="solid">
        <x:fgColor rgb="FFF2EEE5"/>
      </x:patternFill>
    </x:fill>
    <x:fill>
      <x:patternFill patternType="solid">
        <x:fgColor rgb="FFFFF2CC"/>
      </x:patternFill>
    </x:fill>
    <x:fill>
      <x:patternFill patternType="solid">
        <x:fgColor rgb="FF4A7C5E"/>
      </x:patternFill>
    </x:fill>
    <x:fill>
      <x:patternFill patternType="solid">
        <x:fgColor rgb="FFB8843D"/>
      </x:patternFill>
    </x:fill>
    <x:fill>
      <x:patternFill patternType="solid">
        <x:fgColor rgb="FFDDEFD8"/>
      </x:patternFill>
    </x:fill>
    <x:fill>
      <x:patternFill patternType="solid">
        <x:fgColor rgb="FF355773"/>
      </x:patternFill>
    </x:fill>
    <x:fill>
      <x:patternFill patternType="solid">
        <x:fgColor rgb="FFFFFFFF"/>
      </x:patternFill>
    </x:fill>
    <x:fill>
      <x:patternFill patternType="solid">
        <x:fgColor rgb="FFEAF3EC"/>
      </x:patternFill>
    </x:fill>
    <x:fill>
      <x:patternFill patternType="solid">
        <x:fgColor rgb="FF0E1116"/>
      </x:patternFill>
    </x:fill>
    <x:fill>
      <x:patternFill patternType="solid">
        <x:fgColor rgb="FFF2EEE5"/>
      </x:patternFill>
    </x:fill>
    <x:fill>
      <x:patternFill patternType="solid">
        <x:fgColor rgb="FF4A7C5E"/>
      </x:patternFill>
    </x:fill>
    <x:fill>
      <x:patternFill patternType="solid">
        <x:fgColor rgb="FF355773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B8843D"/>
      </x:patternFill>
    </x:fill>
    <x:fill>
      <x:patternFill patternType="solid">
        <x:fgColor rgb="FF9C4A2B"/>
      </x:patternFill>
    </x:fill>
    <x:fill>
      <x:patternFill patternType="solid">
        <x:fgColor rgb="FFEAF3EC"/>
      </x:patternFill>
    </x:fill>
    <x:fill>
      <x:patternFill patternType="solid">
        <x:fgColor rgb="FF0E1116"/>
      </x:patternFill>
    </x:fill>
    <x:fill>
      <x:patternFill patternType="solid">
        <x:fgColor rgb="FFF2EEE5"/>
      </x:patternFill>
    </x:fill>
    <x:fill>
      <x:patternFill patternType="solid">
        <x:fgColor rgb="FF4A7C5E"/>
      </x:patternFill>
    </x:fill>
    <x:fill>
      <x:patternFill patternType="solid">
        <x:fgColor rgb="FF355773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B8843D"/>
      </x:patternFill>
    </x:fill>
    <x:fill>
      <x:patternFill patternType="solid">
        <x:fgColor rgb="FF9C4A2B"/>
      </x:patternFill>
    </x:fill>
    <x:fill>
      <x:patternFill patternType="solid">
        <x:fgColor rgb="FFEAF3EC"/>
      </x:patternFill>
    </x:fill>
    <x:fill>
      <x:patternFill patternType="solid">
        <x:fgColor rgb="FF0E1116"/>
      </x:patternFill>
    </x:fill>
    <x:fill>
      <x:patternFill patternType="solid">
        <x:fgColor rgb="FFF2EEE5"/>
      </x:patternFill>
    </x:fill>
    <x:fill>
      <x:patternFill patternType="solid">
        <x:fgColor rgb="FF4A7C5E"/>
      </x:patternFill>
    </x:fill>
    <x:fill>
      <x:patternFill patternType="solid">
        <x:fgColor rgb="FF355773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B8843D"/>
      </x:patternFill>
    </x:fill>
    <x:fill>
      <x:patternFill patternType="solid">
        <x:fgColor rgb="FF9C4A2B"/>
      </x:patternFill>
    </x:fill>
    <x:fill>
      <x:patternFill patternType="solid">
        <x:fgColor rgb="FFEAF3EC"/>
      </x:patternFill>
    </x:fill>
    <x:fill>
      <x:patternFill patternType="solid">
        <x:fgColor rgb="FF0E1116"/>
      </x:patternFill>
    </x:fill>
    <x:fill>
      <x:patternFill patternType="solid">
        <x:fgColor rgb="FFF2EEE5"/>
      </x:patternFill>
    </x:fill>
    <x:fill>
      <x:patternFill patternType="solid">
        <x:fgColor rgb="FF4A7C5E"/>
      </x:patternFill>
    </x:fill>
    <x:fill>
      <x:patternFill patternType="solid">
        <x:fgColor rgb="FF355773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B8843D"/>
      </x:patternFill>
    </x:fill>
    <x:fill>
      <x:patternFill patternType="solid">
        <x:fgColor rgb="FF9C4A2B"/>
      </x:patternFill>
    </x:fill>
    <x:fill>
      <x:patternFill patternType="solid">
        <x:fgColor rgb="FFEAF3EC"/>
      </x:patternFill>
    </x:fill>
  </x:fills>
  <x:borders count="14">
    <x:border/>
    <x:border>
      <x:left style="thin">
        <x:color rgb="FFE5E1D6"/>
      </x:left>
      <x:right style="thin">
        <x:color rgb="FFE5E1D6"/>
      </x:right>
      <x:top style="thin">
        <x:color rgb="FFE5E1D6"/>
      </x:top>
      <x:bottom style="thin">
        <x:color rgb="FFE5E1D6"/>
      </x:bottom>
    </x:border>
    <x:border>
      <x:left style="thin">
        <x:color rgb="FFE5E1D6"/>
      </x:left>
      <x:top style="thin">
        <x:color rgb="FFE5E1D6"/>
      </x:top>
      <x:bottom style="thin">
        <x:color rgb="FFE5E1D6"/>
      </x:bottom>
    </x:border>
    <x:border>
      <x:top style="thin">
        <x:color rgb="FFE5E1D6"/>
      </x:top>
      <x:bottom style="thin">
        <x:color rgb="FFE5E1D6"/>
      </x:bottom>
    </x:border>
    <x:border>
      <x:right style="thin">
        <x:color rgb="FFE5E1D6"/>
      </x:right>
      <x:top style="thin">
        <x:color rgb="FFE5E1D6"/>
      </x:top>
      <x:bottom style="thin">
        <x:color rgb="FFE5E1D6"/>
      </x:bottom>
    </x:border>
    <x:border>
      <x:left style="thin">
        <x:color rgb="FFE5E1D6"/>
      </x:left>
      <x:right style="thin">
        <x:color rgb="FFE5E1D6"/>
      </x:right>
      <x:top style="medium">
        <x:color rgb="FF355773"/>
      </x:top>
      <x:bottom style="thin">
        <x:color rgb="FFE5E1D6"/>
      </x:bottom>
    </x:border>
    <x:border>
      <x:left style="thin">
        <x:color rgb="FFE5E1D6"/>
      </x:left>
      <x:top style="thin">
        <x:color rgb="FFE5E1D6"/>
      </x:top>
    </x:border>
    <x:border>
      <x:top style="thin">
        <x:color rgb="FFE5E1D6"/>
      </x:top>
    </x:border>
    <x:border>
      <x:right style="thin">
        <x:color rgb="FFE5E1D6"/>
      </x:right>
      <x:top style="thin">
        <x:color rgb="FFE5E1D6"/>
      </x:top>
    </x:border>
    <x:border>
      <x:left style="thin">
        <x:color rgb="FFE5E1D6"/>
      </x:left>
    </x:border>
    <x:border>
      <x:right style="thin">
        <x:color rgb="FFE5E1D6"/>
      </x:right>
    </x:border>
    <x:border>
      <x:left style="thin">
        <x:color rgb="FFE5E1D6"/>
      </x:left>
      <x:bottom style="thin">
        <x:color rgb="FFE5E1D6"/>
      </x:bottom>
    </x:border>
    <x:border>
      <x:bottom style="thin">
        <x:color rgb="FFE5E1D6"/>
      </x:bottom>
    </x:border>
    <x:border>
      <x:right style="thin">
        <x:color rgb="FFE5E1D6"/>
      </x:right>
      <x:bottom style="thin">
        <x:color rgb="FFE5E1D6"/>
      </x:bottom>
    </x:border>
  </x:borders>
  <x:cellStyleXfs count="1">
    <x:xf numFmtId="0" fontId="0" fillId="0" borderId="0"/>
  </x:cellStyleXfs>
  <x:cellXfs count="406">
    <x:xf numFmtId="0" fontId="0" fillId="0" borderId="0" xfId="0"/>
    <x:xf numFmtId="0" fontId="5" fillId="0" borderId="0" xfId="0" applyFont="1" applyAlignment="1">
      <x:alignment vertical="top" wrapText="1"/>
    </x:xf>
    <x:xf numFmtId="0" fontId="0" fillId="4" borderId="1" xfId="0" applyFill="1" applyBorder="1" applyAlignment="1">
      <x:alignment horizontal="right" vertical="top" wrapText="1"/>
    </x:xf>
    <x:xf numFmtId="0" fontId="5" fillId="0" borderId="1" xfId="0" applyFont="1" applyBorder="1" applyAlignment="1">
      <x:alignment vertical="top" wrapText="1"/>
    </x:xf>
    <x:xf numFmtId="0" fontId="3" fillId="4" borderId="1" xfId="0" applyFont="1" applyFill="1" applyBorder="1"/>
    <x:xf numFmtId="0" fontId="3" fillId="7" borderId="1" xfId="0" applyFont="1" applyFill="1" applyBorder="1"/>
    <x:xf numFmtId="0" fontId="3" fillId="3" borderId="1" xfId="0" applyFont="1" applyFill="1" applyBorder="1"/>
    <x:xf numFmtId="0" fontId="6" fillId="8" borderId="1" xfId="0" applyFont="1" applyFill="1" applyBorder="1" applyAlignment="1">
      <x:alignment horizontal="center" vertical="center" wrapText="1"/>
    </x:xf>
    <x:xf numFmtId="164" fontId="0" fillId="4" borderId="1" xfId="0" applyNumberFormat="1" applyFill="1" applyBorder="1" applyAlignment="1">
      <x:alignment horizontal="right" vertical="top" wrapText="1"/>
    </x:xf>
    <x:xf numFmtId="0" fontId="0" fillId="9" borderId="1" xfId="0" applyFill="1" applyBorder="1" applyAlignment="1">
      <x:alignment vertical="top" wrapText="1"/>
    </x:xf>
    <x:xf numFmtId="164" fontId="0" fillId="10" borderId="1" xfId="0" applyNumberFormat="1" applyFill="1" applyBorder="1" applyAlignment="1">
      <x:alignment horizontal="right" vertical="top" wrapText="1"/>
    </x:xf>
    <x:xf numFmtId="0" fontId="0" fillId="7" borderId="1" xfId="0" applyFill="1" applyBorder="1" applyAlignment="1">
      <x:alignment vertical="top" wrapText="1"/>
    </x:xf>
    <x:xf numFmtId="0" fontId="0" fillId="3" borderId="1" xfId="0" applyFill="1" applyBorder="1" applyAlignment="1">
      <x:alignment vertical="top" wrapText="1"/>
    </x:xf>
    <x:xf numFmtId="165" fontId="0" fillId="10" borderId="1" xfId="0" applyNumberFormat="1" applyFill="1" applyBorder="1" applyAlignment="1">
      <x:alignment horizontal="right" vertical="top" wrapText="1"/>
    </x:xf>
    <x:xf numFmtId="164" fontId="0" fillId="9" borderId="1" xfId="0" applyNumberFormat="1" applyFill="1" applyBorder="1" applyAlignment="1">
      <x:alignment vertical="top" wrapText="1"/>
    </x:xf>
    <x:xf numFmtId="0" fontId="7" fillId="10" borderId="1" xfId="0" applyFont="1" applyFill="1" applyBorder="1" applyAlignment="1">
      <x:alignment vertical="top" wrapText="1"/>
    </x:xf>
    <x:xf numFmtId="0" fontId="0" fillId="3" borderId="1" xfId="0" applyFill="1" applyBorder="1" applyAlignment="1">
      <x:alignment vertical="center" wrapText="1"/>
    </x:xf>
    <x:xf numFmtId="0" fontId="5" fillId="0" borderId="0" xfId="0" applyFont="1" applyAlignment="1">
      <x:alignment vertical="top" wrapText="1"/>
    </x:xf>
    <x:xf numFmtId="0" fontId="2" fillId="2" borderId="0" xfId="0" applyFont="1" applyFill="1" applyAlignment="1">
      <x:alignment horizontal="left" vertical="center"/>
    </x:xf>
    <x:xf numFmtId="0" fontId="1" fillId="2" borderId="0" xfId="0" applyFont="1" applyFill="1" applyAlignment="1">
      <x:alignment horizontal="left" vertical="center"/>
    </x:xf>
    <x:xf numFmtId="0" fontId="4" fillId="6" borderId="0" xfId="0" applyFont="1" applyFill="1" applyAlignment="1">
      <x:alignment horizontal="left" vertical="center"/>
    </x:xf>
    <x:xf numFmtId="0" fontId="4" fillId="5" borderId="0" xfId="0" applyFont="1" applyFill="1" applyAlignment="1">
      <x:alignment horizontal="left" vertical="center"/>
    </x:xf>
    <x:xf numFmtId="0" fontId="0" fillId="3" borderId="1" xfId="0" applyFill="1" applyBorder="1"/>
    <x:xf numFmtId="0" fontId="0" fillId="3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horizontal="left"/>
    </x:xf>
    <x:xf numFmtId="0" fontId="8" fillId="11" borderId="0" xfId="0" applyNumberFormat="1" applyFont="1" applyFill="1" applyBorder="1" applyAlignment="1">
      <x:alignment horizontal="left" vertical="center"/>
    </x:xf>
    <x:xf numFmtId="0" fontId="9" fillId="11" borderId="0" xfId="0" applyNumberFormat="1" applyFont="1" applyFill="1" applyBorder="1"/>
    <x:xf numFmtId="0" fontId="9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2" xfId="0" applyNumberFormat="1" applyFont="1" applyFill="1" applyBorder="1"/>
    <x:xf numFmtId="0" fontId="10" fillId="12" borderId="3" xfId="0" applyNumberFormat="1" applyFont="1" applyFill="1" applyBorder="1"/>
    <x:xf numFmtId="0" fontId="10" fillId="12" borderId="4" xfId="0" applyNumberFormat="1" applyFont="1" applyFill="1" applyBorder="1"/>
    <x:xf numFmtId="0" fontId="10" fillId="12" borderId="2" xfId="0" applyNumberFormat="1" applyFont="1" applyFill="1" applyBorder="1" applyAlignment="1">
      <x:alignment wrapText="1"/>
    </x:xf>
    <x:xf numFmtId="0" fontId="10" fillId="12" borderId="3" xfId="0" applyNumberFormat="1" applyFont="1" applyFill="1" applyBorder="1" applyAlignment="1">
      <x:alignment wrapText="1"/>
    </x:xf>
    <x:xf numFmtId="0" fontId="10" fillId="12" borderId="4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0" xfId="0" applyNumberFormat="1" applyFont="1" applyFill="1" applyBorder="1" applyAlignment="1">
      <x:alignment horizontal="left"/>
    </x:xf>
    <x:xf numFmtId="0" fontId="4" fillId="13" borderId="0" xfId="0" applyNumberFormat="1" applyFont="1" applyFill="1" applyBorder="1" applyAlignment="1">
      <x:alignment horizontal="left" vertical="center"/>
    </x:xf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4" fillId="14" borderId="1" xfId="0" applyNumberFormat="1" applyFont="1" applyFill="1" applyBorder="1"/>
    <x:xf numFmtId="0" fontId="4" fillId="14" borderId="1" xfId="0" applyNumberFormat="1" applyFont="1" applyFill="1" applyBorder="1" applyAlignment="1">
      <x:alignment wrapText="1"/>
    </x:xf>
    <x:xf numFmtId="0" fontId="4" fillId="14" borderId="1" xfId="0" applyNumberFormat="1" applyFont="1" applyFill="1" applyBorder="1" applyAlignment="1">
      <x:alignment horizontal="center" wrapText="1"/>
    </x:xf>
    <x:xf numFmtId="0" fontId="4" fillId="14" borderId="1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/>
    <x:xf numFmtId="0" fontId="5" fillId="15" borderId="1" xfId="0" applyNumberFormat="1" applyFont="1" applyFill="1" applyBorder="1"/>
    <x:xf numFmtId="0" fontId="5" fillId="15" borderId="1" xfId="0" applyNumberFormat="1" applyFont="1" applyFill="1" applyBorder="1" applyAlignment="1">
      <x:alignment wrapText="1"/>
    </x:xf>
    <x:xf numFmtId="0" fontId="5" fillId="15" borderId="1" xfId="0" applyNumberFormat="1" applyFont="1" applyFill="1" applyBorder="1" applyAlignment="1">
      <x:alignment vertical="center" wrapText="1"/>
    </x:xf>
    <x:xf numFmtId="200" fontId="5" fillId="15" borderId="1" xfId="0" applyNumberFormat="1" applyFont="1" applyFill="1" applyBorder="1" applyAlignment="1">
      <x:alignment vertical="center" wrapText="1"/>
    </x:xf>
    <x:xf numFmtId="200" fontId="5" fillId="15" borderId="1" xfId="0" applyNumberFormat="1" applyFont="1" applyFill="1" applyBorder="1" applyAlignment="1">
      <x:alignment horizontal="right" vertical="center" wrapText="1"/>
    </x:xf>
    <x:xf numFmtId="0" fontId="5" fillId="16" borderId="1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4" fillId="17" borderId="0" xfId="0" applyNumberFormat="1" applyFont="1" applyFill="1" applyBorder="1"/>
    <x:xf numFmtId="0" fontId="4" fillId="17" borderId="0" xfId="0" applyNumberFormat="1" applyFont="1" applyFill="1" applyBorder="1" applyAlignment="1">
      <x:alignment horizontal="left"/>
    </x:xf>
    <x:xf numFmtId="0" fontId="4" fillId="17" borderId="0" xfId="0" applyNumberFormat="1" applyFont="1" applyFill="1" applyBorder="1" applyAlignment="1">
      <x:alignment horizontal="left" vertical="center"/>
    </x:xf>
    <x:xf numFmtId="200" fontId="5" fillId="16" borderId="1" xfId="0" applyNumberFormat="1" applyFont="1" applyFill="1" applyBorder="1" applyAlignment="1">
      <x:alignment vertical="center" wrapText="1"/>
    </x:xf>
    <x:xf numFmtId="200" fontId="5" fillId="16" borderId="1" xfId="0" applyNumberFormat="1" applyFont="1" applyFill="1" applyBorder="1" applyAlignment="1">
      <x:alignment horizontal="right" vertical="center" wrapText="1"/>
    </x:xf>
    <x:xf numFmtId="0" fontId="5" fillId="12" borderId="1" xfId="0" applyNumberFormat="1" applyFont="1" applyFill="1" applyBorder="1" applyAlignment="1">
      <x:alignment vertical="center" wrapText="1"/>
    </x:xf>
    <x:xf numFmtId="0" fontId="3" fillId="12" borderId="1" xfId="0" applyNumberFormat="1" applyFont="1" applyFill="1" applyBorder="1" applyAlignment="1">
      <x:alignment vertical="center" wrapText="1"/>
    </x:xf>
    <x:xf numFmtId="0" fontId="3" fillId="12" borderId="5" xfId="0" applyNumberFormat="1" applyFont="1" applyFill="1" applyBorder="1" applyAlignment="1">
      <x:alignment vertical="center" wrapText="1"/>
    </x:xf>
    <x:xf numFmtId="200" fontId="3" fillId="16" borderId="1" xfId="0" applyNumberFormat="1" applyFont="1" applyFill="1" applyBorder="1" applyAlignment="1">
      <x:alignment horizontal="right" vertical="center" wrapText="1"/>
    </x:xf>
    <x:xf numFmtId="200" fontId="3" fillId="16" borderId="5" xfId="0" applyNumberFormat="1" applyFont="1" applyFill="1" applyBorder="1" applyAlignment="1">
      <x:alignment horizontal="right" vertical="center" wrapText="1"/>
    </x:xf>
    <x:xf numFmtId="0" fontId="4" fillId="14" borderId="0" xfId="0" applyNumberFormat="1" applyFont="1" applyFill="1" applyBorder="1" applyAlignment="1">
      <x:alignment horizontal="left"/>
    </x:xf>
    <x:xf numFmtId="0" fontId="4" fillId="14" borderId="0" xfId="0" applyNumberFormat="1" applyFont="1" applyFill="1" applyBorder="1" applyAlignment="1">
      <x:alignment horizontal="left" vertical="center"/>
    </x:xf>
    <x:xf numFmtId="0" fontId="0" fillId="18" borderId="0" xfId="0" applyNumberFormat="1" applyFont="1" applyFill="1" applyBorder="1"/>
    <x:xf numFmtId="0" fontId="4" fillId="18" borderId="0" xfId="0" applyNumberFormat="1" applyFont="1" applyFill="1" applyBorder="1"/>
    <x:xf numFmtId="0" fontId="4" fillId="18" borderId="0" xfId="0" applyNumberFormat="1" applyFont="1" applyFill="1" applyBorder="1" applyAlignment="1">
      <x:alignment horizontal="left"/>
    </x:xf>
    <x:xf numFmtId="0" fontId="4" fillId="18" borderId="0" xfId="0" applyNumberFormat="1" applyFont="1" applyFill="1" applyBorder="1" applyAlignment="1">
      <x:alignment horizontal="left" vertical="center"/>
    </x:xf>
    <x:xf numFmtId="200" fontId="5" fillId="12" borderId="1" xfId="0" applyNumberFormat="1" applyFont="1" applyFill="1" applyBorder="1" applyAlignment="1">
      <x:alignment horizontal="right" vertical="center" wrapText="1"/>
    </x:xf>
    <x:xf numFmtId="200" fontId="3" fillId="12" borderId="1" xfId="0" applyNumberFormat="1" applyFont="1" applyFill="1" applyBorder="1" applyAlignment="1">
      <x:alignment horizontal="right" vertical="center" wrapText="1"/>
    </x:xf>
    <x:xf numFmtId="0" fontId="5" fillId="19" borderId="1" xfId="0" applyNumberFormat="1" applyFont="1" applyFill="1" applyBorder="1" applyAlignment="1">
      <x:alignment vertical="center" wrapText="1"/>
    </x:xf>
    <x:xf numFmtId="0" fontId="11" fillId="19" borderId="1" xfId="0" applyNumberFormat="1" applyFont="1" applyFill="1" applyBorder="1" applyAlignment="1">
      <x:alignment vertical="center" wrapText="1"/>
    </x:xf>
    <x:xf numFmtId="165" fontId="5" fillId="16" borderId="1" xfId="0" applyNumberFormat="1" applyFont="1" applyFill="1" applyBorder="1" applyAlignment="1">
      <x:alignment vertical="center" wrapText="1"/>
    </x:xf>
    <x:xf numFmtId="165" fontId="5" fillId="16" borderId="1" xfId="0" applyNumberFormat="1" applyFont="1" applyFill="1" applyBorder="1" applyAlignment="1">
      <x:alignment horizontal="right" vertical="center" wrapText="1"/>
    </x:xf>
    <x:xf numFmtId="0" fontId="12" fillId="12" borderId="0" xfId="0" applyNumberFormat="1" applyFont="1" applyFill="1" applyBorder="1"/>
    <x:xf numFmtId="0" fontId="12" fillId="12" borderId="2" xfId="0" applyNumberFormat="1" applyFont="1" applyFill="1" applyBorder="1"/>
    <x:xf numFmtId="0" fontId="12" fillId="12" borderId="3" xfId="0" applyNumberFormat="1" applyFont="1" applyFill="1" applyBorder="1"/>
    <x:xf numFmtId="0" fontId="12" fillId="12" borderId="4" xfId="0" applyNumberFormat="1" applyFont="1" applyFill="1" applyBorder="1"/>
    <x:xf numFmtId="0" fontId="12" fillId="12" borderId="2" xfId="0" applyNumberFormat="1" applyFont="1" applyFill="1" applyBorder="1" applyAlignment="1">
      <x:alignment wrapText="1"/>
    </x:xf>
    <x:xf numFmtId="0" fontId="12" fillId="12" borderId="3" xfId="0" applyNumberFormat="1" applyFont="1" applyFill="1" applyBorder="1" applyAlignment="1">
      <x:alignment wrapText="1"/>
    </x:xf>
    <x:xf numFmtId="0" fontId="12" fillId="12" borderId="4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0" fillId="16" borderId="0" xfId="0" applyNumberFormat="1" applyFont="1" applyFill="1" applyBorder="1"/>
    <x:xf numFmtId="0" fontId="10" fillId="16" borderId="6" xfId="0" applyNumberFormat="1" applyFont="1" applyFill="1" applyBorder="1"/>
    <x:xf numFmtId="0" fontId="10" fillId="16" borderId="7" xfId="0" applyNumberFormat="1" applyFont="1" applyFill="1" applyBorder="1"/>
    <x:xf numFmtId="0" fontId="10" fillId="16" borderId="8" xfId="0" applyNumberFormat="1" applyFont="1" applyFill="1" applyBorder="1"/>
    <x:xf numFmtId="0" fontId="10" fillId="16" borderId="9" xfId="0" applyNumberFormat="1" applyFont="1" applyFill="1" applyBorder="1"/>
    <x:xf numFmtId="0" fontId="10" fillId="16" borderId="10" xfId="0" applyNumberFormat="1" applyFont="1" applyFill="1" applyBorder="1"/>
    <x:xf numFmtId="0" fontId="10" fillId="16" borderId="11" xfId="0" applyNumberFormat="1" applyFont="1" applyFill="1" applyBorder="1"/>
    <x:xf numFmtId="0" fontId="10" fillId="16" borderId="12" xfId="0" applyNumberFormat="1" applyFont="1" applyFill="1" applyBorder="1"/>
    <x:xf numFmtId="0" fontId="10" fillId="16" borderId="13" xfId="0" applyNumberFormat="1" applyFont="1" applyFill="1" applyBorder="1"/>
    <x:xf numFmtId="0" fontId="10" fillId="16" borderId="6" xfId="0" applyNumberFormat="1" applyFont="1" applyFill="1" applyBorder="1" applyAlignment="1">
      <x:alignment wrapText="1"/>
    </x:xf>
    <x:xf numFmtId="0" fontId="10" fillId="16" borderId="7" xfId="0" applyNumberFormat="1" applyFont="1" applyFill="1" applyBorder="1" applyAlignment="1">
      <x:alignment wrapText="1"/>
    </x:xf>
    <x:xf numFmtId="0" fontId="10" fillId="16" borderId="8" xfId="0" applyNumberFormat="1" applyFont="1" applyFill="1" applyBorder="1" applyAlignment="1">
      <x:alignment wrapText="1"/>
    </x:xf>
    <x:xf numFmtId="0" fontId="10" fillId="16" borderId="9" xfId="0" applyNumberFormat="1" applyFont="1" applyFill="1" applyBorder="1" applyAlignment="1">
      <x:alignment wrapText="1"/>
    </x:xf>
    <x:xf numFmtId="0" fontId="10" fillId="16" borderId="0" xfId="0" applyNumberFormat="1" applyFont="1" applyFill="1" applyBorder="1" applyAlignment="1">
      <x:alignment wrapText="1"/>
    </x:xf>
    <x:xf numFmtId="0" fontId="10" fillId="16" borderId="10" xfId="0" applyNumberFormat="1" applyFont="1" applyFill="1" applyBorder="1" applyAlignment="1">
      <x:alignment wrapText="1"/>
    </x:xf>
    <x:xf numFmtId="0" fontId="10" fillId="16" borderId="11" xfId="0" applyNumberFormat="1" applyFont="1" applyFill="1" applyBorder="1" applyAlignment="1">
      <x:alignment wrapText="1"/>
    </x:xf>
    <x:xf numFmtId="0" fontId="10" fillId="16" borderId="12" xfId="0" applyNumberFormat="1" applyFont="1" applyFill="1" applyBorder="1" applyAlignment="1">
      <x:alignment wrapText="1"/>
    </x:xf>
    <x:xf numFmtId="0" fontId="10" fillId="16" borderId="13" xfId="0" applyNumberFormat="1" applyFont="1" applyFill="1" applyBorder="1" applyAlignment="1">
      <x:alignment wrapText="1"/>
    </x:xf>
    <x:xf numFmtId="0" fontId="10" fillId="16" borderId="6" xfId="0" applyNumberFormat="1" applyFont="1" applyFill="1" applyBorder="1" applyAlignment="1">
      <x:alignment vertical="top" wrapText="1"/>
    </x:xf>
    <x:xf numFmtId="0" fontId="10" fillId="16" borderId="7" xfId="0" applyNumberFormat="1" applyFont="1" applyFill="1" applyBorder="1" applyAlignment="1">
      <x:alignment vertical="top" wrapText="1"/>
    </x:xf>
    <x:xf numFmtId="0" fontId="10" fillId="16" borderId="8" xfId="0" applyNumberFormat="1" applyFont="1" applyFill="1" applyBorder="1" applyAlignment="1">
      <x:alignment vertical="top" wrapText="1"/>
    </x:xf>
    <x:xf numFmtId="0" fontId="10" fillId="16" borderId="9" xfId="0" applyNumberFormat="1" applyFont="1" applyFill="1" applyBorder="1" applyAlignment="1">
      <x:alignment vertical="top" wrapText="1"/>
    </x:xf>
    <x:xf numFmtId="0" fontId="10" fillId="16" borderId="0" xfId="0" applyNumberFormat="1" applyFont="1" applyFill="1" applyBorder="1" applyAlignment="1">
      <x:alignment vertical="top" wrapText="1"/>
    </x:xf>
    <x:xf numFmtId="0" fontId="10" fillId="16" borderId="10" xfId="0" applyNumberFormat="1" applyFont="1" applyFill="1" applyBorder="1" applyAlignment="1">
      <x:alignment vertical="top" wrapText="1"/>
    </x:xf>
    <x:xf numFmtId="0" fontId="10" fillId="16" borderId="11" xfId="0" applyNumberFormat="1" applyFont="1" applyFill="1" applyBorder="1" applyAlignment="1">
      <x:alignment vertical="top" wrapText="1"/>
    </x:xf>
    <x:xf numFmtId="0" fontId="10" fillId="16" borderId="12" xfId="0" applyNumberFormat="1" applyFont="1" applyFill="1" applyBorder="1" applyAlignment="1">
      <x:alignment vertical="top" wrapText="1"/>
    </x:xf>
    <x:xf numFmtId="0" fontId="10" fillId="16" borderId="13" xfId="0" applyNumberFormat="1" applyFont="1" applyFill="1" applyBorder="1" applyAlignment="1">
      <x:alignment vertical="top" wrapText="1"/>
    </x:xf>
    <x:xf numFmtId="0" fontId="13" fillId="19" borderId="1" xfId="0" applyNumberFormat="1" applyFont="1" applyFill="1" applyBorder="1" applyAlignment="1">
      <x:alignment vertical="center" wrapText="1"/>
    </x:xf>
    <x:xf numFmtId="0" fontId="8" fillId="11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13" borderId="0" xfId="0" applyNumberFormat="1" applyFont="1" applyFill="1" applyBorder="1" applyAlignment="1">
      <x:alignment horizontal="left" vertical="center" wrapText="1"/>
    </x:xf>
    <x:xf numFmtId="0" fontId="4" fillId="17" borderId="0" xfId="0" applyNumberFormat="1" applyFont="1" applyFill="1" applyBorder="1" applyAlignment="1">
      <x:alignment horizontal="left" vertical="center" wrapText="1"/>
    </x:xf>
    <x:xf numFmtId="0" fontId="0" fillId="20" borderId="0" xfId="0" applyNumberFormat="1" applyFont="1" applyFill="1" applyBorder="1"/>
    <x:xf numFmtId="0" fontId="8" fillId="20" borderId="0" xfId="0" applyNumberFormat="1" applyFont="1" applyFill="1" applyBorder="1"/>
    <x:xf numFmtId="0" fontId="8" fillId="20" borderId="0" xfId="0" applyNumberFormat="1" applyFont="1" applyFill="1" applyBorder="1" applyAlignment="1">
      <x:alignment horizontal="left"/>
    </x:xf>
    <x:xf numFmtId="0" fontId="8" fillId="20" borderId="0" xfId="0" applyNumberFormat="1" applyFont="1" applyFill="1" applyBorder="1" applyAlignment="1">
      <x:alignment horizontal="left" vertical="center"/>
    </x:xf>
    <x:xf numFmtId="0" fontId="9" fillId="20" borderId="0" xfId="0" applyNumberFormat="1" applyFont="1" applyFill="1" applyBorder="1"/>
    <x:xf numFmtId="0" fontId="9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10" fillId="21" borderId="0" xfId="0" applyNumberFormat="1" applyFont="1" applyFill="1" applyBorder="1"/>
    <x:xf numFmtId="0" fontId="10" fillId="21" borderId="2" xfId="0" applyNumberFormat="1" applyFont="1" applyFill="1" applyBorder="1"/>
    <x:xf numFmtId="0" fontId="10" fillId="21" borderId="3" xfId="0" applyNumberFormat="1" applyFont="1" applyFill="1" applyBorder="1"/>
    <x:xf numFmtId="0" fontId="10" fillId="21" borderId="4" xfId="0" applyNumberFormat="1" applyFont="1" applyFill="1" applyBorder="1"/>
    <x:xf numFmtId="0" fontId="10" fillId="21" borderId="2" xfId="0" applyNumberFormat="1" applyFont="1" applyFill="1" applyBorder="1" applyAlignment="1">
      <x:alignment wrapText="1"/>
    </x:xf>
    <x:xf numFmtId="0" fontId="10" fillId="21" borderId="3" xfId="0" applyNumberFormat="1" applyFont="1" applyFill="1" applyBorder="1" applyAlignment="1">
      <x:alignment wrapText="1"/>
    </x:xf>
    <x:xf numFmtId="0" fontId="10" fillId="21" borderId="4" xfId="0" applyNumberFormat="1" applyFont="1" applyFill="1" applyBorder="1" applyAlignment="1">
      <x:alignment wrapText="1"/>
    </x:xf>
    <x:xf numFmtId="0" fontId="0" fillId="22" borderId="0" xfId="0" applyNumberFormat="1" applyFont="1" applyFill="1" applyBorder="1"/>
    <x:xf numFmtId="0" fontId="4" fillId="22" borderId="0" xfId="0" applyNumberFormat="1" applyFont="1" applyFill="1" applyBorder="1"/>
    <x:xf numFmtId="0" fontId="4" fillId="22" borderId="0" xfId="0" applyNumberFormat="1" applyFont="1" applyFill="1" applyBorder="1" applyAlignment="1">
      <x:alignment horizontal="left"/>
    </x:xf>
    <x:xf numFmtId="0" fontId="4" fillId="22" borderId="0" xfId="0" applyNumberFormat="1" applyFont="1" applyFill="1" applyBorder="1" applyAlignment="1">
      <x:alignment horizontal="left" vertical="center"/>
    </x:xf>
    <x:xf numFmtId="0" fontId="0" fillId="23" borderId="0" xfId="0" applyNumberFormat="1" applyFont="1" applyFill="1" applyBorder="1"/>
    <x:xf numFmtId="0" fontId="4" fillId="23" borderId="0" xfId="0" applyNumberFormat="1" applyFont="1" applyFill="1" applyBorder="1"/>
    <x:xf numFmtId="0" fontId="4" fillId="23" borderId="1" xfId="0" applyNumberFormat="1" applyFont="1" applyFill="1" applyBorder="1"/>
    <x:xf numFmtId="0" fontId="4" fillId="23" borderId="1" xfId="0" applyNumberFormat="1" applyFont="1" applyFill="1" applyBorder="1" applyAlignment="1">
      <x:alignment wrapText="1"/>
    </x:xf>
    <x:xf numFmtId="0" fontId="4" fillId="23" borderId="1" xfId="0" applyNumberFormat="1" applyFont="1" applyFill="1" applyBorder="1" applyAlignment="1">
      <x:alignment horizontal="center" wrapText="1"/>
    </x:xf>
    <x:xf numFmtId="0" fontId="4" fillId="23" borderId="1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/>
    <x:xf numFmtId="0" fontId="5" fillId="24" borderId="0" xfId="0" applyNumberFormat="1" applyFont="1" applyFill="1" applyBorder="1"/>
    <x:xf numFmtId="0" fontId="5" fillId="24" borderId="1" xfId="0" applyNumberFormat="1" applyFont="1" applyFill="1" applyBorder="1"/>
    <x:xf numFmtId="0" fontId="5" fillId="24" borderId="1" xfId="0" applyNumberFormat="1" applyFont="1" applyFill="1" applyBorder="1" applyAlignment="1">
      <x:alignment wrapText="1"/>
    </x:xf>
    <x:xf numFmtId="0" fontId="5" fillId="24" borderId="1" xfId="0" applyNumberFormat="1" applyFont="1" applyFill="1" applyBorder="1" applyAlignment="1">
      <x:alignment vertical="center" wrapText="1"/>
    </x:xf>
    <x:xf numFmtId="200" fontId="5" fillId="24" borderId="1" xfId="0" applyNumberFormat="1" applyFont="1" applyFill="1" applyBorder="1" applyAlignment="1">
      <x:alignment vertical="center" wrapText="1"/>
    </x:xf>
    <x:xf numFmtId="200" fontId="5" fillId="24" borderId="1" xfId="0" applyNumberFormat="1" applyFont="1" applyFill="1" applyBorder="1" applyAlignment="1">
      <x:alignment horizontal="right" vertical="center" wrapText="1"/>
    </x:xf>
    <x:xf numFmtId="0" fontId="5" fillId="25" borderId="1" xfId="0" applyNumberFormat="1" applyFont="1" applyFill="1" applyBorder="1" applyAlignment="1">
      <x:alignment vertical="center" wrapText="1"/>
    </x:xf>
    <x:xf numFmtId="0" fontId="0" fillId="26" borderId="0" xfId="0" applyNumberFormat="1" applyFont="1" applyFill="1" applyBorder="1"/>
    <x:xf numFmtId="0" fontId="4" fillId="26" borderId="0" xfId="0" applyNumberFormat="1" applyFont="1" applyFill="1" applyBorder="1"/>
    <x:xf numFmtId="0" fontId="4" fillId="26" borderId="0" xfId="0" applyNumberFormat="1" applyFont="1" applyFill="1" applyBorder="1" applyAlignment="1">
      <x:alignment horizontal="left"/>
    </x:xf>
    <x:xf numFmtId="0" fontId="4" fillId="26" borderId="0" xfId="0" applyNumberFormat="1" applyFont="1" applyFill="1" applyBorder="1" applyAlignment="1">
      <x:alignment horizontal="left" vertical="center"/>
    </x:xf>
    <x:xf numFmtId="200" fontId="5" fillId="25" borderId="1" xfId="0" applyNumberFormat="1" applyFont="1" applyFill="1" applyBorder="1" applyAlignment="1">
      <x:alignment vertical="center" wrapText="1"/>
    </x:xf>
    <x:xf numFmtId="200" fontId="5" fillId="25" borderId="1" xfId="0" applyNumberFormat="1" applyFont="1" applyFill="1" applyBorder="1" applyAlignment="1">
      <x:alignment horizontal="right" vertical="center" wrapText="1"/>
    </x:xf>
    <x:xf numFmtId="0" fontId="5" fillId="21" borderId="1" xfId="0" applyNumberFormat="1" applyFont="1" applyFill="1" applyBorder="1" applyAlignment="1">
      <x:alignment vertical="center" wrapText="1"/>
    </x:xf>
    <x:xf numFmtId="0" fontId="3" fillId="21" borderId="1" xfId="0" applyNumberFormat="1" applyFont="1" applyFill="1" applyBorder="1" applyAlignment="1">
      <x:alignment vertical="center" wrapText="1"/>
    </x:xf>
    <x:xf numFmtId="0" fontId="3" fillId="21" borderId="5" xfId="0" applyNumberFormat="1" applyFont="1" applyFill="1" applyBorder="1" applyAlignment="1">
      <x:alignment vertical="center" wrapText="1"/>
    </x:xf>
    <x:xf numFmtId="200" fontId="3" fillId="25" borderId="1" xfId="0" applyNumberFormat="1" applyFont="1" applyFill="1" applyBorder="1" applyAlignment="1">
      <x:alignment horizontal="right" vertical="center" wrapText="1"/>
    </x:xf>
    <x:xf numFmtId="200" fontId="3" fillId="25" borderId="5" xfId="0" applyNumberFormat="1" applyFont="1" applyFill="1" applyBorder="1" applyAlignment="1">
      <x:alignment horizontal="right" vertical="center" wrapText="1"/>
    </x:xf>
    <x:xf numFmtId="0" fontId="4" fillId="23" borderId="0" xfId="0" applyNumberFormat="1" applyFont="1" applyFill="1" applyBorder="1" applyAlignment="1">
      <x:alignment horizontal="left"/>
    </x:xf>
    <x:xf numFmtId="0" fontId="4" fillId="23" borderId="0" xfId="0" applyNumberFormat="1" applyFont="1" applyFill="1" applyBorder="1" applyAlignment="1">
      <x:alignment horizontal="left" vertical="center"/>
    </x:xf>
    <x:xf numFmtId="0" fontId="0" fillId="27" borderId="0" xfId="0" applyNumberFormat="1" applyFont="1" applyFill="1" applyBorder="1"/>
    <x:xf numFmtId="0" fontId="4" fillId="27" borderId="0" xfId="0" applyNumberFormat="1" applyFont="1" applyFill="1" applyBorder="1"/>
    <x:xf numFmtId="0" fontId="4" fillId="27" borderId="0" xfId="0" applyNumberFormat="1" applyFont="1" applyFill="1" applyBorder="1" applyAlignment="1">
      <x:alignment horizontal="left"/>
    </x:xf>
    <x:xf numFmtId="0" fontId="4" fillId="27" borderId="0" xfId="0" applyNumberFormat="1" applyFont="1" applyFill="1" applyBorder="1" applyAlignment="1">
      <x:alignment horizontal="left" vertical="center"/>
    </x:xf>
    <x:xf numFmtId="200" fontId="5" fillId="21" borderId="1" xfId="0" applyNumberFormat="1" applyFont="1" applyFill="1" applyBorder="1" applyAlignment="1">
      <x:alignment horizontal="right" vertical="center" wrapText="1"/>
    </x:xf>
    <x:xf numFmtId="200" fontId="3" fillId="21" borderId="1" xfId="0" applyNumberFormat="1" applyFont="1" applyFill="1" applyBorder="1" applyAlignment="1">
      <x:alignment horizontal="right" vertical="center" wrapText="1"/>
    </x:xf>
    <x:xf numFmtId="0" fontId="5" fillId="28" borderId="1" xfId="0" applyNumberFormat="1" applyFont="1" applyFill="1" applyBorder="1" applyAlignment="1">
      <x:alignment vertical="center" wrapText="1"/>
    </x:xf>
    <x:xf numFmtId="0" fontId="11" fillId="28" borderId="1" xfId="0" applyNumberFormat="1" applyFont="1" applyFill="1" applyBorder="1" applyAlignment="1">
      <x:alignment vertical="center" wrapText="1"/>
    </x:xf>
    <x:xf numFmtId="165" fontId="5" fillId="25" borderId="1" xfId="0" applyNumberFormat="1" applyFont="1" applyFill="1" applyBorder="1" applyAlignment="1">
      <x:alignment vertical="center" wrapText="1"/>
    </x:xf>
    <x:xf numFmtId="165" fontId="5" fillId="25" borderId="1" xfId="0" applyNumberFormat="1" applyFont="1" applyFill="1" applyBorder="1" applyAlignment="1">
      <x:alignment horizontal="right" vertical="center" wrapText="1"/>
    </x:xf>
    <x:xf numFmtId="0" fontId="12" fillId="21" borderId="0" xfId="0" applyNumberFormat="1" applyFont="1" applyFill="1" applyBorder="1"/>
    <x:xf numFmtId="0" fontId="12" fillId="21" borderId="2" xfId="0" applyNumberFormat="1" applyFont="1" applyFill="1" applyBorder="1"/>
    <x:xf numFmtId="0" fontId="12" fillId="21" borderId="3" xfId="0" applyNumberFormat="1" applyFont="1" applyFill="1" applyBorder="1"/>
    <x:xf numFmtId="0" fontId="12" fillId="21" borderId="4" xfId="0" applyNumberFormat="1" applyFont="1" applyFill="1" applyBorder="1"/>
    <x:xf numFmtId="0" fontId="12" fillId="21" borderId="2" xfId="0" applyNumberFormat="1" applyFont="1" applyFill="1" applyBorder="1" applyAlignment="1">
      <x:alignment wrapText="1"/>
    </x:xf>
    <x:xf numFmtId="0" fontId="12" fillId="21" borderId="3" xfId="0" applyNumberFormat="1" applyFont="1" applyFill="1" applyBorder="1" applyAlignment="1">
      <x:alignment wrapText="1"/>
    </x:xf>
    <x:xf numFmtId="0" fontId="12" fillId="21" borderId="4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10" fillId="25" borderId="0" xfId="0" applyNumberFormat="1" applyFont="1" applyFill="1" applyBorder="1"/>
    <x:xf numFmtId="0" fontId="10" fillId="25" borderId="6" xfId="0" applyNumberFormat="1" applyFont="1" applyFill="1" applyBorder="1"/>
    <x:xf numFmtId="0" fontId="10" fillId="25" borderId="7" xfId="0" applyNumberFormat="1" applyFont="1" applyFill="1" applyBorder="1"/>
    <x:xf numFmtId="0" fontId="10" fillId="25" borderId="8" xfId="0" applyNumberFormat="1" applyFont="1" applyFill="1" applyBorder="1"/>
    <x:xf numFmtId="0" fontId="10" fillId="25" borderId="9" xfId="0" applyNumberFormat="1" applyFont="1" applyFill="1" applyBorder="1"/>
    <x:xf numFmtId="0" fontId="10" fillId="25" xfId="0" applyNumberFormat="1" applyFont="1" applyFill="1" applyBorder="0"/>
    <x:xf numFmtId="0" fontId="10" fillId="25" borderId="10" xfId="0" applyNumberFormat="1" applyFont="1" applyFill="1" applyBorder="1"/>
    <x:xf numFmtId="0" fontId="10" fillId="25" borderId="11" xfId="0" applyNumberFormat="1" applyFont="1" applyFill="1" applyBorder="1"/>
    <x:xf numFmtId="0" fontId="10" fillId="25" borderId="12" xfId="0" applyNumberFormat="1" applyFont="1" applyFill="1" applyBorder="1"/>
    <x:xf numFmtId="0" fontId="10" fillId="25" borderId="13" xfId="0" applyNumberFormat="1" applyFont="1" applyFill="1" applyBorder="1"/>
    <x:xf numFmtId="0" fontId="10" fillId="25" borderId="6" xfId="0" applyNumberFormat="1" applyFont="1" applyFill="1" applyBorder="1" applyAlignment="1">
      <x:alignment wrapText="1"/>
    </x:xf>
    <x:xf numFmtId="0" fontId="10" fillId="25" borderId="7" xfId="0" applyNumberFormat="1" applyFont="1" applyFill="1" applyBorder="1" applyAlignment="1">
      <x:alignment wrapText="1"/>
    </x:xf>
    <x:xf numFmtId="0" fontId="10" fillId="25" borderId="8" xfId="0" applyNumberFormat="1" applyFont="1" applyFill="1" applyBorder="1" applyAlignment="1">
      <x:alignment wrapText="1"/>
    </x:xf>
    <x:xf numFmtId="0" fontId="10" fillId="25" borderId="9" xfId="0" applyNumberFormat="1" applyFont="1" applyFill="1" applyBorder="1" applyAlignment="1">
      <x:alignment wrapText="1"/>
    </x:xf>
    <x:xf numFmtId="0" fontId="10" fillId="25" xfId="0" applyNumberFormat="1" applyFont="1" applyFill="1" applyBorder="0" applyAlignment="1">
      <x:alignment wrapText="1"/>
    </x:xf>
    <x:xf numFmtId="0" fontId="10" fillId="25" borderId="10" xfId="0" applyNumberFormat="1" applyFont="1" applyFill="1" applyBorder="1" applyAlignment="1">
      <x:alignment wrapText="1"/>
    </x:xf>
    <x:xf numFmtId="0" fontId="10" fillId="25" borderId="11" xfId="0" applyNumberFormat="1" applyFont="1" applyFill="1" applyBorder="1" applyAlignment="1">
      <x:alignment wrapText="1"/>
    </x:xf>
    <x:xf numFmtId="0" fontId="10" fillId="25" borderId="12" xfId="0" applyNumberFormat="1" applyFont="1" applyFill="1" applyBorder="1" applyAlignment="1">
      <x:alignment wrapText="1"/>
    </x:xf>
    <x:xf numFmtId="0" fontId="10" fillId="25" borderId="13" xfId="0" applyNumberFormat="1" applyFont="1" applyFill="1" applyBorder="1" applyAlignment="1">
      <x:alignment wrapText="1"/>
    </x:xf>
    <x:xf numFmtId="0" fontId="10" fillId="25" borderId="6" xfId="0" applyNumberFormat="1" applyFont="1" applyFill="1" applyBorder="1" applyAlignment="1">
      <x:alignment vertical="top" wrapText="1"/>
    </x:xf>
    <x:xf numFmtId="0" fontId="10" fillId="25" borderId="7" xfId="0" applyNumberFormat="1" applyFont="1" applyFill="1" applyBorder="1" applyAlignment="1">
      <x:alignment vertical="top" wrapText="1"/>
    </x:xf>
    <x:xf numFmtId="0" fontId="10" fillId="25" borderId="8" xfId="0" applyNumberFormat="1" applyFont="1" applyFill="1" applyBorder="1" applyAlignment="1">
      <x:alignment vertical="top" wrapText="1"/>
    </x:xf>
    <x:xf numFmtId="0" fontId="10" fillId="25" borderId="9" xfId="0" applyNumberFormat="1" applyFont="1" applyFill="1" applyBorder="1" applyAlignment="1">
      <x:alignment vertical="top" wrapText="1"/>
    </x:xf>
    <x:xf numFmtId="0" fontId="10" fillId="25" xfId="0" applyNumberFormat="1" applyFont="1" applyFill="1" applyBorder="0" applyAlignment="1">
      <x:alignment vertical="top" wrapText="1"/>
    </x:xf>
    <x:xf numFmtId="0" fontId="10" fillId="25" borderId="10" xfId="0" applyNumberFormat="1" applyFont="1" applyFill="1" applyBorder="1" applyAlignment="1">
      <x:alignment vertical="top" wrapText="1"/>
    </x:xf>
    <x:xf numFmtId="0" fontId="10" fillId="25" borderId="11" xfId="0" applyNumberFormat="1" applyFont="1" applyFill="1" applyBorder="1" applyAlignment="1">
      <x:alignment vertical="top" wrapText="1"/>
    </x:xf>
    <x:xf numFmtId="0" fontId="10" fillId="25" borderId="12" xfId="0" applyNumberFormat="1" applyFont="1" applyFill="1" applyBorder="1" applyAlignment="1">
      <x:alignment vertical="top" wrapText="1"/>
    </x:xf>
    <x:xf numFmtId="0" fontId="10" fillId="25" borderId="13" xfId="0" applyNumberFormat="1" applyFont="1" applyFill="1" applyBorder="1" applyAlignment="1">
      <x:alignment vertical="top" wrapText="1"/>
    </x:xf>
    <x:xf numFmtId="0" fontId="13" fillId="28" borderId="1" xfId="0" applyNumberFormat="1" applyFont="1" applyFill="1" applyBorder="1" applyAlignment="1">
      <x:alignment vertical="center" wrapText="1"/>
    </x:xf>
    <x:xf numFmtId="0" fontId="8" fillId="20" borderId="0" xfId="0" applyNumberFormat="1" applyFont="1" applyFill="1" applyBorder="1" applyAlignment="1">
      <x:alignment horizontal="left" vertical="center" wrapText="1"/>
    </x:xf>
    <x:xf numFmtId="0" fontId="4" fillId="22" borderId="0" xfId="0" applyNumberFormat="1" applyFont="1" applyFill="1" applyBorder="1" applyAlignment="1">
      <x:alignment horizontal="left" vertical="center" wrapText="1"/>
    </x:xf>
    <x:xf numFmtId="0" fontId="4" fillId="26" borderId="0" xfId="0" applyNumberFormat="1" applyFont="1" applyFill="1" applyBorder="1" applyAlignment="1">
      <x:alignment horizontal="left" vertical="center" wrapText="1"/>
    </x:xf>
    <x:xf numFmtId="0" fontId="0" fillId="29" borderId="0" xfId="0" applyNumberFormat="1" applyFont="1" applyFill="1" applyBorder="1"/>
    <x:xf numFmtId="0" fontId="8" fillId="29" borderId="0" xfId="0" applyNumberFormat="1" applyFont="1" applyFill="1" applyBorder="1"/>
    <x:xf numFmtId="0" fontId="8" fillId="29" borderId="0" xfId="0" applyNumberFormat="1" applyFont="1" applyFill="1" applyBorder="1" applyAlignment="1">
      <x:alignment horizontal="left"/>
    </x:xf>
    <x:xf numFmtId="0" fontId="8" fillId="29" borderId="0" xfId="0" applyNumberFormat="1" applyFont="1" applyFill="1" applyBorder="1" applyAlignment="1">
      <x:alignment horizontal="left" vertical="center"/>
    </x:xf>
    <x:xf numFmtId="0" fontId="9" fillId="29" borderId="0" xfId="0" applyNumberFormat="1" applyFont="1" applyFill="1" applyBorder="1"/>
    <x:xf numFmtId="0" fontId="9" fillId="29" borderId="0" xfId="0" applyNumberFormat="1" applyFont="1" applyFill="1" applyBorder="1" applyAlignment="1">
      <x:alignment wrapText="1"/>
    </x:xf>
    <x:xf numFmtId="0" fontId="0" fillId="30" borderId="0" xfId="0" applyNumberFormat="1" applyFont="1" applyFill="1" applyBorder="1"/>
    <x:xf numFmtId="0" fontId="10" fillId="30" borderId="0" xfId="0" applyNumberFormat="1" applyFont="1" applyFill="1" applyBorder="1"/>
    <x:xf numFmtId="0" fontId="10" fillId="30" borderId="2" xfId="0" applyNumberFormat="1" applyFont="1" applyFill="1" applyBorder="1"/>
    <x:xf numFmtId="0" fontId="10" fillId="30" borderId="3" xfId="0" applyNumberFormat="1" applyFont="1" applyFill="1" applyBorder="1"/>
    <x:xf numFmtId="0" fontId="10" fillId="30" borderId="4" xfId="0" applyNumberFormat="1" applyFont="1" applyFill="1" applyBorder="1"/>
    <x:xf numFmtId="0" fontId="10" fillId="30" borderId="2" xfId="0" applyNumberFormat="1" applyFont="1" applyFill="1" applyBorder="1" applyAlignment="1">
      <x:alignment wrapText="1"/>
    </x:xf>
    <x:xf numFmtId="0" fontId="10" fillId="30" borderId="3" xfId="0" applyNumberFormat="1" applyFont="1" applyFill="1" applyBorder="1" applyAlignment="1">
      <x:alignment wrapText="1"/>
    </x:xf>
    <x:xf numFmtId="0" fontId="10" fillId="30" borderId="4" xfId="0" applyNumberFormat="1" applyFont="1" applyFill="1" applyBorder="1" applyAlignment="1">
      <x:alignment wrapText="1"/>
    </x:xf>
    <x:xf numFmtId="0" fontId="0" fillId="31" borderId="0" xfId="0" applyNumberFormat="1" applyFont="1" applyFill="1" applyBorder="1"/>
    <x:xf numFmtId="0" fontId="4" fillId="31" borderId="0" xfId="0" applyNumberFormat="1" applyFont="1" applyFill="1" applyBorder="1"/>
    <x:xf numFmtId="0" fontId="4" fillId="31" borderId="0" xfId="0" applyNumberFormat="1" applyFont="1" applyFill="1" applyBorder="1" applyAlignment="1">
      <x:alignment horizontal="left"/>
    </x:xf>
    <x:xf numFmtId="0" fontId="4" fillId="31" borderId="0" xfId="0" applyNumberFormat="1" applyFont="1" applyFill="1" applyBorder="1" applyAlignment="1">
      <x:alignment horizontal="left" vertical="center"/>
    </x:xf>
    <x:xf numFmtId="0" fontId="0" fillId="32" borderId="0" xfId="0" applyNumberFormat="1" applyFont="1" applyFill="1" applyBorder="1"/>
    <x:xf numFmtId="0" fontId="4" fillId="32" borderId="0" xfId="0" applyNumberFormat="1" applyFont="1" applyFill="1" applyBorder="1"/>
    <x:xf numFmtId="0" fontId="4" fillId="32" borderId="1" xfId="0" applyNumberFormat="1" applyFont="1" applyFill="1" applyBorder="1"/>
    <x:xf numFmtId="0" fontId="4" fillId="32" borderId="1" xfId="0" applyNumberFormat="1" applyFont="1" applyFill="1" applyBorder="1" applyAlignment="1">
      <x:alignment wrapText="1"/>
    </x:xf>
    <x:xf numFmtId="0" fontId="4" fillId="32" borderId="1" xfId="0" applyNumberFormat="1" applyFont="1" applyFill="1" applyBorder="1" applyAlignment="1">
      <x:alignment horizontal="center" wrapText="1"/>
    </x:xf>
    <x:xf numFmtId="0" fontId="4" fillId="32" borderId="1" xfId="0" applyNumberFormat="1" applyFont="1" applyFill="1" applyBorder="1" applyAlignment="1">
      <x:alignment horizontal="center" vertical="center" wrapText="1"/>
    </x:xf>
    <x:xf numFmtId="0" fontId="0" fillId="33" borderId="0" xfId="0" applyNumberFormat="1" applyFont="1" applyFill="1" applyBorder="1"/>
    <x:xf numFmtId="0" fontId="5" fillId="33" borderId="0" xfId="0" applyNumberFormat="1" applyFont="1" applyFill="1" applyBorder="1"/>
    <x:xf numFmtId="0" fontId="5" fillId="33" borderId="1" xfId="0" applyNumberFormat="1" applyFont="1" applyFill="1" applyBorder="1"/>
    <x:xf numFmtId="0" fontId="5" fillId="33" borderId="1" xfId="0" applyNumberFormat="1" applyFont="1" applyFill="1" applyBorder="1" applyAlignment="1">
      <x:alignment wrapText="1"/>
    </x:xf>
    <x:xf numFmtId="0" fontId="5" fillId="33" borderId="1" xfId="0" applyNumberFormat="1" applyFont="1" applyFill="1" applyBorder="1" applyAlignment="1">
      <x:alignment vertical="center" wrapText="1"/>
    </x:xf>
    <x:xf numFmtId="200" fontId="5" fillId="33" borderId="1" xfId="0" applyNumberFormat="1" applyFont="1" applyFill="1" applyBorder="1" applyAlignment="1">
      <x:alignment vertical="center" wrapText="1"/>
    </x:xf>
    <x:xf numFmtId="200" fontId="5" fillId="33" borderId="1" xfId="0" applyNumberFormat="1" applyFont="1" applyFill="1" applyBorder="1" applyAlignment="1">
      <x:alignment horizontal="right" vertical="center" wrapText="1"/>
    </x:xf>
    <x:xf numFmtId="0" fontId="5" fillId="34" borderId="1" xfId="0" applyNumberFormat="1" applyFont="1" applyFill="1" applyBorder="1" applyAlignment="1">
      <x:alignment vertical="center" wrapText="1"/>
    </x:xf>
    <x:xf numFmtId="0" fontId="0" fillId="35" borderId="0" xfId="0" applyNumberFormat="1" applyFont="1" applyFill="1" applyBorder="1"/>
    <x:xf numFmtId="0" fontId="4" fillId="35" borderId="0" xfId="0" applyNumberFormat="1" applyFont="1" applyFill="1" applyBorder="1"/>
    <x:xf numFmtId="0" fontId="4" fillId="35" borderId="0" xfId="0" applyNumberFormat="1" applyFont="1" applyFill="1" applyBorder="1" applyAlignment="1">
      <x:alignment horizontal="left"/>
    </x:xf>
    <x:xf numFmtId="0" fontId="4" fillId="35" borderId="0" xfId="0" applyNumberFormat="1" applyFont="1" applyFill="1" applyBorder="1" applyAlignment="1">
      <x:alignment horizontal="left" vertical="center"/>
    </x:xf>
    <x:xf numFmtId="200" fontId="5" fillId="34" borderId="1" xfId="0" applyNumberFormat="1" applyFont="1" applyFill="1" applyBorder="1" applyAlignment="1">
      <x:alignment vertical="center" wrapText="1"/>
    </x:xf>
    <x:xf numFmtId="200" fontId="5" fillId="34" borderId="1" xfId="0" applyNumberFormat="1" applyFont="1" applyFill="1" applyBorder="1" applyAlignment="1">
      <x:alignment horizontal="right" vertical="center" wrapText="1"/>
    </x:xf>
    <x:xf numFmtId="0" fontId="5" fillId="30" borderId="1" xfId="0" applyNumberFormat="1" applyFont="1" applyFill="1" applyBorder="1" applyAlignment="1">
      <x:alignment vertical="center" wrapText="1"/>
    </x:xf>
    <x:xf numFmtId="0" fontId="3" fillId="30" borderId="1" xfId="0" applyNumberFormat="1" applyFont="1" applyFill="1" applyBorder="1" applyAlignment="1">
      <x:alignment vertical="center" wrapText="1"/>
    </x:xf>
    <x:xf numFmtId="0" fontId="3" fillId="30" borderId="5" xfId="0" applyNumberFormat="1" applyFont="1" applyFill="1" applyBorder="1" applyAlignment="1">
      <x:alignment vertical="center" wrapText="1"/>
    </x:xf>
    <x:xf numFmtId="200" fontId="3" fillId="34" borderId="1" xfId="0" applyNumberFormat="1" applyFont="1" applyFill="1" applyBorder="1" applyAlignment="1">
      <x:alignment horizontal="right" vertical="center" wrapText="1"/>
    </x:xf>
    <x:xf numFmtId="200" fontId="3" fillId="34" borderId="5" xfId="0" applyNumberFormat="1" applyFont="1" applyFill="1" applyBorder="1" applyAlignment="1">
      <x:alignment horizontal="right" vertical="center" wrapText="1"/>
    </x:xf>
    <x:xf numFmtId="0" fontId="4" fillId="32" borderId="0" xfId="0" applyNumberFormat="1" applyFont="1" applyFill="1" applyBorder="1" applyAlignment="1">
      <x:alignment horizontal="left"/>
    </x:xf>
    <x:xf numFmtId="0" fontId="4" fillId="32" borderId="0" xfId="0" applyNumberFormat="1" applyFont="1" applyFill="1" applyBorder="1" applyAlignment="1">
      <x:alignment horizontal="left" vertical="center"/>
    </x:xf>
    <x:xf numFmtId="0" fontId="0" fillId="36" borderId="0" xfId="0" applyNumberFormat="1" applyFont="1" applyFill="1" applyBorder="1"/>
    <x:xf numFmtId="0" fontId="4" fillId="36" borderId="0" xfId="0" applyNumberFormat="1" applyFont="1" applyFill="1" applyBorder="1"/>
    <x:xf numFmtId="0" fontId="4" fillId="36" borderId="0" xfId="0" applyNumberFormat="1" applyFont="1" applyFill="1" applyBorder="1" applyAlignment="1">
      <x:alignment horizontal="left"/>
    </x:xf>
    <x:xf numFmtId="0" fontId="4" fillId="36" borderId="0" xfId="0" applyNumberFormat="1" applyFont="1" applyFill="1" applyBorder="1" applyAlignment="1">
      <x:alignment horizontal="left" vertical="center"/>
    </x:xf>
    <x:xf numFmtId="200" fontId="5" fillId="30" borderId="1" xfId="0" applyNumberFormat="1" applyFont="1" applyFill="1" applyBorder="1" applyAlignment="1">
      <x:alignment horizontal="right" vertical="center" wrapText="1"/>
    </x:xf>
    <x:xf numFmtId="200" fontId="3" fillId="30" borderId="1" xfId="0" applyNumberFormat="1" applyFont="1" applyFill="1" applyBorder="1" applyAlignment="1">
      <x:alignment horizontal="right" vertical="center" wrapText="1"/>
    </x:xf>
    <x:xf numFmtId="0" fontId="5" fillId="37" borderId="1" xfId="0" applyNumberFormat="1" applyFont="1" applyFill="1" applyBorder="1" applyAlignment="1">
      <x:alignment vertical="center" wrapText="1"/>
    </x:xf>
    <x:xf numFmtId="0" fontId="11" fillId="37" borderId="1" xfId="0" applyNumberFormat="1" applyFont="1" applyFill="1" applyBorder="1" applyAlignment="1">
      <x:alignment vertical="center" wrapText="1"/>
    </x:xf>
    <x:xf numFmtId="165" fontId="5" fillId="34" borderId="1" xfId="0" applyNumberFormat="1" applyFont="1" applyFill="1" applyBorder="1" applyAlignment="1">
      <x:alignment vertical="center" wrapText="1"/>
    </x:xf>
    <x:xf numFmtId="165" fontId="5" fillId="34" borderId="1" xfId="0" applyNumberFormat="1" applyFont="1" applyFill="1" applyBorder="1" applyAlignment="1">
      <x:alignment horizontal="right" vertical="center" wrapText="1"/>
    </x:xf>
    <x:xf numFmtId="0" fontId="12" fillId="30" borderId="0" xfId="0" applyNumberFormat="1" applyFont="1" applyFill="1" applyBorder="1"/>
    <x:xf numFmtId="0" fontId="12" fillId="30" borderId="2" xfId="0" applyNumberFormat="1" applyFont="1" applyFill="1" applyBorder="1"/>
    <x:xf numFmtId="0" fontId="12" fillId="30" borderId="3" xfId="0" applyNumberFormat="1" applyFont="1" applyFill="1" applyBorder="1"/>
    <x:xf numFmtId="0" fontId="12" fillId="30" borderId="4" xfId="0" applyNumberFormat="1" applyFont="1" applyFill="1" applyBorder="1"/>
    <x:xf numFmtId="0" fontId="12" fillId="30" borderId="2" xfId="0" applyNumberFormat="1" applyFont="1" applyFill="1" applyBorder="1" applyAlignment="1">
      <x:alignment wrapText="1"/>
    </x:xf>
    <x:xf numFmtId="0" fontId="12" fillId="30" borderId="3" xfId="0" applyNumberFormat="1" applyFont="1" applyFill="1" applyBorder="1" applyAlignment="1">
      <x:alignment wrapText="1"/>
    </x:xf>
    <x:xf numFmtId="0" fontId="12" fillId="30" borderId="4" xfId="0" applyNumberFormat="1" applyFont="1" applyFill="1" applyBorder="1" applyAlignment="1">
      <x:alignment wrapText="1"/>
    </x:xf>
    <x:xf numFmtId="0" fontId="0" fillId="34" borderId="0" xfId="0" applyNumberFormat="1" applyFont="1" applyFill="1" applyBorder="1"/>
    <x:xf numFmtId="0" fontId="10" fillId="34" borderId="0" xfId="0" applyNumberFormat="1" applyFont="1" applyFill="1" applyBorder="1"/>
    <x:xf numFmtId="0" fontId="10" fillId="34" borderId="6" xfId="0" applyNumberFormat="1" applyFont="1" applyFill="1" applyBorder="1"/>
    <x:xf numFmtId="0" fontId="10" fillId="34" borderId="7" xfId="0" applyNumberFormat="1" applyFont="1" applyFill="1" applyBorder="1"/>
    <x:xf numFmtId="0" fontId="10" fillId="34" borderId="8" xfId="0" applyNumberFormat="1" applyFont="1" applyFill="1" applyBorder="1"/>
    <x:xf numFmtId="0" fontId="10" fillId="34" borderId="9" xfId="0" applyNumberFormat="1" applyFont="1" applyFill="1" applyBorder="1"/>
    <x:xf numFmtId="0" fontId="10" fillId="34" xfId="0" applyNumberFormat="1" applyFont="1" applyFill="1" applyBorder="0"/>
    <x:xf numFmtId="0" fontId="10" fillId="34" borderId="10" xfId="0" applyNumberFormat="1" applyFont="1" applyFill="1" applyBorder="1"/>
    <x:xf numFmtId="0" fontId="10" fillId="34" borderId="11" xfId="0" applyNumberFormat="1" applyFont="1" applyFill="1" applyBorder="1"/>
    <x:xf numFmtId="0" fontId="10" fillId="34" borderId="12" xfId="0" applyNumberFormat="1" applyFont="1" applyFill="1" applyBorder="1"/>
    <x:xf numFmtId="0" fontId="10" fillId="34" borderId="13" xfId="0" applyNumberFormat="1" applyFont="1" applyFill="1" applyBorder="1"/>
    <x:xf numFmtId="0" fontId="10" fillId="34" borderId="6" xfId="0" applyNumberFormat="1" applyFont="1" applyFill="1" applyBorder="1" applyAlignment="1">
      <x:alignment wrapText="1"/>
    </x:xf>
    <x:xf numFmtId="0" fontId="10" fillId="34" borderId="7" xfId="0" applyNumberFormat="1" applyFont="1" applyFill="1" applyBorder="1" applyAlignment="1">
      <x:alignment wrapText="1"/>
    </x:xf>
    <x:xf numFmtId="0" fontId="10" fillId="34" borderId="8" xfId="0" applyNumberFormat="1" applyFont="1" applyFill="1" applyBorder="1" applyAlignment="1">
      <x:alignment wrapText="1"/>
    </x:xf>
    <x:xf numFmtId="0" fontId="10" fillId="34" borderId="9" xfId="0" applyNumberFormat="1" applyFont="1" applyFill="1" applyBorder="1" applyAlignment="1">
      <x:alignment wrapText="1"/>
    </x:xf>
    <x:xf numFmtId="0" fontId="10" fillId="34" xfId="0" applyNumberFormat="1" applyFont="1" applyFill="1" applyBorder="0" applyAlignment="1">
      <x:alignment wrapText="1"/>
    </x:xf>
    <x:xf numFmtId="0" fontId="10" fillId="34" borderId="10" xfId="0" applyNumberFormat="1" applyFont="1" applyFill="1" applyBorder="1" applyAlignment="1">
      <x:alignment wrapText="1"/>
    </x:xf>
    <x:xf numFmtId="0" fontId="10" fillId="34" borderId="11" xfId="0" applyNumberFormat="1" applyFont="1" applyFill="1" applyBorder="1" applyAlignment="1">
      <x:alignment wrapText="1"/>
    </x:xf>
    <x:xf numFmtId="0" fontId="10" fillId="34" borderId="12" xfId="0" applyNumberFormat="1" applyFont="1" applyFill="1" applyBorder="1" applyAlignment="1">
      <x:alignment wrapText="1"/>
    </x:xf>
    <x:xf numFmtId="0" fontId="10" fillId="34" borderId="13" xfId="0" applyNumberFormat="1" applyFont="1" applyFill="1" applyBorder="1" applyAlignment="1">
      <x:alignment wrapText="1"/>
    </x:xf>
    <x:xf numFmtId="0" fontId="10" fillId="34" borderId="6" xfId="0" applyNumberFormat="1" applyFont="1" applyFill="1" applyBorder="1" applyAlignment="1">
      <x:alignment vertical="top" wrapText="1"/>
    </x:xf>
    <x:xf numFmtId="0" fontId="10" fillId="34" borderId="7" xfId="0" applyNumberFormat="1" applyFont="1" applyFill="1" applyBorder="1" applyAlignment="1">
      <x:alignment vertical="top" wrapText="1"/>
    </x:xf>
    <x:xf numFmtId="0" fontId="10" fillId="34" borderId="8" xfId="0" applyNumberFormat="1" applyFont="1" applyFill="1" applyBorder="1" applyAlignment="1">
      <x:alignment vertical="top" wrapText="1"/>
    </x:xf>
    <x:xf numFmtId="0" fontId="10" fillId="34" borderId="9" xfId="0" applyNumberFormat="1" applyFont="1" applyFill="1" applyBorder="1" applyAlignment="1">
      <x:alignment vertical="top" wrapText="1"/>
    </x:xf>
    <x:xf numFmtId="0" fontId="10" fillId="34" xfId="0" applyNumberFormat="1" applyFont="1" applyFill="1" applyBorder="0" applyAlignment="1">
      <x:alignment vertical="top" wrapText="1"/>
    </x:xf>
    <x:xf numFmtId="0" fontId="10" fillId="34" borderId="10" xfId="0" applyNumberFormat="1" applyFont="1" applyFill="1" applyBorder="1" applyAlignment="1">
      <x:alignment vertical="top" wrapText="1"/>
    </x:xf>
    <x:xf numFmtId="0" fontId="10" fillId="34" borderId="11" xfId="0" applyNumberFormat="1" applyFont="1" applyFill="1" applyBorder="1" applyAlignment="1">
      <x:alignment vertical="top" wrapText="1"/>
    </x:xf>
    <x:xf numFmtId="0" fontId="10" fillId="34" borderId="12" xfId="0" applyNumberFormat="1" applyFont="1" applyFill="1" applyBorder="1" applyAlignment="1">
      <x:alignment vertical="top" wrapText="1"/>
    </x:xf>
    <x:xf numFmtId="0" fontId="10" fillId="34" borderId="13" xfId="0" applyNumberFormat="1" applyFont="1" applyFill="1" applyBorder="1" applyAlignment="1">
      <x:alignment vertical="top" wrapText="1"/>
    </x:xf>
    <x:xf numFmtId="0" fontId="13" fillId="37" borderId="1" xfId="0" applyNumberFormat="1" applyFont="1" applyFill="1" applyBorder="1" applyAlignment="1">
      <x:alignment vertical="center" wrapText="1"/>
    </x:xf>
    <x:xf numFmtId="0" fontId="8" fillId="29" borderId="0" xfId="0" applyNumberFormat="1" applyFont="1" applyFill="1" applyBorder="1" applyAlignment="1">
      <x:alignment horizontal="left" vertical="center" wrapText="1"/>
    </x:xf>
    <x:xf numFmtId="0" fontId="4" fillId="31" borderId="0" xfId="0" applyNumberFormat="1" applyFont="1" applyFill="1" applyBorder="1" applyAlignment="1">
      <x:alignment horizontal="left" vertical="center" wrapText="1"/>
    </x:xf>
    <x:xf numFmtId="0" fontId="4" fillId="35" borderId="0" xfId="0" applyNumberFormat="1" applyFont="1" applyFill="1" applyBorder="1" applyAlignment="1">
      <x:alignment horizontal="left" vertical="center" wrapText="1"/>
    </x:xf>
    <x:xf numFmtId="0" fontId="0" fillId="38" borderId="0" xfId="0" applyNumberFormat="1" applyFont="1" applyFill="1" applyBorder="1"/>
    <x:xf numFmtId="0" fontId="8" fillId="38" borderId="0" xfId="0" applyNumberFormat="1" applyFont="1" applyFill="1" applyBorder="1"/>
    <x:xf numFmtId="0" fontId="8" fillId="38" borderId="0" xfId="0" applyNumberFormat="1" applyFont="1" applyFill="1" applyBorder="1" applyAlignment="1">
      <x:alignment horizontal="left"/>
    </x:xf>
    <x:xf numFmtId="0" fontId="8" fillId="38" borderId="0" xfId="0" applyNumberFormat="1" applyFont="1" applyFill="1" applyBorder="1" applyAlignment="1">
      <x:alignment horizontal="left" vertical="center"/>
    </x:xf>
    <x:xf numFmtId="0" fontId="9" fillId="38" borderId="0" xfId="0" applyNumberFormat="1" applyFont="1" applyFill="1" applyBorder="1"/>
    <x:xf numFmtId="0" fontId="9" fillId="38" borderId="0" xfId="0" applyNumberFormat="1" applyFont="1" applyFill="1" applyBorder="1" applyAlignment="1">
      <x:alignment wrapText="1"/>
    </x:xf>
    <x:xf numFmtId="0" fontId="0" fillId="39" borderId="0" xfId="0" applyNumberFormat="1" applyFont="1" applyFill="1" applyBorder="1"/>
    <x:xf numFmtId="0" fontId="10" fillId="39" borderId="0" xfId="0" applyNumberFormat="1" applyFont="1" applyFill="1" applyBorder="1"/>
    <x:xf numFmtId="0" fontId="10" fillId="39" borderId="2" xfId="0" applyNumberFormat="1" applyFont="1" applyFill="1" applyBorder="1"/>
    <x:xf numFmtId="0" fontId="10" fillId="39" borderId="3" xfId="0" applyNumberFormat="1" applyFont="1" applyFill="1" applyBorder="1"/>
    <x:xf numFmtId="0" fontId="10" fillId="39" borderId="4" xfId="0" applyNumberFormat="1" applyFont="1" applyFill="1" applyBorder="1"/>
    <x:xf numFmtId="0" fontId="10" fillId="39" borderId="2" xfId="0" applyNumberFormat="1" applyFont="1" applyFill="1" applyBorder="1" applyAlignment="1">
      <x:alignment wrapText="1"/>
    </x:xf>
    <x:xf numFmtId="0" fontId="10" fillId="39" borderId="3" xfId="0" applyNumberFormat="1" applyFont="1" applyFill="1" applyBorder="1" applyAlignment="1">
      <x:alignment wrapText="1"/>
    </x:xf>
    <x:xf numFmtId="0" fontId="10" fillId="39" borderId="4" xfId="0" applyNumberFormat="1" applyFont="1" applyFill="1" applyBorder="1" applyAlignment="1">
      <x:alignment wrapText="1"/>
    </x:xf>
    <x:xf numFmtId="0" fontId="0" fillId="40" borderId="0" xfId="0" applyNumberFormat="1" applyFont="1" applyFill="1" applyBorder="1"/>
    <x:xf numFmtId="0" fontId="4" fillId="40" borderId="0" xfId="0" applyNumberFormat="1" applyFont="1" applyFill="1" applyBorder="1"/>
    <x:xf numFmtId="0" fontId="4" fillId="40" borderId="0" xfId="0" applyNumberFormat="1" applyFont="1" applyFill="1" applyBorder="1" applyAlignment="1">
      <x:alignment horizontal="left"/>
    </x:xf>
    <x:xf numFmtId="0" fontId="4" fillId="40" borderId="0" xfId="0" applyNumberFormat="1" applyFont="1" applyFill="1" applyBorder="1" applyAlignment="1">
      <x:alignment horizontal="left" vertical="center"/>
    </x:xf>
    <x:xf numFmtId="0" fontId="0" fillId="41" borderId="0" xfId="0" applyNumberFormat="1" applyFont="1" applyFill="1" applyBorder="1"/>
    <x:xf numFmtId="0" fontId="4" fillId="41" borderId="0" xfId="0" applyNumberFormat="1" applyFont="1" applyFill="1" applyBorder="1"/>
    <x:xf numFmtId="0" fontId="4" fillId="41" borderId="1" xfId="0" applyNumberFormat="1" applyFont="1" applyFill="1" applyBorder="1"/>
    <x:xf numFmtId="0" fontId="4" fillId="41" borderId="1" xfId="0" applyNumberFormat="1" applyFont="1" applyFill="1" applyBorder="1" applyAlignment="1">
      <x:alignment wrapText="1"/>
    </x:xf>
    <x:xf numFmtId="0" fontId="4" fillId="41" borderId="1" xfId="0" applyNumberFormat="1" applyFont="1" applyFill="1" applyBorder="1" applyAlignment="1">
      <x:alignment horizontal="center" wrapText="1"/>
    </x:xf>
    <x:xf numFmtId="0" fontId="4" fillId="41" borderId="1" xfId="0" applyNumberFormat="1" applyFont="1" applyFill="1" applyBorder="1" applyAlignment="1">
      <x:alignment horizontal="center" vertical="center" wrapText="1"/>
    </x:xf>
    <x:xf numFmtId="0" fontId="0" fillId="42" borderId="0" xfId="0" applyNumberFormat="1" applyFont="1" applyFill="1" applyBorder="1"/>
    <x:xf numFmtId="0" fontId="5" fillId="42" borderId="0" xfId="0" applyNumberFormat="1" applyFont="1" applyFill="1" applyBorder="1"/>
    <x:xf numFmtId="0" fontId="5" fillId="42" borderId="1" xfId="0" applyNumberFormat="1" applyFont="1" applyFill="1" applyBorder="1"/>
    <x:xf numFmtId="0" fontId="5" fillId="42" borderId="1" xfId="0" applyNumberFormat="1" applyFont="1" applyFill="1" applyBorder="1" applyAlignment="1">
      <x:alignment wrapText="1"/>
    </x:xf>
    <x:xf numFmtId="0" fontId="5" fillId="42" borderId="1" xfId="0" applyNumberFormat="1" applyFont="1" applyFill="1" applyBorder="1" applyAlignment="1">
      <x:alignment vertical="center" wrapText="1"/>
    </x:xf>
    <x:xf numFmtId="200" fontId="5" fillId="42" borderId="1" xfId="0" applyNumberFormat="1" applyFont="1" applyFill="1" applyBorder="1" applyAlignment="1">
      <x:alignment vertical="center" wrapText="1"/>
    </x:xf>
    <x:xf numFmtId="200" fontId="5" fillId="42" borderId="1" xfId="0" applyNumberFormat="1" applyFont="1" applyFill="1" applyBorder="1" applyAlignment="1">
      <x:alignment horizontal="right" vertical="center" wrapText="1"/>
    </x:xf>
    <x:xf numFmtId="0" fontId="5" fillId="43" borderId="1" xfId="0" applyNumberFormat="1" applyFont="1" applyFill="1" applyBorder="1" applyAlignment="1">
      <x:alignment vertical="center" wrapText="1"/>
    </x:xf>
    <x:xf numFmtId="0" fontId="0" fillId="44" borderId="0" xfId="0" applyNumberFormat="1" applyFont="1" applyFill="1" applyBorder="1"/>
    <x:xf numFmtId="0" fontId="4" fillId="44" borderId="0" xfId="0" applyNumberFormat="1" applyFont="1" applyFill="1" applyBorder="1"/>
    <x:xf numFmtId="0" fontId="4" fillId="44" borderId="0" xfId="0" applyNumberFormat="1" applyFont="1" applyFill="1" applyBorder="1" applyAlignment="1">
      <x:alignment horizontal="left"/>
    </x:xf>
    <x:xf numFmtId="0" fontId="4" fillId="44" borderId="0" xfId="0" applyNumberFormat="1" applyFont="1" applyFill="1" applyBorder="1" applyAlignment="1">
      <x:alignment horizontal="left" vertical="center"/>
    </x:xf>
    <x:xf numFmtId="200" fontId="5" fillId="43" borderId="1" xfId="0" applyNumberFormat="1" applyFont="1" applyFill="1" applyBorder="1" applyAlignment="1">
      <x:alignment vertical="center" wrapText="1"/>
    </x:xf>
    <x:xf numFmtId="200" fontId="5" fillId="43" borderId="1" xfId="0" applyNumberFormat="1" applyFont="1" applyFill="1" applyBorder="1" applyAlignment="1">
      <x:alignment horizontal="right" vertical="center" wrapText="1"/>
    </x:xf>
    <x:xf numFmtId="0" fontId="5" fillId="39" borderId="1" xfId="0" applyNumberFormat="1" applyFont="1" applyFill="1" applyBorder="1" applyAlignment="1">
      <x:alignment vertical="center" wrapText="1"/>
    </x:xf>
    <x:xf numFmtId="0" fontId="3" fillId="39" borderId="1" xfId="0" applyNumberFormat="1" applyFont="1" applyFill="1" applyBorder="1" applyAlignment="1">
      <x:alignment vertical="center" wrapText="1"/>
    </x:xf>
    <x:xf numFmtId="0" fontId="3" fillId="39" borderId="5" xfId="0" applyNumberFormat="1" applyFont="1" applyFill="1" applyBorder="1" applyAlignment="1">
      <x:alignment vertical="center" wrapText="1"/>
    </x:xf>
    <x:xf numFmtId="200" fontId="3" fillId="43" borderId="1" xfId="0" applyNumberFormat="1" applyFont="1" applyFill="1" applyBorder="1" applyAlignment="1">
      <x:alignment horizontal="right" vertical="center" wrapText="1"/>
    </x:xf>
    <x:xf numFmtId="200" fontId="3" fillId="43" borderId="5" xfId="0" applyNumberFormat="1" applyFont="1" applyFill="1" applyBorder="1" applyAlignment="1">
      <x:alignment horizontal="right" vertical="center" wrapText="1"/>
    </x:xf>
    <x:xf numFmtId="0" fontId="4" fillId="41" borderId="0" xfId="0" applyNumberFormat="1" applyFont="1" applyFill="1" applyBorder="1" applyAlignment="1">
      <x:alignment horizontal="left"/>
    </x:xf>
    <x:xf numFmtId="0" fontId="4" fillId="41" borderId="0" xfId="0" applyNumberFormat="1" applyFont="1" applyFill="1" applyBorder="1" applyAlignment="1">
      <x:alignment horizontal="left" vertical="center"/>
    </x:xf>
    <x:xf numFmtId="0" fontId="0" fillId="45" borderId="0" xfId="0" applyNumberFormat="1" applyFont="1" applyFill="1" applyBorder="1"/>
    <x:xf numFmtId="0" fontId="4" fillId="45" borderId="0" xfId="0" applyNumberFormat="1" applyFont="1" applyFill="1" applyBorder="1"/>
    <x:xf numFmtId="0" fontId="4" fillId="45" borderId="0" xfId="0" applyNumberFormat="1" applyFont="1" applyFill="1" applyBorder="1" applyAlignment="1">
      <x:alignment horizontal="left"/>
    </x:xf>
    <x:xf numFmtId="0" fontId="4" fillId="45" borderId="0" xfId="0" applyNumberFormat="1" applyFont="1" applyFill="1" applyBorder="1" applyAlignment="1">
      <x:alignment horizontal="left" vertical="center"/>
    </x:xf>
    <x:xf numFmtId="200" fontId="5" fillId="39" borderId="1" xfId="0" applyNumberFormat="1" applyFont="1" applyFill="1" applyBorder="1" applyAlignment="1">
      <x:alignment horizontal="right" vertical="center" wrapText="1"/>
    </x:xf>
    <x:xf numFmtId="200" fontId="3" fillId="39" borderId="1" xfId="0" applyNumberFormat="1" applyFont="1" applyFill="1" applyBorder="1" applyAlignment="1">
      <x:alignment horizontal="right" vertical="center" wrapText="1"/>
    </x:xf>
    <x:xf numFmtId="0" fontId="5" fillId="46" borderId="1" xfId="0" applyNumberFormat="1" applyFont="1" applyFill="1" applyBorder="1" applyAlignment="1">
      <x:alignment vertical="center" wrapText="1"/>
    </x:xf>
    <x:xf numFmtId="0" fontId="11" fillId="46" borderId="1" xfId="0" applyNumberFormat="1" applyFont="1" applyFill="1" applyBorder="1" applyAlignment="1">
      <x:alignment vertical="center" wrapText="1"/>
    </x:xf>
    <x:xf numFmtId="165" fontId="5" fillId="43" borderId="1" xfId="0" applyNumberFormat="1" applyFont="1" applyFill="1" applyBorder="1" applyAlignment="1">
      <x:alignment vertical="center" wrapText="1"/>
    </x:xf>
    <x:xf numFmtId="165" fontId="5" fillId="43" borderId="1" xfId="0" applyNumberFormat="1" applyFont="1" applyFill="1" applyBorder="1" applyAlignment="1">
      <x:alignment horizontal="right" vertical="center" wrapText="1"/>
    </x:xf>
    <x:xf numFmtId="0" fontId="12" fillId="39" borderId="0" xfId="0" applyNumberFormat="1" applyFont="1" applyFill="1" applyBorder="1"/>
    <x:xf numFmtId="0" fontId="12" fillId="39" borderId="2" xfId="0" applyNumberFormat="1" applyFont="1" applyFill="1" applyBorder="1"/>
    <x:xf numFmtId="0" fontId="12" fillId="39" borderId="3" xfId="0" applyNumberFormat="1" applyFont="1" applyFill="1" applyBorder="1"/>
    <x:xf numFmtId="0" fontId="12" fillId="39" borderId="4" xfId="0" applyNumberFormat="1" applyFont="1" applyFill="1" applyBorder="1"/>
    <x:xf numFmtId="0" fontId="12" fillId="39" borderId="2" xfId="0" applyNumberFormat="1" applyFont="1" applyFill="1" applyBorder="1" applyAlignment="1">
      <x:alignment wrapText="1"/>
    </x:xf>
    <x:xf numFmtId="0" fontId="12" fillId="39" borderId="3" xfId="0" applyNumberFormat="1" applyFont="1" applyFill="1" applyBorder="1" applyAlignment="1">
      <x:alignment wrapText="1"/>
    </x:xf>
    <x:xf numFmtId="0" fontId="12" fillId="39" borderId="4" xfId="0" applyNumberFormat="1" applyFont="1" applyFill="1" applyBorder="1" applyAlignment="1">
      <x:alignment wrapText="1"/>
    </x:xf>
    <x:xf numFmtId="0" fontId="0" fillId="43" borderId="0" xfId="0" applyNumberFormat="1" applyFont="1" applyFill="1" applyBorder="1"/>
    <x:xf numFmtId="0" fontId="10" fillId="43" borderId="0" xfId="0" applyNumberFormat="1" applyFont="1" applyFill="1" applyBorder="1"/>
    <x:xf numFmtId="0" fontId="10" fillId="43" borderId="6" xfId="0" applyNumberFormat="1" applyFont="1" applyFill="1" applyBorder="1"/>
    <x:xf numFmtId="0" fontId="10" fillId="43" borderId="7" xfId="0" applyNumberFormat="1" applyFont="1" applyFill="1" applyBorder="1"/>
    <x:xf numFmtId="0" fontId="10" fillId="43" borderId="8" xfId="0" applyNumberFormat="1" applyFont="1" applyFill="1" applyBorder="1"/>
    <x:xf numFmtId="0" fontId="10" fillId="43" borderId="9" xfId="0" applyNumberFormat="1" applyFont="1" applyFill="1" applyBorder="1"/>
    <x:xf numFmtId="0" fontId="10" fillId="43" xfId="0" applyNumberFormat="1" applyFont="1" applyFill="1" applyBorder="0"/>
    <x:xf numFmtId="0" fontId="10" fillId="43" borderId="10" xfId="0" applyNumberFormat="1" applyFont="1" applyFill="1" applyBorder="1"/>
    <x:xf numFmtId="0" fontId="10" fillId="43" borderId="11" xfId="0" applyNumberFormat="1" applyFont="1" applyFill="1" applyBorder="1"/>
    <x:xf numFmtId="0" fontId="10" fillId="43" borderId="12" xfId="0" applyNumberFormat="1" applyFont="1" applyFill="1" applyBorder="1"/>
    <x:xf numFmtId="0" fontId="10" fillId="43" borderId="13" xfId="0" applyNumberFormat="1" applyFont="1" applyFill="1" applyBorder="1"/>
    <x:xf numFmtId="0" fontId="10" fillId="43" borderId="6" xfId="0" applyNumberFormat="1" applyFont="1" applyFill="1" applyBorder="1" applyAlignment="1">
      <x:alignment wrapText="1"/>
    </x:xf>
    <x:xf numFmtId="0" fontId="10" fillId="43" borderId="7" xfId="0" applyNumberFormat="1" applyFont="1" applyFill="1" applyBorder="1" applyAlignment="1">
      <x:alignment wrapText="1"/>
    </x:xf>
    <x:xf numFmtId="0" fontId="10" fillId="43" borderId="8" xfId="0" applyNumberFormat="1" applyFont="1" applyFill="1" applyBorder="1" applyAlignment="1">
      <x:alignment wrapText="1"/>
    </x:xf>
    <x:xf numFmtId="0" fontId="10" fillId="43" borderId="9" xfId="0" applyNumberFormat="1" applyFont="1" applyFill="1" applyBorder="1" applyAlignment="1">
      <x:alignment wrapText="1"/>
    </x:xf>
    <x:xf numFmtId="0" fontId="10" fillId="43" xfId="0" applyNumberFormat="1" applyFont="1" applyFill="1" applyBorder="0" applyAlignment="1">
      <x:alignment wrapText="1"/>
    </x:xf>
    <x:xf numFmtId="0" fontId="10" fillId="43" borderId="10" xfId="0" applyNumberFormat="1" applyFont="1" applyFill="1" applyBorder="1" applyAlignment="1">
      <x:alignment wrapText="1"/>
    </x:xf>
    <x:xf numFmtId="0" fontId="10" fillId="43" borderId="11" xfId="0" applyNumberFormat="1" applyFont="1" applyFill="1" applyBorder="1" applyAlignment="1">
      <x:alignment wrapText="1"/>
    </x:xf>
    <x:xf numFmtId="0" fontId="10" fillId="43" borderId="12" xfId="0" applyNumberFormat="1" applyFont="1" applyFill="1" applyBorder="1" applyAlignment="1">
      <x:alignment wrapText="1"/>
    </x:xf>
    <x:xf numFmtId="0" fontId="10" fillId="43" borderId="13" xfId="0" applyNumberFormat="1" applyFont="1" applyFill="1" applyBorder="1" applyAlignment="1">
      <x:alignment wrapText="1"/>
    </x:xf>
    <x:xf numFmtId="0" fontId="10" fillId="43" borderId="6" xfId="0" applyNumberFormat="1" applyFont="1" applyFill="1" applyBorder="1" applyAlignment="1">
      <x:alignment vertical="top" wrapText="1"/>
    </x:xf>
    <x:xf numFmtId="0" fontId="10" fillId="43" borderId="7" xfId="0" applyNumberFormat="1" applyFont="1" applyFill="1" applyBorder="1" applyAlignment="1">
      <x:alignment vertical="top" wrapText="1"/>
    </x:xf>
    <x:xf numFmtId="0" fontId="10" fillId="43" borderId="8" xfId="0" applyNumberFormat="1" applyFont="1" applyFill="1" applyBorder="1" applyAlignment="1">
      <x:alignment vertical="top" wrapText="1"/>
    </x:xf>
    <x:xf numFmtId="0" fontId="10" fillId="43" borderId="9" xfId="0" applyNumberFormat="1" applyFont="1" applyFill="1" applyBorder="1" applyAlignment="1">
      <x:alignment vertical="top" wrapText="1"/>
    </x:xf>
    <x:xf numFmtId="0" fontId="10" fillId="43" xfId="0" applyNumberFormat="1" applyFont="1" applyFill="1" applyBorder="0" applyAlignment="1">
      <x:alignment vertical="top" wrapText="1"/>
    </x:xf>
    <x:xf numFmtId="0" fontId="10" fillId="43" borderId="10" xfId="0" applyNumberFormat="1" applyFont="1" applyFill="1" applyBorder="1" applyAlignment="1">
      <x:alignment vertical="top" wrapText="1"/>
    </x:xf>
    <x:xf numFmtId="0" fontId="10" fillId="43" borderId="11" xfId="0" applyNumberFormat="1" applyFont="1" applyFill="1" applyBorder="1" applyAlignment="1">
      <x:alignment vertical="top" wrapText="1"/>
    </x:xf>
    <x:xf numFmtId="0" fontId="10" fillId="43" borderId="12" xfId="0" applyNumberFormat="1" applyFont="1" applyFill="1" applyBorder="1" applyAlignment="1">
      <x:alignment vertical="top" wrapText="1"/>
    </x:xf>
    <x:xf numFmtId="0" fontId="10" fillId="43" borderId="13" xfId="0" applyNumberFormat="1" applyFont="1" applyFill="1" applyBorder="1" applyAlignment="1">
      <x:alignment vertical="top" wrapText="1"/>
    </x:xf>
    <x:xf numFmtId="0" fontId="13" fillId="46" borderId="1" xfId="0" applyNumberFormat="1" applyFont="1" applyFill="1" applyBorder="1" applyAlignment="1">
      <x:alignment vertical="center" wrapText="1"/>
    </x:xf>
    <x:xf numFmtId="0" fontId="8" fillId="38" borderId="0" xfId="0" applyNumberFormat="1" applyFont="1" applyFill="1" applyBorder="1" applyAlignment="1">
      <x:alignment horizontal="left" vertical="center" wrapText="1"/>
    </x:xf>
    <x:xf numFmtId="0" fontId="4" fillId="40" borderId="0" xfId="0" applyNumberFormat="1" applyFont="1" applyFill="1" applyBorder="1" applyAlignment="1">
      <x:alignment horizontal="left" vertical="center" wrapText="1"/>
    </x:xf>
    <x:xf numFmtId="0" fontId="4" fillId="44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24">
    <x:dxf>
      <x:font>
        <x:b/>
        <x:color rgb="FF4A7C5E"/>
      </x:font>
      <x:fill>
        <x:patternFill>
          <x:bgColor rgb="FFD9EAD3"/>
        </x:patternFill>
      </x:fill>
    </x:dxf>
    <x:dxf>
      <x:font>
        <x:b/>
        <x:color rgb="FF9C4A2B"/>
      </x:font>
      <x:fill>
        <x:patternFill>
          <x:bgColor rgb="FFF4CCCC"/>
        </x:patternFill>
      </x:fill>
    </x:dxf>
    <x:dxf>
      <x:font>
        <x:b/>
        <x:color rgb="FF4A7C5E"/>
      </x:font>
      <x:fill>
        <x:patternFill>
          <x:bgColor rgb="FFD9EAD3"/>
        </x:patternFill>
      </x:fill>
    </x:dxf>
    <x:dxf>
      <x:font>
        <x:b/>
        <x:color rgb="FF9C4A2B"/>
      </x:font>
      <x:fill>
        <x:patternFill>
          <x:bgColor rgb="FFF4CCCC"/>
        </x:patternFill>
      </x:fill>
    </x:dxf>
    <x:dxf>
      <x:font>
        <x:b/>
        <x:color rgb="FF4A7C5E"/>
      </x:font>
      <x:fill>
        <x:patternFill>
          <x:bgColor rgb="FFD9EAD3"/>
        </x:patternFill>
      </x:fill>
    </x:dxf>
    <x:dxf>
      <x:font>
        <x:b/>
        <x:color rgb="FF9C4A2B"/>
      </x:font>
      <x:fill>
        <x:patternFill>
          <x:bgColor rgb="FFF4CCCC"/>
        </x:patternFill>
      </x:fill>
    </x:dxf>
    <x:dxf>
      <x:font>
        <x:b/>
        <x:color rgb="FF4A7C5E"/>
      </x:font>
      <x:fill>
        <x:patternFill>
          <x:bgColor rgb="FFD9EAD3"/>
        </x:patternFill>
      </x:fill>
    </x:dxf>
    <x:dxf>
      <x:font>
        <x:b/>
        <x:color rgb="FF9C4A2B"/>
      </x:font>
      <x:fill>
        <x:patternFill>
          <x:bgColor rgb="FFF4CCCC"/>
        </x:patternFill>
      </x:fill>
    </x:dxf>
    <x:dxf>
      <x:font>
        <x:b/>
        <x:color rgb="FF4A7C5E"/>
      </x:font>
      <x:fill>
        <x:patternFill>
          <x:bgColor rgb="FFD9EAD3"/>
        </x:patternFill>
      </x:fill>
    </x:dxf>
    <x:dxf>
      <x:font>
        <x:b/>
        <x:color rgb="FF9C4A2B"/>
      </x:font>
      <x:fill>
        <x:patternFill>
          <x:bgColor rgb="FFF4CCCC"/>
        </x:patternFill>
      </x:fill>
    </x:dxf>
    <x:dxf>
      <x:font>
        <x:b/>
        <x:color rgb="FF4A7C5E"/>
      </x:font>
      <x:fill>
        <x:patternFill>
          <x:bgColor rgb="FFD9EAD3"/>
        </x:patternFill>
      </x:fill>
    </x:dxf>
    <x:dxf>
      <x:font>
        <x:b/>
        <x:color rgb="FF9C4A2B"/>
      </x:font>
      <x:fill>
        <x:patternFill>
          <x:bgColor rgb="FFF4CCCC"/>
        </x:patternFill>
      </x:fill>
    </x:dxf>
    <x:dxf>
      <x:font>
        <x:b/>
        <x:color rgb="FF4A7C5E"/>
      </x:font>
      <x:fill>
        <x:patternFill>
          <x:bgColor rgb="FFD9EAD3"/>
        </x:patternFill>
      </x:fill>
    </x:dxf>
    <x:dxf>
      <x:font>
        <x:b/>
        <x:color rgb="FF9C4A2B"/>
      </x:font>
      <x:fill>
        <x:patternFill>
          <x:bgColor rgb="FFF4CCCC"/>
        </x:patternFill>
      </x:fill>
    </x:dxf>
    <x:dxf>
      <x:font>
        <x:b/>
        <x:color rgb="FF4A7C5E"/>
      </x:font>
      <x:fill>
        <x:patternFill>
          <x:bgColor rgb="FFD9EAD3"/>
        </x:patternFill>
      </x:fill>
    </x:dxf>
    <x:dxf>
      <x:font>
        <x:b/>
        <x:color rgb="FF9C4A2B"/>
      </x:font>
      <x:fill>
        <x:patternFill>
          <x:bgColor rgb="FFF4CCCC"/>
        </x:patternFill>
      </x:fill>
    </x:dxf>
    <x:dxf>
      <x:font>
        <x:b/>
        <x:color rgb="FF4A7C5E"/>
      </x:font>
      <x:fill>
        <x:patternFill>
          <x:bgColor rgb="FFD9EAD3"/>
        </x:patternFill>
      </x:fill>
    </x:dxf>
    <x:dxf>
      <x:font>
        <x:b/>
        <x:color rgb="FF9C4A2B"/>
      </x:font>
      <x:fill>
        <x:patternFill>
          <x:bgColor rgb="FFF4CCCC"/>
        </x:patternFill>
      </x:fill>
    </x:dxf>
    <x:dxf>
      <x:font>
        <x:b/>
        <x:color rgb="FF4A7C5E"/>
      </x:font>
      <x:fill>
        <x:patternFill patternType="solid">
          <x:bgColor rgb="FFD9EAD3"/>
        </x:patternFill>
      </x:fill>
    </x:dxf>
    <x:dxf>
      <x:font>
        <x:b/>
        <x:color rgb="FF9C4A2B"/>
      </x:font>
      <x:fill>
        <x:patternFill patternType="solid">
          <x:bgColor rgb="FFF4CCCC"/>
        </x:patternFill>
      </x:fill>
    </x:dxf>
    <x:dxf>
      <x:font>
        <x:b/>
        <x:color rgb="FF4A7C5E"/>
      </x:font>
      <x:fill>
        <x:patternFill patternType="solid">
          <x:bgColor rgb="FFD9EAD3"/>
        </x:patternFill>
      </x:fill>
    </x:dxf>
    <x:dxf>
      <x:font>
        <x:b/>
        <x:color rgb="FF9C4A2B"/>
      </x:font>
      <x:fill>
        <x:patternFill patternType="solid">
          <x:bgColor rgb="FFF4CCCC"/>
        </x:patternFill>
      </x:fill>
    </x:dxf>
    <x:dxf>
      <x:font>
        <x:b/>
        <x:color rgb="FF4A7C5E"/>
      </x:font>
      <x:fill>
        <x:patternFill patternType="solid">
          <x:bgColor rgb="FFD9EAD3"/>
        </x:patternFill>
      </x:fill>
    </x:dxf>
    <x:dxf>
      <x:font>
        <x:b/>
        <x:color rgb="FF9C4A2B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570f02a71b49dc" /><Relationship Type="http://schemas.openxmlformats.org/officeDocument/2006/relationships/theme" Target="/xl/theme/theme1.xml" Id="R952a9fb10ee84696" /><Relationship Type="http://schemas.openxmlformats.org/officeDocument/2006/relationships/sharedStrings" Target="/xl/sharedStrings.xml" Id="R519df2aaeec24a64" /><Relationship Type="http://schemas.openxmlformats.org/officeDocument/2006/relationships/worksheet" Target="/xl/worksheets/sheet1.xml" Id="R0e70c526392c4a84" /><Relationship Type="http://schemas.openxmlformats.org/officeDocument/2006/relationships/worksheet" Target="/xl/worksheets/sheet2.xml" Id="Re63e3150a96e403e" /><Relationship Type="http://schemas.openxmlformats.org/officeDocument/2006/relationships/worksheet" Target="/xl/worksheets/sheet3.xml" Id="R3e1a8011ebb540cd" /><Relationship Type="http://schemas.openxmlformats.org/officeDocument/2006/relationships/worksheet" Target="/xl/worksheets/sheet4.xml" Id="R5852ae9d63334f6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4" customWidth="1"/>
    <x:col min="2" max="2" width="26" customWidth="1"/>
    <x:col min="3" max="3" width="58" customWidth="1"/>
    <x:col min="4" max="4" width="20" customWidth="1"/>
    <x:col min="5" max="6" width="18" customWidth="1"/>
  </x:cols>
  <x:sheetData>
    <x:row r="1" ht="28" customHeight="1">
      <x:c r="A1" s="19" t="s">
        <x:v>0</x:v>
      </x:c>
      <x:c r="B1" s="17"/>
      <x:c r="C1" s="17"/>
      <x:c r="D1" s="17"/>
      <x:c r="E1" s="17"/>
      <x:c r="F1" s="17"/>
    </x:row>
    <x:row r="2" ht="22" customHeight="1">
      <x:c r="A2" s="18" t="s">
        <x:v>1</x:v>
      </x:c>
      <x:c r="B2" s="17"/>
      <x:c r="C2" s="17"/>
      <x:c r="D2" s="17"/>
      <x:c r="E2" s="17"/>
      <x:c r="F2" s="17"/>
    </x:row>
    <x:row r="3">
      <x:c r="A3" s="1"/>
      <x:c r="B3" s="1"/>
      <x:c r="C3" s="1"/>
      <x:c r="D3" s="1"/>
      <x:c r="E3" s="1"/>
      <x:c r="F3" s="1"/>
    </x:row>
    <x:row r="4" ht="42" customHeight="1">
      <x:c r="A4" s="1"/>
      <x:c r="B4" s="23" t="str">
        <x:v>Use this workbook with the M11 slide deck. Live You Try It is self-graded practice; begin Class Challenge in class and finish it as homework.</x:v>
      </x:c>
      <x:c r="C4" s="24"/>
      <x:c r="D4" s="17"/>
      <x:c r="E4" s="17"/>
      <x:c r="F4" s="17"/>
    </x:row>
    <x:row r="5">
      <x:c r="A5" s="1"/>
      <x:c r="B5" s="1"/>
      <x:c r="C5" s="1"/>
      <x:c r="D5" s="1"/>
      <x:c r="E5" s="1"/>
      <x:c r="F5" s="1"/>
    </x:row>
    <x:row r="6" ht="16">
      <x:c r="A6" s="1"/>
      <x:c r="B6" s="1" t="s">
        <x:v>2</x:v>
      </x:c>
      <x:c r="C6" s="2"/>
      <x:c r="D6" s="1"/>
      <x:c r="E6" s="1"/>
      <x:c r="F6" s="1"/>
    </x:row>
    <x:row r="7" ht="16">
      <x:c r="A7" s="1"/>
      <x:c r="B7" s="1" t="s">
        <x:v>3</x:v>
      </x:c>
      <x:c r="C7" s="2"/>
      <x:c r="D7" s="1"/>
      <x:c r="E7" s="1"/>
      <x:c r="F7" s="1"/>
    </x:row>
    <x:row r="8" ht="16">
      <x:c r="A8" s="1"/>
      <x:c r="B8" s="1" t="s">
        <x:v>4</x:v>
      </x:c>
      <x:c r="C8" s="1" t="s">
        <x:v>5</x:v>
      </x:c>
      <x:c r="D8" s="1"/>
      <x:c r="E8" s="1"/>
      <x:c r="F8" s="1"/>
    </x:row>
    <x:row r="9">
      <x:c r="A9" s="1"/>
      <x:c r="B9" s="1"/>
      <x:c r="C9" s="1"/>
      <x:c r="D9" s="1"/>
      <x:c r="E9" s="1"/>
      <x:c r="F9" s="1"/>
    </x:row>
    <x:row r="10">
      <x:c r="A10" s="1"/>
      <x:c r="B10" s="21" t="s">
        <x:v>6</x:v>
      </x:c>
      <x:c r="C10" s="17"/>
      <x:c r="D10" s="17"/>
      <x:c r="E10" s="17"/>
      <x:c r="F10" s="1"/>
    </x:row>
    <x:row r="11" ht="48" customHeight="1">
      <x:c r="A11" s="1"/>
      <x:c r="B11" s="3" t="s">
        <x:v>7</x:v>
      </x:c>
      <x:c r="C11" s="25" t="s">
        <x:v>8</x:v>
      </x:c>
      <x:c r="D11" s="1"/>
      <x:c r="E11" s="1"/>
      <x:c r="F11" s="1"/>
    </x:row>
    <x:row r="12" ht="48" customHeight="1">
      <x:c r="A12" s="1"/>
      <x:c r="B12" s="3" t="s">
        <x:v>9</x:v>
      </x:c>
      <x:c r="C12" s="25" t="str">
        <x:v>Integrated statement tie-out. Classify the business facts, link them into simplified income-statement, balance-sheet, and cash-flow sections, complete the controls, and support one management red flag.</x:v>
      </x:c>
      <x:c r="D12" s="1"/>
      <x:c r="E12" s="1"/>
      <x:c r="F12" s="1"/>
    </x:row>
    <x:row r="13" ht="48" customHeight="1">
      <x:c r="A13" s="1"/>
      <x:c r="B13" s="3" t="s">
        <x:v>10</x:v>
      </x:c>
      <x:c r="C13" s="25" t="str">
        <x:v>Formula syntax reminders for both the practice rows and integrated tie-out. It shows patterns, not completed graded answers.</x:v>
      </x:c>
      <x:c r="D13" s="1"/>
      <x:c r="E13" s="1"/>
      <x:c r="F13" s="1"/>
    </x:row>
    <x:row r="14">
      <x:c r="A14" s="1"/>
      <x:c r="B14" s="1"/>
      <x:c r="C14" s="1"/>
      <x:c r="D14" s="1"/>
      <x:c r="E14" s="1"/>
      <x:c r="F14" s="1"/>
    </x:row>
    <x:row r="15">
      <x:c r="A15" s="1"/>
      <x:c r="B15" s="1"/>
      <x:c r="C15" s="1"/>
      <x:c r="D15" s="1"/>
      <x:c r="E15" s="1"/>
      <x:c r="F15" s="1"/>
    </x:row>
    <x:row r="16">
      <x:c r="A16" s="1"/>
      <x:c r="B16" s="20" t="s">
        <x:v>11</x:v>
      </x:c>
      <x:c r="C16" s="17"/>
      <x:c r="D16" s="17"/>
      <x:c r="E16" s="17"/>
      <x:c r="F16" s="1"/>
    </x:row>
    <x:row r="17" ht="34" customHeight="1">
      <x:c r="A17" s="1"/>
      <x:c r="B17" s="4" t="s">
        <x:v>12</x:v>
      </x:c>
      <x:c r="C17" s="3" t="s">
        <x:v>13</x:v>
      </x:c>
      <x:c r="D17" s="1"/>
      <x:c r="E17" s="1"/>
      <x:c r="F17" s="1"/>
    </x:row>
    <x:row r="18" ht="34" customHeight="1">
      <x:c r="A18" s="1"/>
      <x:c r="B18" s="5" t="s">
        <x:v>14</x:v>
      </x:c>
      <x:c r="C18" s="3" t="s">
        <x:v>15</x:v>
      </x:c>
      <x:c r="D18" s="1"/>
      <x:c r="E18" s="1"/>
      <x:c r="F18" s="1"/>
    </x:row>
    <x:row r="19" ht="34" customHeight="1">
      <x:c r="A19" s="1"/>
      <x:c r="B19" s="6" t="s">
        <x:v>16</x:v>
      </x:c>
      <x:c r="C19" s="3" t="s">
        <x:v>17</x:v>
      </x:c>
      <x:c r="D19" s="1"/>
      <x:c r="E19" s="1"/>
      <x:c r="F19" s="1"/>
    </x:row>
  </x:sheetData>
  <x:mergeCells>
    <x:mergeCell ref="B4:F4"/>
    <x:mergeCell ref="A2:F2"/>
    <x:mergeCell ref="A1:F1"/>
    <x:mergeCell ref="B16:E16"/>
    <x:mergeCell ref="B10:E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2" width="10" customWidth="1"/>
    <x:col min="3" max="3" width="30.5" customWidth="1"/>
    <x:col min="4" max="8" width="15" customWidth="1"/>
    <x:col min="9" max="9" width="18" customWidth="1"/>
    <x:col min="10" max="10" width="24" customWidth="1"/>
    <x:col min="11" max="11" width="48.6640625" customWidth="1"/>
  </x:cols>
  <x:sheetData>
    <x:row r="1" ht="28" customHeight="1">
      <x:c r="A1" s="19" t="s">
        <x:v>18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</x:row>
    <x:row r="2" ht="22" customHeight="1">
      <x:c r="A2" s="18" t="s">
        <x:v>19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4" customHeight="1">
      <x:c r="A4" s="16" t="s">
        <x:v>20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30">
      <x:c r="A6" s="7" t="s">
        <x:v>21</x:v>
      </x:c>
      <x:c r="B6" s="7" t="s">
        <x:v>22</x:v>
      </x:c>
      <x:c r="C6" s="7" t="s">
        <x:v>23</x:v>
      </x:c>
      <x:c r="D6" s="7" t="s">
        <x:v>24</x:v>
      </x:c>
      <x:c r="E6" s="7" t="s">
        <x:v>25</x:v>
      </x:c>
      <x:c r="F6" s="7" t="s">
        <x:v>26</x:v>
      </x:c>
      <x:c r="G6" s="7" t="s">
        <x:v>27</x:v>
      </x:c>
      <x:c r="H6" s="7" t="s">
        <x:v>28</x:v>
      </x:c>
      <x:c r="I6" s="7" t="s">
        <x:v>29</x:v>
      </x:c>
      <x:c r="J6" s="7" t="s">
        <x:v>30</x:v>
      </x:c>
      <x:c r="K6" s="7" t="s">
        <x:v>31</x:v>
      </x:c>
    </x:row>
    <x:row r="7" ht="42" customHeight="1">
      <x:c r="A7" s="3" t="s">
        <x:v>32</x:v>
      </x:c>
      <x:c r="B7" s="3" t="s">
        <x:v>33</x:v>
      </x:c>
      <x:c r="C7" s="3" t="s">
        <x:v>34</x:v>
      </x:c>
      <x:c r="D7" s="8"/>
      <x:c r="E7" s="8"/>
      <x:c r="F7" s="8"/>
      <x:c r="G7" s="8"/>
      <x:c r="H7" s="9"/>
      <x:c r="I7" s="10"/>
      <x:c r="J7" s="11" t="str">
        <x:f>IF(COUNTA(D7:G7,I7)&lt;5,"",IFERROR(IF(ABS(I7-(SUM(D7:G7)))&lt;1,"Correct","Check your input cells and formula"),"Check your input cells and formula"))</x:f>
      </x:c>
      <x:c r="K7" s="12" t="s">
        <x:v>35</x:v>
      </x:c>
    </x:row>
    <x:row r="8" ht="42" customHeight="1">
      <x:c r="A8" s="3" t="s">
        <x:v>32</x:v>
      </x:c>
      <x:c r="B8" s="3" t="s">
        <x:v>33</x:v>
      </x:c>
      <x:c r="C8" s="3" t="s">
        <x:v>36</x:v>
      </x:c>
      <x:c r="D8" s="8"/>
      <x:c r="E8" s="8"/>
      <x:c r="F8" s="8"/>
      <x:c r="G8" s="8"/>
      <x:c r="H8" s="9"/>
      <x:c r="I8" s="10"/>
      <x:c r="J8" s="11" t="str">
        <x:f>IF(COUNTA(D8:G8,I8)&lt;5,"",IFERROR(IF(ABS(I8-(SUM(D8:G8)))&lt;1,"Correct","Check your input cells and formula"),"Check your input cells and formula"))</x:f>
      </x:c>
      <x:c r="K8" s="12" t="s">
        <x:v>37</x:v>
      </x:c>
    </x:row>
    <x:row r="9" ht="42" customHeight="1">
      <x:c r="A9" s="3" t="s">
        <x:v>38</x:v>
      </x:c>
      <x:c r="B9" s="3" t="s">
        <x:v>39</x:v>
      </x:c>
      <x:c r="C9" s="3" t="s">
        <x:v>40</x:v>
      </x:c>
      <x:c r="D9" s="8"/>
      <x:c r="E9" s="8"/>
      <x:c r="F9" s="9"/>
      <x:c r="G9" s="9"/>
      <x:c r="H9" s="9"/>
      <x:c r="I9" s="10"/>
      <x:c r="J9" s="11" t="str">
        <x:f>IF(COUNTA(D9:E9,I9)&lt;3,"",IFERROR(IF(ABS(I9-(D9-E9))&lt;1,"Correct","Check your input cells and formula"),"Check your input cells and formula"))</x:f>
      </x:c>
      <x:c r="K9" s="12" t="s">
        <x:v>41</x:v>
      </x:c>
    </x:row>
    <x:row r="10" ht="42" customHeight="1">
      <x:c r="A10" s="3" t="s">
        <x:v>38</x:v>
      </x:c>
      <x:c r="B10" s="3" t="s">
        <x:v>39</x:v>
      </x:c>
      <x:c r="C10" s="3" t="s">
        <x:v>42</x:v>
      </x:c>
      <x:c r="D10" s="8"/>
      <x:c r="E10" s="8"/>
      <x:c r="F10" s="9"/>
      <x:c r="G10" s="9"/>
      <x:c r="H10" s="9"/>
      <x:c r="I10" s="10"/>
      <x:c r="J10" s="11" t="str">
        <x:f>IF(COUNTA(D10:E10,I10)&lt;3,"",IFERROR(IF(ABS(I10-(D10-E10))&lt;1,"Correct","Check your input cells and formula"),"Check your input cells and formula"))</x:f>
      </x:c>
      <x:c r="K10" s="12" t="s">
        <x:v>43</x:v>
      </x:c>
    </x:row>
    <x:row r="11" ht="42" customHeight="1">
      <x:c r="A11" s="3" t="s">
        <x:v>44</x:v>
      </x:c>
      <x:c r="B11" s="3" t="s">
        <x:v>45</x:v>
      </x:c>
      <x:c r="C11" s="3" t="s">
        <x:v>46</x:v>
      </x:c>
      <x:c r="D11" s="8"/>
      <x:c r="E11" s="8"/>
      <x:c r="F11" s="8"/>
      <x:c r="G11" s="9"/>
      <x:c r="H11" s="9"/>
      <x:c r="I11" s="10"/>
      <x:c r="J11" s="11" t="str">
        <x:f>IF(COUNTA(D11:F11,I11)&lt;4,"",IFERROR(IF(ABS(I11-(SUM(D11:F11)))&lt;1,"Correct","Check your input cells and formula"),"Check your input cells and formula"))</x:f>
      </x:c>
      <x:c r="K11" s="12" t="s">
        <x:v>47</x:v>
      </x:c>
    </x:row>
    <x:row r="12" ht="42" customHeight="1">
      <x:c r="A12" s="3" t="s">
        <x:v>44</x:v>
      </x:c>
      <x:c r="B12" s="3" t="s">
        <x:v>45</x:v>
      </x:c>
      <x:c r="C12" s="3" t="s">
        <x:v>48</x:v>
      </x:c>
      <x:c r="D12" s="8"/>
      <x:c r="E12" s="8"/>
      <x:c r="F12" s="9"/>
      <x:c r="G12" s="9"/>
      <x:c r="H12" s="9"/>
      <x:c r="I12" s="10"/>
      <x:c r="J12" s="11" t="str">
        <x:f>IF(COUNTA(D12:E12,I12)&lt;3,"",IFERROR(IF(ABS(I12-(D12+E12))&lt;1,"Correct","Check your input cells and formula"),"Check your input cells and formula"))</x:f>
      </x:c>
      <x:c r="K12" s="12" t="s">
        <x:v>49</x:v>
      </x:c>
    </x:row>
    <x:row r="13" ht="42" customHeight="1">
      <x:c r="A13" s="3" t="s">
        <x:v>50</x:v>
      </x:c>
      <x:c r="B13" s="3" t="s">
        <x:v>51</x:v>
      </x:c>
      <x:c r="C13" s="3" t="s">
        <x:v>52</x:v>
      </x:c>
      <x:c r="D13" s="8"/>
      <x:c r="E13" s="8"/>
      <x:c r="F13" s="9"/>
      <x:c r="G13" s="9"/>
      <x:c r="H13" s="9"/>
      <x:c r="I13" s="13"/>
      <x:c r="J13" s="11" t="str">
        <x:f>IF(COUNTA(D13:E13,I13)&lt;3,"",IFERROR(IF(ABS(I13-(E13/D13))&lt;0.001,"Correct","Check your input cells and formula"),"Check your input cells and formula"))</x:f>
      </x:c>
      <x:c r="K13" s="12" t="s">
        <x:v>53</x:v>
      </x:c>
    </x:row>
    <x:row r="14" ht="42" customHeight="1">
      <x:c r="A14" s="3" t="s">
        <x:v>50</x:v>
      </x:c>
      <x:c r="B14" s="3" t="s">
        <x:v>51</x:v>
      </x:c>
      <x:c r="C14" s="3" t="s">
        <x:v>54</x:v>
      </x:c>
      <x:c r="D14" s="8"/>
      <x:c r="E14" s="8"/>
      <x:c r="F14" s="9"/>
      <x:c r="G14" s="9"/>
      <x:c r="H14" s="9"/>
      <x:c r="I14" s="13"/>
      <x:c r="J14" s="11" t="str">
        <x:f>IF(COUNTA(D14:E14,I14)&lt;3,"",IFERROR(IF(ABS(I14-(E14/D14))&lt;0.001,"Correct","Check your input cells and formula"),"Check your input cells and formula"))</x:f>
      </x:c>
      <x:c r="K14" s="12" t="s">
        <x:v>55</x:v>
      </x:c>
    </x:row>
    <x:row r="15" ht="42" customHeight="1">
      <x:c r="A15" s="3" t="s">
        <x:v>56</x:v>
      </x:c>
      <x:c r="B15" s="3" t="s">
        <x:v>57</x:v>
      </x:c>
      <x:c r="C15" s="3" t="s">
        <x:v>58</x:v>
      </x:c>
      <x:c r="D15" s="8"/>
      <x:c r="E15" s="8"/>
      <x:c r="F15" s="9"/>
      <x:c r="G15" s="9"/>
      <x:c r="H15" s="9"/>
      <x:c r="I15" s="13"/>
      <x:c r="J15" s="11" t="str">
        <x:f>IF(COUNTA(D15:E15,I15)&lt;3,"",IFERROR(IF(ABS(I15-(D15/E15))&lt;0.001,"Correct","Check your input cells and formula"),"Check your input cells and formula"))</x:f>
      </x:c>
      <x:c r="K15" s="12" t="s">
        <x:v>59</x:v>
      </x:c>
    </x:row>
    <x:row r="16" ht="42" customHeight="1">
      <x:c r="A16" s="3" t="s">
        <x:v>56</x:v>
      </x:c>
      <x:c r="B16" s="3" t="s">
        <x:v>57</x:v>
      </x:c>
      <x:c r="C16" s="3" t="s">
        <x:v>60</x:v>
      </x:c>
      <x:c r="D16" s="8"/>
      <x:c r="E16" s="8"/>
      <x:c r="F16" s="9"/>
      <x:c r="G16" s="9"/>
      <x:c r="H16" s="9"/>
      <x:c r="I16" s="13"/>
      <x:c r="J16" s="11" t="str">
        <x:f>IF(COUNTA(D16:E16,I16)&lt;3,"",IFERROR(IF(ABS(I16-(D16/E16))&lt;0.001,"Correct","Check your input cells and formula"),"Check your input cells and formula"))</x:f>
      </x:c>
      <x:c r="K16" s="12" t="s">
        <x:v>61</x:v>
      </x:c>
    </x:row>
    <x:row r="17" ht="42" customHeight="1">
      <x:c r="A17" s="3" t="s">
        <x:v>56</x:v>
      </x:c>
      <x:c r="B17" s="3" t="s">
        <x:v>57</x:v>
      </x:c>
      <x:c r="C17" s="3" t="s">
        <x:v>62</x:v>
      </x:c>
      <x:c r="D17" s="8"/>
      <x:c r="E17" s="8"/>
      <x:c r="F17" s="9"/>
      <x:c r="G17" s="9"/>
      <x:c r="H17" s="9"/>
      <x:c r="I17" s="13"/>
      <x:c r="J17" s="11" t="str">
        <x:f>IF(COUNTA(D17:E17,I17)&lt;3,"",IFERROR(IF(ABS(I17-(D17/E17))&lt;0.001,"Correct","Check your input cells and formula"),"Check your input cells and formula"))</x:f>
      </x:c>
      <x:c r="K17" s="12" t="s">
        <x:v>63</x:v>
      </x:c>
    </x:row>
  </x:sheetData>
  <x:mergeCells>
    <x:mergeCell ref="A2:K2"/>
    <x:mergeCell ref="A1:K1"/>
    <x:mergeCell ref="A4:K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24" hidden="0" customWidth="1"/>
    <x:col min="2" max="2" width="32" hidden="0" customWidth="1"/>
    <x:col min="3" max="7" width="14" customWidth="1"/>
    <x:col min="8" max="8" width="35" hidden="0" customWidth="1"/>
    <x:col min="9" max="9" width="3" hidden="0" customWidth="1"/>
    <x:col min="10" max="10" width="3" hidden="0" customWidth="1"/>
    <x:col min="3" max="3" width="17" hidden="0" customWidth="1"/>
    <x:col min="4" max="4" width="26" hidden="0" customWidth="1"/>
    <x:col min="5" max="5" width="3" hidden="0" customWidth="1"/>
    <x:col min="6" max="6" width="34" hidden="0" customWidth="1"/>
    <x:col min="7" max="7" width="18" hidden="0" customWidth="1"/>
  </x:cols>
  <x:sheetData>
    <x:row r="1" ht="30" customHeight="1">
      <x:c r="A1" s="314" t="str">
        <x:v>Class Challenge · Integrated Financial Statement Tie-Out</x:v>
      </x:c>
      <x:c r="B1" s="314"/>
      <x:c r="C1" s="314"/>
      <x:c r="D1" s="314"/>
      <x:c r="E1" s="314"/>
      <x:c r="F1" s="314"/>
      <x:c r="G1" s="314"/>
      <x:c r="H1" s="314"/>
      <x:c r="I1" s="314"/>
      <x:c r="J1" s="314"/>
    </x:row>
    <x:row r="2" ht="24" customHeight="1">
      <x:c r="A2" s="316" t="str">
        <x:v>Harborside Medical Center · Start in class and finish as homework · Only this tab is graded</x:v>
      </x:c>
      <x:c r="B2" s="316"/>
      <x:c r="C2" s="316"/>
      <x:c r="D2" s="316"/>
      <x:c r="E2" s="316"/>
      <x:c r="F2" s="316"/>
      <x:c r="G2" s="316"/>
      <x:c r="H2" s="316"/>
      <x:c r="I2" s="316"/>
      <x:c r="J2" s="316"/>
    </x:row>
    <x:row r="3">
      <x:c r="A3"/>
      <x:c r="B3"/>
      <x:c r="C3"/>
      <x:c r="D3"/>
      <x:c r="E3"/>
      <x:c r="F3"/>
      <x:c r="G3"/>
      <x:c r="H3"/>
      <x:c r="I3"/>
      <x:c r="J3"/>
    </x:row>
    <x:row r="4" ht="38" customHeight="1">
      <x:c r="A4" s="322" t="str">
        <x:v>Workflow: classify each fact, link facts into the three statement sections, calculate subtotals, make every control reach zero, then support one management red flag. Do not retype a fact inside a formula.</x:v>
      </x:c>
      <x:c r="B4" s="323"/>
      <x:c r="C4" s="323"/>
      <x:c r="D4" s="323"/>
      <x:c r="E4" s="323"/>
      <x:c r="F4" s="323"/>
      <x:c r="G4" s="323"/>
      <x:c r="H4" s="323"/>
      <x:c r="I4" s="323"/>
      <x:c r="J4" s="324"/>
    </x:row>
    <x:row r="5">
      <x:c r="A5"/>
      <x:c r="B5"/>
      <x:c r="C5"/>
      <x:c r="D5"/>
      <x:c r="E5"/>
      <x:c r="F5"/>
      <x:c r="G5"/>
      <x:c r="H5"/>
      <x:c r="I5"/>
      <x:c r="J5"/>
    </x:row>
    <x:row r="6" ht="24" customHeight="1">
      <x:c r="A6" s="328" t="str">
        <x:v>BUSINESS FACTS · YEAR ENDED JUNE 30, 2026</x:v>
      </x:c>
      <x:c r="B6" s="328"/>
      <x:c r="C6" s="328"/>
      <x:c r="D6" s="328"/>
      <x:c r="E6"/>
      <x:c r="F6" s="346" t="str">
        <x:v>SIMPLIFIED INCOME STATEMENT</x:v>
      </x:c>
      <x:c r="G6" s="346"/>
      <x:c r="H6" s="346"/>
      <x:c r="I6"/>
      <x:c r="J6"/>
    </x:row>
    <x:row r="7" ht="24" customHeight="1">
      <x:c r="A7" s="334" t="str">
        <x:v>ID</x:v>
      </x:c>
      <x:c r="B7" s="334" t="str">
        <x:v>Business Fact</x:v>
      </x:c>
      <x:c r="C7" s="334" t="str">
        <x:v>Amount</x:v>
      </x:c>
      <x:c r="D7" s="334" t="str">
        <x:v>Primary Statement</x:v>
      </x:c>
      <x:c r="E7"/>
      <x:c r="F7" s="334" t="str">
        <x:v>Line</x:v>
      </x:c>
      <x:c r="G7" s="334" t="str">
        <x:v>Amount</x:v>
      </x:c>
      <x:c r="H7" s="334" t="str">
        <x:v>Build Note</x:v>
      </x:c>
      <x:c r="I7"/>
      <x:c r="J7"/>
    </x:row>
    <x:row r="8" ht="34" customHeight="1">
      <x:c r="A8" s="339" t="str">
        <x:v>F01</x:v>
      </x:c>
      <x:c r="B8" s="339" t="str">
        <x:v>Patient service revenue</x:v>
      </x:c>
      <x:c r="C8" s="341" t="n">
        <x:v>1200000</x:v>
      </x:c>
      <x:c r="D8" s="342"/>
      <x:c r="E8"/>
      <x:c r="F8" s="339" t="str">
        <x:v>Patient service revenue</x:v>
      </x:c>
      <x:c r="G8" s="348"/>
      <x:c r="H8" s="339" t="str">
        <x:v>Link F01</x:v>
      </x:c>
      <x:c r="I8"/>
      <x:c r="J8"/>
    </x:row>
    <x:row r="9" ht="34" customHeight="1">
      <x:c r="A9" s="339" t="str">
        <x:v>F02</x:v>
      </x:c>
      <x:c r="B9" s="339" t="str">
        <x:v>Salaries expense</x:v>
      </x:c>
      <x:c r="C9" s="341" t="n">
        <x:v>620000</x:v>
      </x:c>
      <x:c r="D9" s="342"/>
      <x:c r="E9"/>
      <x:c r="F9" s="339"/>
      <x:c r="G9" s="339"/>
      <x:c r="H9" s="339"/>
      <x:c r="I9"/>
      <x:c r="J9"/>
    </x:row>
    <x:row r="10" ht="34" customHeight="1">
      <x:c r="A10" s="339" t="str">
        <x:v>F03</x:v>
      </x:c>
      <x:c r="B10" s="339" t="str">
        <x:v>Medical supplies expense</x:v>
      </x:c>
      <x:c r="C10" s="341" t="n">
        <x:v>180000</x:v>
      </x:c>
      <x:c r="D10" s="342"/>
      <x:c r="E10"/>
      <x:c r="F10" s="339" t="str">
        <x:v>Operating expenses</x:v>
      </x:c>
      <x:c r="G10" s="339"/>
      <x:c r="H10" s="339"/>
      <x:c r="I10"/>
      <x:c r="J10"/>
    </x:row>
    <x:row r="11" ht="34" customHeight="1">
      <x:c r="A11" s="339" t="str">
        <x:v>F04</x:v>
      </x:c>
      <x:c r="B11" s="339" t="str">
        <x:v>Rent, utilities, and other operating expense</x:v>
      </x:c>
      <x:c r="C11" s="341" t="n">
        <x:v>160000</x:v>
      </x:c>
      <x:c r="D11" s="342"/>
      <x:c r="E11"/>
      <x:c r="F11" s="339" t="str">
        <x:v>Salaries expense</x:v>
      </x:c>
      <x:c r="G11" s="348"/>
      <x:c r="H11" s="339" t="str">
        <x:v>Link F02</x:v>
      </x:c>
      <x:c r="I11"/>
      <x:c r="J11"/>
    </x:row>
    <x:row r="12" ht="34" customHeight="1">
      <x:c r="A12" s="339" t="str">
        <x:v>F05</x:v>
      </x:c>
      <x:c r="B12" s="339" t="str">
        <x:v>Accounts receivable - ending balance</x:v>
      </x:c>
      <x:c r="C12" s="341" t="n">
        <x:v>260000</x:v>
      </x:c>
      <x:c r="D12" s="342"/>
      <x:c r="E12"/>
      <x:c r="F12" s="339" t="str">
        <x:v>Medical supplies expense</x:v>
      </x:c>
      <x:c r="G12" s="348"/>
      <x:c r="H12" s="339" t="str">
        <x:v>Link F03</x:v>
      </x:c>
      <x:c r="I12"/>
      <x:c r="J12"/>
    </x:row>
    <x:row r="13" ht="34" customHeight="1">
      <x:c r="A13" s="339" t="str">
        <x:v>F06</x:v>
      </x:c>
      <x:c r="B13" s="339" t="str">
        <x:v>Medical supplies - ending balance</x:v>
      </x:c>
      <x:c r="C13" s="341" t="n">
        <x:v>40000</x:v>
      </x:c>
      <x:c r="D13" s="342"/>
      <x:c r="E13"/>
      <x:c r="F13" s="339" t="str">
        <x:v>Rent, utilities, and other expense</x:v>
      </x:c>
      <x:c r="G13" s="348"/>
      <x:c r="H13" s="339" t="str">
        <x:v>Link F04</x:v>
      </x:c>
      <x:c r="I13"/>
      <x:c r="J13"/>
    </x:row>
    <x:row r="14" ht="34" customHeight="1">
      <x:c r="A14" s="339" t="str">
        <x:v>F07</x:v>
      </x:c>
      <x:c r="B14" s="339" t="str">
        <x:v>Equipment, net - ending balance</x:v>
      </x:c>
      <x:c r="C14" s="341" t="n">
        <x:v>720000</x:v>
      </x:c>
      <x:c r="D14" s="342"/>
      <x:c r="E14"/>
      <x:c r="F14" s="351" t="str">
        <x:v>Total operating expenses</x:v>
      </x:c>
      <x:c r="G14" s="353"/>
      <x:c r="H14" s="339" t="str">
        <x:v>Subtotal</x:v>
      </x:c>
      <x:c r="I14"/>
      <x:c r="J14"/>
    </x:row>
    <x:row r="15" ht="34" customHeight="1">
      <x:c r="A15" s="339" t="str">
        <x:v>F08</x:v>
      </x:c>
      <x:c r="B15" s="339" t="str">
        <x:v>Accounts payable - ending balance</x:v>
      </x:c>
      <x:c r="C15" s="341" t="n">
        <x:v>150000</x:v>
      </x:c>
      <x:c r="D15" s="342"/>
      <x:c r="E15"/>
      <x:c r="F15" s="339"/>
      <x:c r="G15" s="339"/>
      <x:c r="H15" s="339"/>
      <x:c r="I15"/>
      <x:c r="J15"/>
    </x:row>
    <x:row r="16" ht="34" customHeight="1">
      <x:c r="A16" s="339" t="str">
        <x:v>F09</x:v>
      </x:c>
      <x:c r="B16" s="339" t="str">
        <x:v>Bank loan - ending balance</x:v>
      </x:c>
      <x:c r="C16" s="341" t="n">
        <x:v>430000</x:v>
      </x:c>
      <x:c r="D16" s="342"/>
      <x:c r="E16"/>
      <x:c r="F16" s="351" t="str">
        <x:v>NET INCOME</x:v>
      </x:c>
      <x:c r="G16" s="353"/>
      <x:c r="H16" s="339" t="str">
        <x:v>Revenue less expenses</x:v>
      </x:c>
      <x:c r="I16"/>
      <x:c r="J16"/>
    </x:row>
    <x:row r="17" ht="34" customHeight="1">
      <x:c r="A17" s="339" t="str">
        <x:v>F10</x:v>
      </x:c>
      <x:c r="B17" s="339" t="str">
        <x:v>Beginning owner's equity</x:v>
      </x:c>
      <x:c r="C17" s="341" t="n">
        <x:v>420000</x:v>
      </x:c>
      <x:c r="D17" s="342"/>
      <x:c r="E17"/>
      <x:c r="F17"/>
      <x:c r="G17"/>
      <x:c r="H17"/>
      <x:c r="I17"/>
      <x:c r="J17"/>
    </x:row>
    <x:row r="18" ht="34" customHeight="1">
      <x:c r="A18" s="339" t="str">
        <x:v>F11</x:v>
      </x:c>
      <x:c r="B18" s="339" t="str">
        <x:v>Cash collected from patients</x:v>
      </x:c>
      <x:c r="C18" s="341" t="n">
        <x:v>1120000</x:v>
      </x:c>
      <x:c r="D18" s="342"/>
      <x:c r="E18"/>
      <x:c r="F18"/>
      <x:c r="G18"/>
      <x:c r="H18"/>
      <x:c r="I18"/>
      <x:c r="J18"/>
    </x:row>
    <x:row r="19" ht="34" customHeight="1">
      <x:c r="A19" s="339" t="str">
        <x:v>F12</x:v>
      </x:c>
      <x:c r="B19" s="339" t="str">
        <x:v>Cash paid for salaries, supplies, and other operations</x:v>
      </x:c>
      <x:c r="C19" s="341" t="n">
        <x:v>-950000</x:v>
      </x:c>
      <x:c r="D19" s="342"/>
      <x:c r="E19"/>
      <x:c r="F19" s="355" t="str">
        <x:v>SIMPLIFIED BALANCE SHEET · JUNE 30, 2026</x:v>
      </x:c>
      <x:c r="G19" s="355"/>
      <x:c r="H19" s="355"/>
      <x:c r="I19"/>
      <x:c r="J19"/>
    </x:row>
    <x:row r="20" ht="34" customHeight="1">
      <x:c r="A20" s="339" t="str">
        <x:v>F13</x:v>
      </x:c>
      <x:c r="B20" s="339" t="str">
        <x:v>Equipment purchased for cash</x:v>
      </x:c>
      <x:c r="C20" s="341" t="n">
        <x:v>-120000</x:v>
      </x:c>
      <x:c r="D20" s="342"/>
      <x:c r="E20"/>
      <x:c r="F20" s="334" t="str">
        <x:v>Line</x:v>
      </x:c>
      <x:c r="G20" s="334" t="str">
        <x:v>Amount</x:v>
      </x:c>
      <x:c r="H20" s="334" t="str">
        <x:v>Build Note</x:v>
      </x:c>
      <x:c r="I20"/>
      <x:c r="J20"/>
    </x:row>
    <x:row r="21" ht="34" customHeight="1">
      <x:c r="A21" s="339" t="str">
        <x:v>F14</x:v>
      </x:c>
      <x:c r="B21" s="339" t="str">
        <x:v>Bank loan proceeds received</x:v>
      </x:c>
      <x:c r="C21" s="341" t="n">
        <x:v>70000</x:v>
      </x:c>
      <x:c r="D21" s="342"/>
      <x:c r="E21"/>
      <x:c r="F21" s="339" t="str">
        <x:v>Cash</x:v>
      </x:c>
      <x:c r="G21" s="348"/>
      <x:c r="H21" s="339" t="str">
        <x:v>Link ending cash from cash flow</x:v>
      </x:c>
      <x:c r="I21"/>
      <x:c r="J21"/>
    </x:row>
    <x:row r="22" ht="34" customHeight="1">
      <x:c r="A22" s="339" t="str">
        <x:v>F15</x:v>
      </x:c>
      <x:c r="B22" s="339" t="str">
        <x:v>Owner distributions paid</x:v>
      </x:c>
      <x:c r="C22" s="341" t="n">
        <x:v>-40000</x:v>
      </x:c>
      <x:c r="D22" s="342"/>
      <x:c r="F22" s="339" t="str">
        <x:v>Accounts receivable</x:v>
      </x:c>
      <x:c r="G22" s="348"/>
      <x:c r="H22" s="339" t="str">
        <x:v>Link F05</x:v>
      </x:c>
    </x:row>
    <x:row r="23" ht="34" customHeight="1">
      <x:c r="A23" s="339" t="str">
        <x:v>F16</x:v>
      </x:c>
      <x:c r="B23" s="339" t="str">
        <x:v>Opening cash balance</x:v>
      </x:c>
      <x:c r="C23" s="341" t="n">
        <x:v>100000</x:v>
      </x:c>
      <x:c r="D23" s="342"/>
      <x:c r="F23" s="339" t="str">
        <x:v>Medical supplies</x:v>
      </x:c>
      <x:c r="G23" s="348"/>
      <x:c r="H23" s="339" t="str">
        <x:v>Link F06</x:v>
      </x:c>
    </x:row>
    <x:row r="24" ht="26" customHeight="1">
      <x:c r="F24" s="339" t="str">
        <x:v>Equipment, net</x:v>
      </x:c>
      <x:c r="G24" s="348"/>
      <x:c r="H24" s="339" t="str">
        <x:v>Link F07</x:v>
      </x:c>
    </x:row>
    <x:row r="25" ht="26" customHeight="1">
      <x:c r="F25" s="351" t="str">
        <x:v>TOTAL ASSETS</x:v>
      </x:c>
      <x:c r="G25" s="353"/>
      <x:c r="H25" s="339" t="str">
        <x:v>Subtotal</x:v>
      </x:c>
    </x:row>
    <x:row r="26" ht="26" customHeight="1">
      <x:c r="A26" s="359" t="str">
        <x:v>SIMPLIFIED STATEMENT OF CASH FLOWS</x:v>
      </x:c>
      <x:c r="B26" s="359"/>
      <x:c r="C26" s="359"/>
      <x:c r="D26" s="359"/>
      <x:c r="F26" s="339"/>
      <x:c r="G26" s="339"/>
      <x:c r="H26" s="339"/>
    </x:row>
    <x:row r="27" ht="26" customHeight="1">
      <x:c r="A27" s="334" t="str">
        <x:v>Section / Line</x:v>
      </x:c>
      <x:c r="B27" s="334" t="str">
        <x:v>Fact</x:v>
      </x:c>
      <x:c r="C27" s="334" t="str">
        <x:v>Amount</x:v>
      </x:c>
      <x:c r="D27" s="334" t="str">
        <x:v>Build Note</x:v>
      </x:c>
      <x:c r="F27" s="339" t="str">
        <x:v>Liabilities</x:v>
      </x:c>
      <x:c r="G27" s="339"/>
      <x:c r="H27" s="339"/>
    </x:row>
    <x:row r="28" ht="32" customHeight="1">
      <x:c r="A28" s="339" t="str">
        <x:v>Operating Activities</x:v>
      </x:c>
      <x:c r="B28" s="339"/>
      <x:c r="C28" s="339"/>
      <x:c r="D28" s="339"/>
      <x:c r="F28" s="339" t="str">
        <x:v>Accounts payable</x:v>
      </x:c>
      <x:c r="G28" s="348"/>
      <x:c r="H28" s="339" t="str">
        <x:v>Link F08</x:v>
      </x:c>
    </x:row>
    <x:row r="29" ht="32" customHeight="1">
      <x:c r="A29" s="339" t="str">
        <x:v>Cash collected from patients</x:v>
      </x:c>
      <x:c r="B29" s="339" t="str">
        <x:v>F11</x:v>
      </x:c>
      <x:c r="C29" s="348"/>
      <x:c r="D29" s="339" t="str">
        <x:v>Link the fact</x:v>
      </x:c>
      <x:c r="F29" s="339" t="str">
        <x:v>Bank loan</x:v>
      </x:c>
      <x:c r="G29" s="348"/>
      <x:c r="H29" s="339" t="str">
        <x:v>Link F09</x:v>
      </x:c>
    </x:row>
    <x:row r="30" ht="32" customHeight="1">
      <x:c r="A30" s="339" t="str">
        <x:v>Cash paid for operations</x:v>
      </x:c>
      <x:c r="B30" s="339" t="str">
        <x:v>F12</x:v>
      </x:c>
      <x:c r="C30" s="348"/>
      <x:c r="D30" s="339" t="str">
        <x:v>Link the negative fact</x:v>
      </x:c>
      <x:c r="F30" s="351" t="str">
        <x:v>TOTAL LIABILITIES</x:v>
      </x:c>
      <x:c r="G30" s="353"/>
      <x:c r="H30" s="339" t="str">
        <x:v>Subtotal</x:v>
      </x:c>
    </x:row>
    <x:row r="31" ht="32" customHeight="1">
      <x:c r="A31" s="351" t="str">
        <x:v>NET OPERATING CASH FLOW</x:v>
      </x:c>
      <x:c r="B31" s="339"/>
      <x:c r="C31" s="353"/>
      <x:c r="D31" s="339" t="str">
        <x:v>Subtotal</x:v>
      </x:c>
      <x:c r="F31" s="339"/>
      <x:c r="G31" s="339"/>
      <x:c r="H31" s="339"/>
    </x:row>
    <x:row r="32" ht="32" customHeight="1">
      <x:c r="A32" s="339"/>
      <x:c r="B32" s="339"/>
      <x:c r="C32" s="339"/>
      <x:c r="D32" s="339"/>
      <x:c r="F32" s="339" t="str">
        <x:v>Owner's Equity</x:v>
      </x:c>
      <x:c r="G32" s="339"/>
      <x:c r="H32" s="339"/>
    </x:row>
    <x:row r="33" ht="32" customHeight="1">
      <x:c r="A33" s="339" t="str">
        <x:v>Investing Activities</x:v>
      </x:c>
      <x:c r="B33" s="339"/>
      <x:c r="C33" s="339"/>
      <x:c r="D33" s="339"/>
      <x:c r="F33" s="339" t="str">
        <x:v>Beginning owner's equity</x:v>
      </x:c>
      <x:c r="G33" s="348"/>
      <x:c r="H33" s="339" t="str">
        <x:v>Link F10</x:v>
      </x:c>
    </x:row>
    <x:row r="34" ht="32" customHeight="1">
      <x:c r="A34" s="339" t="str">
        <x:v>Equipment purchased for cash</x:v>
      </x:c>
      <x:c r="B34" s="339" t="str">
        <x:v>F13</x:v>
      </x:c>
      <x:c r="C34" s="348"/>
      <x:c r="D34" s="339" t="str">
        <x:v>Link the negative fact</x:v>
      </x:c>
      <x:c r="F34" s="339" t="str">
        <x:v>Net income</x:v>
      </x:c>
      <x:c r="G34" s="348"/>
      <x:c r="H34" s="339" t="str">
        <x:v>Link from income statement</x:v>
      </x:c>
    </x:row>
    <x:row r="35" ht="32" customHeight="1">
      <x:c r="A35" s="351" t="str">
        <x:v>NET INVESTING CASH FLOW</x:v>
      </x:c>
      <x:c r="B35" s="339"/>
      <x:c r="C35" s="353"/>
      <x:c r="D35" s="339" t="str">
        <x:v>Subtotal</x:v>
      </x:c>
      <x:c r="F35" s="339" t="str">
        <x:v>Owner distributions</x:v>
      </x:c>
      <x:c r="G35" s="348"/>
      <x:c r="H35" s="339" t="str">
        <x:v>Link F15; keep negative</x:v>
      </x:c>
    </x:row>
    <x:row r="36" ht="32" customHeight="1">
      <x:c r="A36" s="339"/>
      <x:c r="B36" s="339"/>
      <x:c r="C36" s="339"/>
      <x:c r="D36" s="339"/>
      <x:c r="F36" s="351" t="str">
        <x:v>ENDING OWNER'S EQUITY</x:v>
      </x:c>
      <x:c r="G36" s="353"/>
      <x:c r="H36" s="339" t="str">
        <x:v>Beginning + income + distributions</x:v>
      </x:c>
    </x:row>
    <x:row r="37" ht="32" customHeight="1">
      <x:c r="A37" s="339" t="str">
        <x:v>Financing Activities</x:v>
      </x:c>
      <x:c r="B37" s="339"/>
      <x:c r="C37" s="339"/>
      <x:c r="D37" s="339"/>
      <x:c r="F37" s="339"/>
      <x:c r="G37" s="348"/>
      <x:c r="H37" s="339"/>
    </x:row>
    <x:row r="38" ht="32" customHeight="1">
      <x:c r="A38" s="339" t="str">
        <x:v>Bank loan proceeds</x:v>
      </x:c>
      <x:c r="B38" s="339" t="str">
        <x:v>F14</x:v>
      </x:c>
      <x:c r="C38" s="348"/>
      <x:c r="D38" s="339" t="str">
        <x:v>Link the fact</x:v>
      </x:c>
      <x:c r="F38" s="351" t="str">
        <x:v>TOTAL LIABILITIES + EQUITY</x:v>
      </x:c>
      <x:c r="G38" s="353"/>
      <x:c r="H38" s="339" t="str">
        <x:v>Subtotal</x:v>
      </x:c>
    </x:row>
    <x:row r="39" ht="32" customHeight="1">
      <x:c r="A39" s="339" t="str">
        <x:v>Owner distributions</x:v>
      </x:c>
      <x:c r="B39" s="339" t="str">
        <x:v>F15</x:v>
      </x:c>
      <x:c r="C39" s="348"/>
      <x:c r="D39" s="339" t="str">
        <x:v>Link the negative fact</x:v>
      </x:c>
      <x:c r="F39" s="350" t="str">
        <x:v>BALANCE CHECK</x:v>
      </x:c>
      <x:c r="G39" s="352"/>
      <x:c r="H39" s="339" t="str">
        <x:v>Assets - liabilities and equity = 0</x:v>
      </x:c>
    </x:row>
    <x:row r="40" ht="32" customHeight="1">
      <x:c r="A40" s="351" t="str">
        <x:v>NET FINANCING CASH FLOW</x:v>
      </x:c>
      <x:c r="B40" s="339"/>
      <x:c r="C40" s="353"/>
      <x:c r="D40" s="339" t="str">
        <x:v>Subtotal</x:v>
      </x:c>
      <x:c r="F40" s="350" t="str">
        <x:v>NET INCOME LINK CHECK</x:v>
      </x:c>
      <x:c r="G40" s="352"/>
      <x:c r="H40" s="339" t="str">
        <x:v>Balance-sheet link - income statement = 0</x:v>
      </x:c>
    </x:row>
    <x:row r="41" ht="32" customHeight="1">
      <x:c r="A41" s="339"/>
      <x:c r="B41" s="339"/>
      <x:c r="C41" s="339"/>
      <x:c r="D41" s="339"/>
    </x:row>
    <x:row r="42" ht="32" customHeight="1">
      <x:c r="A42" s="351" t="str">
        <x:v>NET CHANGE IN CASH</x:v>
      </x:c>
      <x:c r="B42" s="339"/>
      <x:c r="C42" s="353"/>
      <x:c r="D42" s="339" t="str">
        <x:v>Operating + investing + financing</x:v>
      </x:c>
    </x:row>
    <x:row r="43" ht="32" customHeight="1">
      <x:c r="A43" s="339" t="str">
        <x:v>Opening cash</x:v>
      </x:c>
      <x:c r="B43" s="339" t="str">
        <x:v>F16</x:v>
      </x:c>
      <x:c r="C43" s="348"/>
      <x:c r="D43" s="339" t="str">
        <x:v>Link the fact</x:v>
      </x:c>
    </x:row>
    <x:row r="44" ht="32" customHeight="1">
      <x:c r="A44" s="351" t="str">
        <x:v>ENDING CASH</x:v>
      </x:c>
      <x:c r="B44" s="339"/>
      <x:c r="C44" s="353"/>
      <x:c r="D44" s="339" t="str">
        <x:v>Opening cash + net change</x:v>
      </x:c>
    </x:row>
    <x:row r="45" ht="32" customHeight="1">
      <x:c r="A45" s="350" t="str">
        <x:v>CASH TIE-OUT</x:v>
      </x:c>
      <x:c r="B45" s="350"/>
      <x:c r="C45" s="361"/>
      <x:c r="D45" s="339" t="str">
        <x:v>Ending cash - balance-sheet cash = 0</x:v>
      </x:c>
    </x:row>
    <x:row r="46" ht="32" customHeight="1">
      <x:c r="A46" s="363" t="str">
        <x:v>MODEL STATUS</x:v>
      </x:c>
      <x:c r="B46" s="363"/>
      <x:c r="C46" s="363" t="str">
        <x:f>IF(COUNT(G39,G40,C45)&lt;3,"BUILD",IF(AND(G39=0,G40=0,C45=0),"PASS","CHECK"))</x:f>
        <x:v>BUILD</x:v>
      </x:c>
      <x:c r="D46" s="339" t="str">
        <x:v>PASS only after all controls are complete</x:v>
      </x:c>
    </x:row>
    <x:row r="48" ht="28" customHeight="1">
      <x:c r="A48" s="346" t="str">
        <x:v>MANAGEMENT RED FLAG · NUMERICAL BASIS + QUICK EXPLANATION</x:v>
      </x:c>
      <x:c r="B48" s="346"/>
      <x:c r="C48" s="346"/>
      <x:c r="D48" s="346"/>
      <x:c r="E48" s="346"/>
      <x:c r="F48" s="346"/>
      <x:c r="G48" s="346"/>
      <x:c r="H48" s="346"/>
    </x:row>
    <x:row r="49" ht="28" customHeight="1">
      <x:c r="A49" s="334" t="str">
        <x:v>Measure</x:v>
      </x:c>
      <x:c r="B49" s="334" t="str">
        <x:v>Formula Basis</x:v>
      </x:c>
      <x:c r="C49" s="334" t="str">
        <x:v>Result</x:v>
      </x:c>
      <x:c r="D49" s="334" t="str">
        <x:v>Why It Matters</x:v>
      </x:c>
    </x:row>
    <x:row r="50" ht="44" customHeight="1">
      <x:c r="A50" s="339" t="str">
        <x:v>Revenue less cash collected</x:v>
      </x:c>
      <x:c r="B50" s="339" t="str">
        <x:v>Revenue - cash collected</x:v>
      </x:c>
      <x:c r="C50" s="348"/>
      <x:c r="D50" s="339" t="str">
        <x:v>Shows the dollar gap between earned revenue and cash receipts.</x:v>
      </x:c>
    </x:row>
    <x:row r="51" ht="44" customHeight="1">
      <x:c r="A51" s="339" t="str">
        <x:v>Cash collection rate</x:v>
      </x:c>
      <x:c r="B51" s="339" t="str">
        <x:v>Cash collected / revenue</x:v>
      </x:c>
      <x:c r="C51" s="365"/>
      <x:c r="D51" s="339" t="str">
        <x:v>Shows what share of reported revenue was collected in cash.</x:v>
      </x:c>
    </x:row>
    <x:row r="53" ht="34" customHeight="1">
      <x:c r="A53" s="370" t="str">
        <x:v>Explain one red flag or management question supported by the completed statements. Cite at least one workbook result; the explanation quality receives a quick instructor spot review.</x:v>
      </x:c>
      <x:c r="B53" s="371"/>
      <x:c r="C53" s="371"/>
      <x:c r="D53" s="371"/>
      <x:c r="E53" s="371"/>
      <x:c r="F53" s="371"/>
      <x:c r="G53" s="371"/>
      <x:c r="H53" s="372"/>
    </x:row>
    <x:row r="54" ht="28" customHeight="1">
      <x:c r="A54" s="393" t="str"/>
      <x:c r="B54" s="394"/>
      <x:c r="C54" s="394"/>
      <x:c r="D54" s="394"/>
      <x:c r="E54" s="394"/>
      <x:c r="F54" s="394"/>
      <x:c r="G54" s="394"/>
      <x:c r="H54" s="395"/>
    </x:row>
    <x:row r="55" ht="28" customHeight="1">
      <x:c r="A55" s="396"/>
      <x:c r="B55" s="397"/>
      <x:c r="C55" s="397"/>
      <x:c r="D55" s="397"/>
      <x:c r="E55" s="397"/>
      <x:c r="F55" s="397"/>
      <x:c r="G55" s="397"/>
      <x:c r="H55" s="398"/>
    </x:row>
    <x:row r="56" ht="28" customHeight="1">
      <x:c r="A56" s="399"/>
      <x:c r="B56" s="400"/>
      <x:c r="C56" s="400"/>
      <x:c r="D56" s="400"/>
      <x:c r="E56" s="400"/>
      <x:c r="F56" s="400"/>
      <x:c r="G56" s="400"/>
      <x:c r="H56" s="401"/>
    </x:row>
  </x:sheetData>
  <x:mergeCells>
    <x:mergeCell ref="A1:J1"/>
    <x:mergeCell ref="A4:J4"/>
    <x:mergeCell ref="A2:J2"/>
    <x:mergeCell ref="A6:D6"/>
    <x:mergeCell ref="F6:H6"/>
    <x:mergeCell ref="F19:H19"/>
    <x:mergeCell ref="A26:D26"/>
    <x:mergeCell ref="A48:H48"/>
    <x:mergeCell ref="A53:H53"/>
    <x:mergeCell ref="A54:H56"/>
  </x:mergeCells>
  <x:conditionalFormatting sqref="G39:G40">
    <x:cfRule type="cellIs" dxfId="0" priority="1" operator="equal">
      <x:formula>0</x:formula>
    </x:cfRule>
    <x:cfRule type="cellIs" dxfId="1" priority="2" operator="notEqual">
      <x:formula>0</x:formula>
    </x:cfRule>
    <x:cfRule type="cellIs" dxfId="6" priority="7" operator="equal">
      <x:formula>0</x:formula>
    </x:cfRule>
    <x:cfRule type="cellIs" dxfId="7" priority="8" operator="notEqual">
      <x:formula>0</x:formula>
    </x:cfRule>
    <x:cfRule type="cellIs" dxfId="12" priority="13" operator="equal">
      <x:formula>0</x:formula>
    </x:cfRule>
    <x:cfRule type="cellIs" dxfId="13" priority="14" operator="notEqual">
      <x:formula>0</x:formula>
    </x:cfRule>
    <x:cfRule type="cellIs" dxfId="18" priority="19" operator="equal">
      <x:formula>0</x:formula>
    </x:cfRule>
    <x:cfRule type="cellIs" dxfId="19" priority="20" operator="notEqual">
      <x:formula>0</x:formula>
    </x:cfRule>
  </x:conditionalFormatting>
  <x:conditionalFormatting sqref="C45:C45">
    <x:cfRule type="cellIs" dxfId="2" priority="3" operator="equal">
      <x:formula>0</x:formula>
    </x:cfRule>
    <x:cfRule type="cellIs" dxfId="3" priority="4" operator="notEqual">
      <x:formula>0</x:formula>
    </x:cfRule>
    <x:cfRule type="cellIs" dxfId="8" priority="9" operator="equal">
      <x:formula>0</x:formula>
    </x:cfRule>
    <x:cfRule type="cellIs" dxfId="9" priority="10" operator="notEqual">
      <x:formula>0</x:formula>
    </x:cfRule>
    <x:cfRule type="cellIs" dxfId="14" priority="15" operator="equal">
      <x:formula>0</x:formula>
    </x:cfRule>
    <x:cfRule type="cellIs" dxfId="15" priority="16" operator="notEqual">
      <x:formula>0</x:formula>
    </x:cfRule>
    <x:cfRule type="cellIs" dxfId="20" priority="21" operator="equal">
      <x:formula>0</x:formula>
    </x:cfRule>
    <x:cfRule type="cellIs" dxfId="21" priority="22" operator="notEqual">
      <x:formula>0</x:formula>
    </x:cfRule>
  </x:conditionalFormatting>
  <x:conditionalFormatting sqref="C46:C46">
    <x:cfRule type="containsText" dxfId="4" priority="5" operator="containsText" text="PASS"/>
    <x:cfRule type="containsText" dxfId="5" priority="6" operator="containsText" text="CHECK"/>
    <x:cfRule type="containsText" dxfId="10" priority="11" operator="containsText" text="PASS"/>
    <x:cfRule type="containsText" dxfId="11" priority="12" operator="containsText" text="CHECK"/>
    <x:cfRule type="containsText" dxfId="16" priority="17" operator="containsText" text="PASS"/>
    <x:cfRule type="containsText" dxfId="17" priority="18" operator="containsText" text="CHECK"/>
    <x:cfRule type="containsText" dxfId="22" priority="23" operator="containsText" text="PASS"/>
    <x:cfRule type="containsText" dxfId="23" priority="24" operator="containsText" text="CHECK"/>
  </x:conditionalFormatting>
  <x:dataValidations count="1">
    <x:dataValidation type="list" sqref="D8:D23">
      <x:formula1>"Income Statement,Balance Sheet,Cash Flow"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22" hidden="0" customWidth="1"/>
    <x:col min="2" max="2" width="34" hidden="0" customWidth="1"/>
    <x:col min="3" max="3" width="43" hidden="0" customWidth="1"/>
    <x:col min="4" max="4" width="38" hidden="0" customWidth="1"/>
  </x:cols>
  <x:sheetData>
    <x:row r="1" ht="28" customHeight="1">
      <x:c r="A1" s="403" t="str">
        <x:v>Formula Reference Card · M11 Financial Reports</x:v>
      </x:c>
      <x:c r="B1" s="403"/>
      <x:c r="C1" s="403"/>
      <x:c r="D1" s="403"/>
    </x:row>
    <x:row r="2" ht="34" customHeight="1">
      <x:c r="A2" s="316" t="str">
        <x:v>Use these patterns after you decide what the business question is asking. Replace generic names with your workbook cells.</x:v>
      </x:c>
      <x:c r="B2" s="316"/>
      <x:c r="C2" s="316"/>
      <x:c r="D2" s="316"/>
    </x:row>
    <x:row r="3">
      <x:c r="A3" s="118"/>
      <x:c r="B3" s="118"/>
      <x:c r="C3" s="118"/>
      <x:c r="D3" s="118"/>
    </x:row>
    <x:row r="4" ht="24" customHeight="1">
      <x:c r="A4" s="404" t="str">
        <x:v>LIVE YOU TRY IT · CORE PATTERNS</x:v>
      </x:c>
      <x:c r="B4" s="404"/>
      <x:c r="C4" s="404"/>
      <x:c r="D4" s="404"/>
    </x:row>
    <x:row r="5" ht="24" customHeight="1">
      <x:c r="A5" s="334" t="str">
        <x:v>Concept</x:v>
      </x:c>
      <x:c r="B5" s="334" t="str">
        <x:v>Excel Pattern</x:v>
      </x:c>
      <x:c r="C5" s="334" t="str">
        <x:v>Plain-English Meaning</x:v>
      </x:c>
      <x:c r="D5" s="334" t="str">
        <x:v>Watch Out For</x:v>
      </x:c>
    </x:row>
    <x:row r="6" ht="34" customHeight="1">
      <x:c r="A6" s="339" t="str">
        <x:v>Total</x:v>
      </x:c>
      <x:c r="B6" s="402" t="str">
        <x:v> =SUM(FirstCell:LastCell)</x:v>
      </x:c>
      <x:c r="C6" s="339" t="str">
        <x:v>Adds a section or group of facts.</x:v>
      </x:c>
      <x:c r="D6" s="339" t="str">
        <x:v>Include every required row once.</x:v>
      </x:c>
    </x:row>
    <x:row r="7" ht="34" customHeight="1">
      <x:c r="A7" s="339" t="str">
        <x:v>Difference</x:v>
      </x:c>
      <x:c r="B7" s="402" t="str">
        <x:v> =LargerCell-SmallerCell</x:v>
      </x:c>
      <x:c r="C7" s="339" t="str">
        <x:v>Calculates profit, equity, or a check.</x:v>
      </x:c>
      <x:c r="D7" s="339" t="str">
        <x:v>Keep the intended sign.</x:v>
      </x:c>
    </x:row>
    <x:row r="8" ht="34" customHeight="1">
      <x:c r="A8" s="339" t="str">
        <x:v>Net income</x:v>
      </x:c>
      <x:c r="B8" s="402" t="str">
        <x:v> =GrossProfit-OperatingExpenses</x:v>
      </x:c>
      <x:c r="C8" s="339" t="str">
        <x:v>Shows profit after operating expenses.</x:v>
      </x:c>
      <x:c r="D8" s="339" t="str">
        <x:v>Profit is not the same as cash.</x:v>
      </x:c>
    </x:row>
    <x:row r="9" ht="34" customHeight="1">
      <x:c r="A9" s="339" t="str">
        <x:v>Net change in cash</x:v>
      </x:c>
      <x:c r="B9" s="402" t="str">
        <x:v> =SUM(Operating,Investing,Financing)</x:v>
      </x:c>
      <x:c r="C9" s="339" t="str">
        <x:v>Combines the three cash-flow sections.</x:v>
      </x:c>
      <x:c r="D9" s="339" t="str">
        <x:v>Cash outflows must be negative.</x:v>
      </x:c>
    </x:row>
    <x:row r="10" ht="34" customHeight="1">
      <x:c r="A10" s="339" t="str">
        <x:v>Ending cash</x:v>
      </x:c>
      <x:c r="B10" s="402" t="str">
        <x:v> =OpeningCash+NetChange</x:v>
      </x:c>
      <x:c r="C10" s="339" t="str">
        <x:v>Reconciles the period's cash movement.</x:v>
      </x:c>
      <x:c r="D10" s="339" t="str">
        <x:v>Ending cash must match the balance sheet.</x:v>
      </x:c>
    </x:row>
    <x:row r="11" ht="34" customHeight="1">
      <x:c r="A11" s="339" t="str">
        <x:v>Trend or ratio</x:v>
      </x:c>
      <x:c r="B11" s="402" t="str">
        <x:v> =NumeratorCell/DenominatorCell</x:v>
      </x:c>
      <x:c r="C11" s="339" t="str">
        <x:v>Compares one amount with another.</x:v>
      </x:c>
      <x:c r="D11" s="339" t="str">
        <x:v>Use the correct denominator and format.</x:v>
      </x:c>
    </x:row>
    <x:row r="12" ht="34" customHeight="1">
      <x:c r="A12" s="339" t="str">
        <x:v>Accounting equation</x:v>
      </x:c>
      <x:c r="B12" s="402" t="str">
        <x:v> =TotalAssets-(Liabilities+Equity)</x:v>
      </x:c>
      <x:c r="C12" s="339" t="str">
        <x:v>Returns zero when the balance sheet ties.</x:v>
      </x:c>
      <x:c r="D12" s="339" t="str">
        <x:v>Zero is the control result.</x:v>
      </x:c>
    </x:row>
    <x:row r="13" ht="42" customHeight="1">
      <x:c r="A13" s="118"/>
      <x:c r="B13" s="118"/>
      <x:c r="C13" s="118"/>
      <x:c r="D13" s="118"/>
    </x:row>
    <x:row r="14" ht="24" customHeight="1">
      <x:c r="A14" s="405" t="str">
        <x:v>CLASS CHALLENGE · INTEGRATED TIE-OUT PATTERNS</x:v>
      </x:c>
      <x:c r="B14" s="405"/>
      <x:c r="C14" s="405"/>
      <x:c r="D14" s="405"/>
    </x:row>
    <x:row r="15" ht="24" customHeight="1">
      <x:c r="A15" s="334" t="str">
        <x:v>Skill</x:v>
      </x:c>
      <x:c r="B15" s="334" t="str">
        <x:v>Excel Pattern</x:v>
      </x:c>
      <x:c r="C15" s="334" t="str">
        <x:v>Why It Matters</x:v>
      </x:c>
      <x:c r="D15" s="334" t="str">
        <x:v>Control</x:v>
      </x:c>
    </x:row>
    <x:row r="16" ht="38" customHeight="1">
      <x:c r="A16" s="339" t="str">
        <x:v>Link a fact</x:v>
      </x:c>
      <x:c r="B16" s="402" t="str">
        <x:v> =SourceCell</x:v>
      </x:c>
      <x:c r="C16" s="339" t="str">
        <x:v>Keeps one source of truth.</x:v>
      </x:c>
      <x:c r="D16" s="339" t="str">
        <x:v>Do not retype the amount.</x:v>
      </x:c>
    </x:row>
    <x:row r="17" ht="38" customHeight="1">
      <x:c r="A17" s="339" t="str">
        <x:v>Link net income</x:v>
      </x:c>
      <x:c r="B17" s="402" t="str">
        <x:v> =IncomeStatementNetIncome</x:v>
      </x:c>
      <x:c r="C17" s="339" t="str">
        <x:v>Carries profit into the equity section.</x:v>
      </x:c>
      <x:c r="D17" s="339" t="str">
        <x:v>The link check should be zero.</x:v>
      </x:c>
    </x:row>
    <x:row r="18" ht="38" customHeight="1">
      <x:c r="A18" s="339" t="str">
        <x:v>Section subtotal</x:v>
      </x:c>
      <x:c r="B18" s="402" t="str">
        <x:v> =SUM(FirstLine:LastLine)</x:v>
      </x:c>
      <x:c r="C18" s="339" t="str">
        <x:v>Builds transparent statement totals.</x:v>
      </x:c>
      <x:c r="D18" s="339" t="str">
        <x:v>Trace the included rows.</x:v>
      </x:c>
    </x:row>
    <x:row r="19" ht="38" customHeight="1">
      <x:c r="A19" s="339" t="str">
        <x:v>Ending equity</x:v>
      </x:c>
      <x:c r="B19" s="402" t="str">
        <x:v> =BeginningEquity+NetIncome+Distributions</x:v>
      </x:c>
      <x:c r="C19" s="339" t="str">
        <x:v>Rolls profit and owner distributions into equity.</x:v>
      </x:c>
      <x:c r="D19" s="339" t="str">
        <x:v>Distributions are entered as a negative amount.</x:v>
      </x:c>
    </x:row>
    <x:row r="20" ht="38" customHeight="1">
      <x:c r="A20" s="339" t="str">
        <x:v>Balance check</x:v>
      </x:c>
      <x:c r="B20" s="402" t="str">
        <x:v> =TotalAssets-TotalLiabilitiesAndEquity</x:v>
      </x:c>
      <x:c r="C20" s="339" t="str">
        <x:v>Tests the accounting equation.</x:v>
      </x:c>
      <x:c r="D20" s="339" t="str">
        <x:v>Expected result: zero.</x:v>
      </x:c>
    </x:row>
    <x:row r="21" ht="38" customHeight="1">
      <x:c r="A21" s="339" t="str">
        <x:v>Cash tie-out</x:v>
      </x:c>
      <x:c r="B21" s="402" t="str">
        <x:v> =CashFlowEndingCash-BalanceSheetCash</x:v>
      </x:c>
      <x:c r="C21" s="339" t="str">
        <x:v>Proves both statements report the same ending cash.</x:v>
      </x:c>
      <x:c r="D21" s="339" t="str">
        <x:v>Expected result: zero.</x:v>
      </x:c>
    </x:row>
    <x:row r="22" ht="38" customHeight="1">
      <x:c r="A22" s="339" t="str">
        <x:v>Collection rate</x:v>
      </x:c>
      <x:c r="B22" s="402" t="str">
        <x:v> =CashCollected/Revenue</x:v>
      </x:c>
      <x:c r="C22" s="339" t="str">
        <x:v>Quantifies the cash-timing red flag.</x:v>
      </x:c>
      <x:c r="D22" s="339" t="str">
        <x:v>Format as a percentage.</x:v>
      </x:c>
    </x:row>
  </x:sheetData>
  <x:mergeCells>
    <x:mergeCell ref="A1:D1"/>
    <x:mergeCell ref="A2:D2"/>
    <x:mergeCell ref="A4:D4"/>
    <x:mergeCell ref="A14:D14"/>
  </x:mergeCells>
  <x:pageMargins left="0.7" right="0.7" top="0.75" bottom="0.75" header="0.3" footer="0.3"/>
</x:worksheet>
</file>