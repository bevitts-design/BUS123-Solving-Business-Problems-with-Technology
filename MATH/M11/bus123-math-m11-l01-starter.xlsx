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Part 1 · Balance Sheet" sheetId="2" state="visible" r:id="rId2"/>
    <sheet xmlns:r="http://schemas.openxmlformats.org/officeDocument/2006/relationships" name="Part 2 · Income Statement" sheetId="3" state="visible" r:id="rId3"/>
    <sheet xmlns:r="http://schemas.openxmlformats.org/officeDocument/2006/relationships" name="Part 3 · Ratio Analysis" sheetId="4" state="visible" r:id="rId4"/>
    <sheet xmlns:r="http://schemas.openxmlformats.org/officeDocument/2006/relationships" name="FormulaReferenceCard" sheetId="5" state="visible" r:id="rId5"/>
  </sheets>
  <definedNames/>
</workbook>
</file>

<file path=xl/styles.xml><?xml version="1.0" encoding="utf-8"?>
<styleSheet xmlns="http://schemas.openxmlformats.org/spreadsheetml/2006/main">
  <numFmts count="0"/>
  <fonts count="22">
    <font>
      <name val="Calibri"/>
      <color theme="1"/>
      <sz val="11"/>
    </font>
    <font>
      <name val="Calibri"/>
      <b val="1"/>
      <color rgb="FFFAF8F3"/>
      <sz val="18"/>
    </font>
    <font>
      <name val="Calibri"/>
      <i val="1"/>
      <color rgb="FFB8843D"/>
      <sz val="11"/>
    </font>
    <font>
      <name val="Calibri"/>
      <b val="1"/>
      <color rgb="FF1A1F2C"/>
      <sz val="11"/>
    </font>
    <font>
      <name val="Calibri"/>
      <color rgb="FF1A1F2C"/>
      <sz val="11"/>
    </font>
    <font>
      <name val="Calibri"/>
      <i val="1"/>
      <color rgb="FF7A8290"/>
      <sz val="9"/>
    </font>
    <font>
      <name val="Calibri"/>
      <b val="1"/>
      <color rgb="FFFAF8F3"/>
      <sz val="13"/>
    </font>
    <font>
      <name val="Calibri"/>
      <b val="1"/>
      <color rgb="FFFAF8F3"/>
      <sz val="16"/>
    </font>
    <font>
      <name val="Calibri"/>
      <i val="1"/>
      <color rgb="FF1A1F2C"/>
      <sz val="10"/>
    </font>
    <font>
      <name val="Courier New"/>
      <b val="1"/>
      <color rgb="FF0E1116"/>
      <sz val="12"/>
    </font>
    <font>
      <name val="Calibri"/>
      <b val="1"/>
      <color rgb="FFFAF8F3"/>
      <sz val="11"/>
    </font>
    <font>
      <name val="Calibri"/>
      <b val="1"/>
      <color rgb="FF0E1116"/>
      <sz val="11"/>
    </font>
    <font>
      <name val="Calibri"/>
      <b val="1"/>
      <color rgb="FF0E1116"/>
      <sz val="12"/>
    </font>
    <font>
      <name val="Calibri"/>
      <i val="1"/>
      <color rgb="FF7A8290"/>
      <sz val="10"/>
    </font>
    <font>
      <name val="Calibri"/>
      <color rgb="FF1A1F2C"/>
      <sz val="10"/>
    </font>
    <font>
      <name val="Courier New"/>
      <color rgb="FF355773"/>
      <sz val="10"/>
    </font>
    <font>
      <name val="Calibri"/>
      <color rgb="FF0E1116"/>
      <sz val="11"/>
    </font>
    <font>
      <name val="Courier New"/>
      <b val="1"/>
      <color rgb="FF355773"/>
      <sz val="10"/>
    </font>
    <font>
      <name val="Calibri"/>
      <color rgb="FF4A5567"/>
      <sz val="10"/>
    </font>
    <font>
      <name val="Calibri"/>
      <i val="1"/>
      <color rgb="FF9C4A2B"/>
      <sz val="10"/>
    </font>
    <font>
      <name val="Calibri"/>
      <b val="1"/>
      <color rgb="FFB8843D"/>
      <sz val="11"/>
    </font>
    <font>
      <name val="Calibri"/>
      <b val="1"/>
      <color rgb="FF355773"/>
      <sz val="11"/>
    </font>
  </fonts>
  <fills count="21">
    <fill>
      <patternFill/>
    </fill>
    <fill>
      <patternFill patternType="gray125"/>
    </fill>
    <fill>
      <patternFill patternType="solid">
        <fgColor rgb="FF0E1116"/>
      </patternFill>
    </fill>
    <fill>
      <patternFill patternType="solid">
        <fgColor rgb="FF4A7C5E"/>
      </patternFill>
    </fill>
    <fill>
      <patternFill patternType="solid">
        <fgColor rgb="FFFFD966"/>
      </patternFill>
    </fill>
    <fill>
      <patternFill patternType="solid">
        <fgColor rgb="FFFFFFFF"/>
      </patternFill>
    </fill>
    <fill>
      <patternFill patternType="solid">
        <fgColor rgb="FFF2EEE5"/>
      </patternFill>
    </fill>
    <fill>
      <patternFill patternType="solid">
        <fgColor rgb="FFB8843D"/>
      </patternFill>
    </fill>
    <fill>
      <patternFill patternType="solid">
        <fgColor rgb="FFFDF4E7"/>
      </patternFill>
    </fill>
    <fill>
      <patternFill patternType="solid">
        <fgColor rgb="FFEAF3EC"/>
      </patternFill>
    </fill>
    <fill>
      <patternFill patternType="solid">
        <fgColor rgb="FFFAF0ED"/>
      </patternFill>
    </fill>
    <fill>
      <patternFill patternType="solid">
        <fgColor rgb="FF9C4A2B"/>
      </patternFill>
    </fill>
    <fill>
      <patternFill patternType="solid">
        <fgColor rgb="FF355773"/>
      </patternFill>
    </fill>
    <fill>
      <patternFill patternType="solid">
        <fgColor rgb="FF0E1116"/>
      </patternFill>
    </fill>
    <fill>
      <patternFill patternType="solid">
        <fgColor rgb="FFFFFFFF"/>
      </patternFill>
    </fill>
    <fill>
      <patternFill patternType="solid">
        <fgColor rgb="FFEAF3EC"/>
      </patternFill>
    </fill>
    <fill>
      <patternFill patternType="solid">
        <fgColor rgb="FFF2EEE5"/>
      </patternFill>
    </fill>
    <fill>
      <patternFill patternType="solid">
        <fgColor rgb="FF0E1116"/>
      </patternFill>
    </fill>
    <fill>
      <patternFill patternType="solid">
        <fgColor rgb="FFFFFFFF"/>
      </patternFill>
    </fill>
    <fill>
      <patternFill patternType="solid">
        <fgColor rgb="FFEAF3EC"/>
      </patternFill>
    </fill>
    <fill>
      <patternFill patternType="solid">
        <fgColor rgb="FFF2EEE5"/>
      </patternFill>
    </fill>
  </fills>
  <borders count="14">
    <border/>
    <border>
      <left style="medium">
        <color rgb="FF4A7C5E"/>
      </left>
      <top style="medium">
        <color rgb="FF4A7C5E"/>
      </top>
      <bottom style="medium">
        <color rgb="FF4A7C5E"/>
      </bottom>
    </border>
    <border>
      <left style="thin">
        <color rgb="FFE5E1D6"/>
      </left>
      <right style="thin">
        <color rgb="FFE5E1D6"/>
      </right>
      <top style="thin">
        <color rgb="FFE5E1D6"/>
      </top>
      <bottom style="thin">
        <color rgb="FFE5E1D6"/>
      </bottom>
    </border>
    <border>
      <left style="thin">
        <color rgb="FFE5E1D6"/>
      </left>
      <right style="thin">
        <color rgb="FFE5E1D6"/>
      </right>
      <top style="medium">
        <color rgb="FFB8843D"/>
      </top>
      <bottom style="medium">
        <color rgb="FFB8843D"/>
      </bottom>
    </border>
    <border>
      <left style="thin">
        <color rgb="FFE5E1D6"/>
      </left>
      <top style="thin">
        <color rgb="FFE5E1D6"/>
      </top>
      <bottom style="thin">
        <color rgb="FFE5E1D6"/>
      </bottom>
    </border>
    <border>
      <right style="thin">
        <color rgb="FFE5E1D6"/>
      </right>
      <bottom style="thin">
        <color rgb="FFE5E1D6"/>
      </bottom>
    </border>
    <border>
      <top style="medium">
        <color rgb="FF4A7C5E"/>
      </top>
    </border>
    <border>
      <top style="medium">
        <color rgb="FF4A7C5E"/>
      </top>
      <bottom style="medium">
        <color rgb="FF4A7C5E"/>
      </bottom>
    </border>
    <border>
      <top style="thin">
        <color rgb="FFE5E1D6"/>
      </top>
    </border>
    <border>
      <right style="thin">
        <color rgb="FFE5E1D6"/>
      </right>
      <top style="thin">
        <color rgb="FFE5E1D6"/>
      </top>
    </border>
    <border>
      <right style="thin">
        <color rgb="FFE5E1D6"/>
      </right>
      <top style="thin">
        <color rgb="FFE5E1D6"/>
      </top>
      <bottom style="thin">
        <color rgb="FFE5E1D6"/>
      </bottom>
    </border>
    <border>
      <top style="thin">
        <color rgb="FFE5E1D6"/>
      </top>
      <bottom style="thin">
        <color rgb="FFE5E1D6"/>
      </bottom>
    </border>
    <border>
      <right style="thin">
        <color rgb="FFE5E1D6"/>
      </right>
    </border>
    <border>
      <bottom style="thin">
        <color rgb="FFE5E1D6"/>
      </bottom>
    </border>
  </borders>
  <cellStyleXfs count="1">
    <xf numFmtId="0" fontId="0" fillId="0" borderId="0"/>
  </cellStyleXfs>
  <cellXfs count="90">
    <xf numFmtId="0" fontId="0" fillId="0" borderId="0" pivotButton="0" quotePrefix="0" xfId="0"/>
    <xf numFmtId="0" fontId="10" fillId="3" borderId="4" applyAlignment="1" pivotButton="0" quotePrefix="0" xfId="0">
      <alignment horizontal="left" vertical="center" wrapText="1"/>
    </xf>
    <xf numFmtId="0" fontId="13" fillId="4" borderId="0" applyAlignment="1" pivotButton="0" quotePrefix="0" xfId="0">
      <alignment horizontal="left" vertical="top" wrapText="1"/>
    </xf>
    <xf numFmtId="0" fontId="3" fillId="8" borderId="0" applyAlignment="1" pivotButton="0" quotePrefix="0" xfId="0">
      <alignment horizontal="left" vertical="center" wrapText="1"/>
    </xf>
    <xf numFmtId="0" fontId="12" fillId="9" borderId="1" applyAlignment="1" pivotButton="0" quotePrefix="0" xfId="0">
      <alignment horizontal="center" vertical="center" wrapText="1"/>
    </xf>
    <xf numFmtId="0" fontId="9" fillId="9" borderId="1" applyAlignment="1" pivotButton="0" quotePrefix="0" xfId="0">
      <alignment horizontal="center" vertical="center"/>
    </xf>
    <xf numFmtId="0" fontId="8" fillId="8" borderId="0" applyAlignment="1" pivotButton="0" quotePrefix="0" xfId="0">
      <alignment horizontal="left" vertical="center" wrapText="1"/>
    </xf>
    <xf numFmtId="0" fontId="7" fillId="2" borderId="0" applyAlignment="1" pivotButton="0" quotePrefix="0" xfId="0">
      <alignment horizontal="left" vertical="center"/>
    </xf>
    <xf numFmtId="0" fontId="6" fillId="7" borderId="0" applyAlignment="1" pivotButton="0" quotePrefix="0" xfId="0">
      <alignment horizontal="left" vertical="center"/>
    </xf>
    <xf numFmtId="0" fontId="4" fillId="6" borderId="0" applyAlignment="1" pivotButton="0" quotePrefix="0" xfId="0">
      <alignment horizontal="left" vertical="center" wrapText="1"/>
    </xf>
    <xf numFmtId="0" fontId="4" fillId="5" borderId="0" applyAlignment="1" pivotButton="0" quotePrefix="0" xfId="0">
      <alignment horizontal="left" vertical="center" wrapText="1"/>
    </xf>
    <xf numFmtId="0" fontId="6" fillId="3" borderId="0" applyAlignment="1" pivotButton="0" quotePrefix="0" xfId="0">
      <alignment horizontal="left" vertical="center"/>
    </xf>
    <xf numFmtId="0" fontId="2" fillId="2" borderId="0" applyAlignment="1" pivotButton="0" quotePrefix="0" xfId="0">
      <alignment horizontal="left" vertical="center"/>
    </xf>
    <xf numFmtId="0" fontId="1" fillId="2" borderId="0" applyAlignment="1" pivotButton="0" quotePrefix="0" xfId="0">
      <alignment horizontal="left" vertical="center"/>
    </xf>
    <xf numFmtId="0" fontId="0" fillId="2" borderId="0" pivotButton="0" quotePrefix="0" xfId="0"/>
    <xf numFmtId="0" fontId="0" fillId="3" borderId="0" pivotButton="0" quotePrefix="0" xfId="0"/>
    <xf numFmtId="0" fontId="3" fillId="0" borderId="0" applyAlignment="1" pivotButton="0" quotePrefix="0" xfId="0">
      <alignment horizontal="left" vertical="center" wrapText="1"/>
    </xf>
    <xf numFmtId="0" fontId="4" fillId="4" borderId="0" applyAlignment="1" pivotButton="0" quotePrefix="0" xfId="0">
      <alignment horizontal="left" vertical="center" wrapText="1"/>
    </xf>
    <xf numFmtId="0" fontId="5" fillId="0" borderId="0" pivotButton="0" quotePrefix="0" xfId="0"/>
    <xf numFmtId="0" fontId="4" fillId="0" borderId="0" applyAlignment="1" pivotButton="0" quotePrefix="0" xfId="0">
      <alignment horizontal="left" vertical="center" wrapText="1"/>
    </xf>
    <xf numFmtId="0" fontId="3" fillId="5" borderId="0" applyAlignment="1" pivotButton="0" quotePrefix="0" xfId="0">
      <alignment horizontal="left" vertical="center"/>
    </xf>
    <xf numFmtId="0" fontId="3" fillId="6" borderId="0" applyAlignment="1" pivotButton="0" quotePrefix="0" xfId="0">
      <alignment horizontal="left" vertical="center"/>
    </xf>
    <xf numFmtId="0" fontId="10" fillId="2" borderId="2" applyAlignment="1" pivotButton="0" quotePrefix="0" xfId="0">
      <alignment horizontal="center" vertical="center" wrapText="1"/>
    </xf>
    <xf numFmtId="0" fontId="3" fillId="6" borderId="2" applyAlignment="1" pivotButton="0" quotePrefix="0" xfId="0">
      <alignment horizontal="left" vertical="center"/>
    </xf>
    <xf numFmtId="0" fontId="0" fillId="6" borderId="2" pivotButton="0" quotePrefix="0" xfId="0"/>
    <xf numFmtId="0" fontId="4" fillId="5" borderId="2" applyAlignment="1" pivotButton="0" quotePrefix="0" xfId="0">
      <alignment horizontal="left" vertical="center"/>
    </xf>
    <xf numFmtId="3" fontId="4" fillId="4" borderId="2" applyAlignment="1" pivotButton="0" quotePrefix="0" xfId="0">
      <alignment horizontal="right" vertical="center"/>
    </xf>
    <xf numFmtId="0" fontId="11" fillId="9" borderId="3" applyAlignment="1" pivotButton="0" quotePrefix="0" xfId="0">
      <alignment horizontal="left" vertical="center"/>
    </xf>
    <xf numFmtId="3" fontId="11" fillId="9" borderId="3" applyAlignment="1" pivotButton="0" quotePrefix="0" xfId="0">
      <alignment horizontal="right" vertical="center"/>
    </xf>
    <xf numFmtId="0" fontId="11" fillId="10" borderId="3" applyAlignment="1" pivotButton="0" quotePrefix="0" xfId="0">
      <alignment horizontal="left" vertical="center"/>
    </xf>
    <xf numFmtId="3" fontId="11" fillId="10" borderId="3" applyAlignment="1" pivotButton="0" quotePrefix="0" xfId="0">
      <alignment horizontal="right" vertical="center"/>
    </xf>
    <xf numFmtId="0" fontId="11" fillId="8" borderId="3" applyAlignment="1" pivotButton="0" quotePrefix="0" xfId="0">
      <alignment horizontal="left" vertical="center"/>
    </xf>
    <xf numFmtId="3" fontId="11" fillId="8" borderId="3" applyAlignment="1" pivotButton="0" quotePrefix="0" xfId="0">
      <alignment horizontal="right" vertical="center"/>
    </xf>
    <xf numFmtId="0" fontId="0" fillId="7" borderId="0" pivotButton="0" quotePrefix="0" xfId="0"/>
    <xf numFmtId="0" fontId="4" fillId="5" borderId="2"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8" borderId="3" applyAlignment="1" pivotButton="0" quotePrefix="0" xfId="0">
      <alignment horizontal="left" vertical="center" wrapText="1"/>
    </xf>
    <xf numFmtId="0" fontId="0" fillId="11" borderId="0" pivotButton="0" quotePrefix="0" xfId="0"/>
    <xf numFmtId="0" fontId="14" fillId="5" borderId="2" applyAlignment="1" pivotButton="0" quotePrefix="0" xfId="0">
      <alignment horizontal="left" vertical="center" wrapText="1"/>
    </xf>
    <xf numFmtId="2" fontId="4" fillId="4" borderId="2" applyAlignment="1" pivotButton="0" quotePrefix="0" xfId="0">
      <alignment horizontal="right" vertical="center"/>
    </xf>
    <xf numFmtId="0" fontId="15" fillId="6" borderId="2" applyAlignment="1" pivotButton="0" quotePrefix="0" xfId="0">
      <alignment horizontal="center" vertical="center" wrapText="1"/>
    </xf>
    <xf numFmtId="0" fontId="13" fillId="4" borderId="2" applyAlignment="1" pivotButton="0" quotePrefix="0" xfId="0">
      <alignment horizontal="left" vertical="center" wrapText="1"/>
    </xf>
    <xf numFmtId="3" fontId="16" fillId="6" borderId="2" applyAlignment="1" pivotButton="0" quotePrefix="0" xfId="0">
      <alignment horizontal="right" vertical="center"/>
    </xf>
    <xf numFmtId="3" fontId="16" fillId="5" borderId="2" applyAlignment="1" pivotButton="0" quotePrefix="0" xfId="0">
      <alignment horizontal="right" vertical="center"/>
    </xf>
    <xf numFmtId="10" fontId="4" fillId="4" borderId="2" applyAlignment="1" pivotButton="0" quotePrefix="0" xfId="0">
      <alignment horizontal="right" vertical="center"/>
    </xf>
    <xf numFmtId="0" fontId="4" fillId="6" borderId="2" applyAlignment="1" pivotButton="0" quotePrefix="0" xfId="0">
      <alignment horizontal="left" vertical="center" wrapText="1"/>
    </xf>
    <xf numFmtId="0" fontId="3" fillId="6" borderId="2" applyAlignment="1" pivotButton="0" quotePrefix="0" xfId="0">
      <alignment horizontal="left" vertical="center" wrapText="1"/>
    </xf>
    <xf numFmtId="0" fontId="17" fillId="9" borderId="2" applyAlignment="1" pivotButton="0" quotePrefix="0" xfId="0">
      <alignment horizontal="left" vertical="center" wrapText="1"/>
    </xf>
    <xf numFmtId="0" fontId="18" fillId="6" borderId="2" applyAlignment="1" pivotButton="0" quotePrefix="0" xfId="0">
      <alignment horizontal="left" vertical="center" wrapText="1"/>
    </xf>
    <xf numFmtId="0" fontId="3" fillId="5" borderId="2" applyAlignment="1" pivotButton="0" quotePrefix="0" xfId="0">
      <alignment horizontal="left" vertical="center" wrapText="1"/>
    </xf>
    <xf numFmtId="0" fontId="18" fillId="5" borderId="2" applyAlignment="1" pivotButton="0" quotePrefix="0" xfId="0">
      <alignment horizontal="left" vertical="center" wrapText="1"/>
    </xf>
    <xf numFmtId="0" fontId="5" fillId="5" borderId="2" applyAlignment="1" pivotButton="0" quotePrefix="0" xfId="0">
      <alignment horizontal="left" vertical="center" wrapText="1"/>
    </xf>
    <xf numFmtId="0" fontId="5" fillId="9" borderId="2" applyAlignment="1" pivotButton="0" quotePrefix="0" xfId="0">
      <alignment horizontal="left" vertical="center" wrapText="1"/>
    </xf>
    <xf numFmtId="0" fontId="5" fillId="10" borderId="2" applyAlignment="1" pivotButton="0" quotePrefix="0" xfId="0">
      <alignment horizontal="left" vertical="center" wrapText="1"/>
    </xf>
    <xf numFmtId="0" fontId="5" fillId="8" borderId="2" applyAlignment="1" pivotButton="0" quotePrefix="0" xfId="0">
      <alignment horizontal="left" vertical="center" wrapText="1"/>
    </xf>
    <xf numFmtId="0" fontId="10" fillId="2" borderId="4" applyAlignment="1" pivotButton="0" quotePrefix="0" xfId="0">
      <alignment horizontal="center" vertical="center" wrapText="1"/>
    </xf>
    <xf numFmtId="0" fontId="3" fillId="8" borderId="5" applyAlignment="1" pivotButton="0" quotePrefix="0" xfId="0">
      <alignment horizontal="left" vertical="center" wrapText="1"/>
    </xf>
    <xf numFmtId="0" fontId="13" fillId="4" borderId="5" applyAlignment="1" pivotButton="0" quotePrefix="0" xfId="0">
      <alignment horizontal="left" vertical="top" wrapText="1"/>
    </xf>
    <xf numFmtId="0" fontId="10" fillId="3" borderId="0" applyAlignment="1" pivotButton="0" quotePrefix="0" xfId="0">
      <alignment horizontal="left" vertical="center" wrapText="1"/>
    </xf>
    <xf numFmtId="0" fontId="10" fillId="7" borderId="0" applyAlignment="1" pivotButton="0" quotePrefix="0" xfId="0">
      <alignment horizontal="left" vertical="center" wrapText="1"/>
    </xf>
    <xf numFmtId="0" fontId="10" fillId="11" borderId="0" applyAlignment="1" pivotButton="0" quotePrefix="0" xfId="0">
      <alignment horizontal="left" vertical="center" wrapText="1"/>
    </xf>
    <xf numFmtId="0" fontId="10" fillId="12" borderId="0" applyAlignment="1" pivotButton="0" quotePrefix="0" xfId="0">
      <alignment horizontal="left" vertical="center" wrapText="1"/>
    </xf>
    <xf numFmtId="0" fontId="19" fillId="10" borderId="0" applyAlignment="1" pivotButton="0" quotePrefix="0" xfId="0">
      <alignment horizontal="left" vertical="center" wrapText="1"/>
    </xf>
    <xf numFmtId="0" fontId="0" fillId="13" borderId="0" pivotButton="0" quotePrefix="0" xfId="0"/>
    <xf numFmtId="0" fontId="20" fillId="13" borderId="0" pivotButton="0" quotePrefix="0" xfId="0"/>
    <xf numFmtId="0" fontId="20" fillId="13" borderId="0" applyAlignment="1" pivotButton="0" quotePrefix="0" xfId="0">
      <alignment wrapText="1"/>
    </xf>
    <xf numFmtId="0" fontId="0" fillId="14" borderId="0" pivotButton="0" quotePrefix="0" xfId="0"/>
    <xf numFmtId="0" fontId="4" fillId="14" borderId="0" pivotButton="0" quotePrefix="0" xfId="0"/>
    <xf numFmtId="0" fontId="4" fillId="14" borderId="2" pivotButton="0" quotePrefix="0" xfId="0"/>
    <xf numFmtId="0" fontId="4" fillId="14" borderId="2" applyAlignment="1" pivotButton="0" quotePrefix="0" xfId="0">
      <alignment wrapText="1"/>
    </xf>
    <xf numFmtId="0" fontId="4" fillId="15" borderId="2" applyAlignment="1" pivotButton="0" quotePrefix="0" xfId="0">
      <alignment wrapText="1"/>
    </xf>
    <xf numFmtId="0" fontId="21" fillId="15" borderId="2" applyAlignment="1" pivotButton="0" quotePrefix="0" xfId="0">
      <alignment wrapText="1"/>
    </xf>
    <xf numFmtId="0" fontId="4" fillId="16" borderId="2" applyAlignment="1" pivotButton="0" quotePrefix="0" xfId="0">
      <alignment wrapText="1"/>
    </xf>
    <xf numFmtId="0" fontId="0" fillId="17" borderId="0" pivotButton="0" quotePrefix="0" xfId="0"/>
    <xf numFmtId="0" fontId="20" fillId="17" borderId="0" pivotButton="0" quotePrefix="0" xfId="0"/>
    <xf numFmtId="0" fontId="20" fillId="17" borderId="2" pivotButton="0" quotePrefix="0" xfId="0"/>
    <xf numFmtId="0" fontId="20" fillId="17" borderId="2" applyAlignment="1" pivotButton="0" quotePrefix="0" xfId="0">
      <alignment wrapText="1"/>
    </xf>
    <xf numFmtId="0" fontId="0" fillId="18" borderId="0" pivotButton="0" quotePrefix="0" xfId="0"/>
    <xf numFmtId="0" fontId="4" fillId="18" borderId="0" pivotButton="0" quotePrefix="0" xfId="0"/>
    <xf numFmtId="0" fontId="4" fillId="18" borderId="2" pivotButton="0" quotePrefix="0" xfId="0"/>
    <xf numFmtId="0" fontId="4" fillId="18" borderId="2" applyAlignment="1" pivotButton="0" quotePrefix="0" xfId="0">
      <alignment wrapText="1"/>
    </xf>
    <xf numFmtId="0" fontId="4" fillId="19" borderId="2" applyAlignment="1" pivotButton="0" quotePrefix="0" xfId="0">
      <alignment wrapText="1"/>
    </xf>
    <xf numFmtId="0" fontId="21" fillId="19" borderId="2" applyAlignment="1" pivotButton="0" quotePrefix="0" xfId="0">
      <alignment wrapText="1"/>
    </xf>
    <xf numFmtId="0" fontId="4" fillId="20" borderId="2" applyAlignment="1" pivotButton="0" quotePrefix="0" xfId="0">
      <alignment wrapText="1"/>
    </xf>
    <xf numFmtId="0" fontId="0" fillId="0" borderId="7" pivotButton="0" quotePrefix="0" xfId="0"/>
    <xf numFmtId="0" fontId="0" fillId="0" borderId="11" pivotButton="0" quotePrefix="0" xfId="0"/>
    <xf numFmtId="0" fontId="0" fillId="0" borderId="10" pivotButton="0" quotePrefix="0" xfId="0"/>
    <xf numFmtId="0" fontId="0" fillId="0" borderId="13" pivotButton="0" quotePrefix="0" xfId="0"/>
    <xf numFmtId="0" fontId="0" fillId="0" borderId="5" pivotButton="0" quotePrefix="0" xfId="0"/>
  </cellXfs>
  <cellStyles count="1">
    <cellStyle name="Normal" xfId="0"/>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43D"/>
      <rgbColor rgb="FF800080"/>
      <rgbColor rgb="FF008080"/>
      <rgbColor rgb="FFC0C0C0"/>
      <rgbColor rgb="FF7A8290"/>
      <rgbColor rgb="FF9999FF"/>
      <rgbColor rgb="FF993366"/>
      <rgbColor rgb="FFFDF4E7"/>
      <rgbColor rgb="FFEAF3EC"/>
      <rgbColor rgb="FF660066"/>
      <rgbColor rgb="FFFF8080"/>
      <rgbColor rgb="FF0066CC"/>
      <rgbColor rgb="FFE5E1D6"/>
      <rgbColor rgb="FF000080"/>
      <rgbColor rgb="FFFF00FF"/>
      <rgbColor rgb="FFFFFF00"/>
      <rgbColor rgb="FF00FFFF"/>
      <rgbColor rgb="FF800080"/>
      <rgbColor rgb="FF800000"/>
      <rgbColor rgb="FF008080"/>
      <rgbColor rgb="FF0000FF"/>
      <rgbColor rgb="FF00CCFF"/>
      <rgbColor rgb="FFFAF8F3"/>
      <rgbColor rgb="FFF2EEE5"/>
      <rgbColor rgb="FFFAF0ED"/>
      <rgbColor rgb="FF99CCFF"/>
      <rgbColor rgb="FFFF99CC"/>
      <rgbColor rgb="FFCC99FF"/>
      <rgbColor rgb="FFFFD966"/>
      <rgbColor rgb="FF3366FF"/>
      <rgbColor rgb="FF33CCCC"/>
      <rgbColor rgb="FF99CC00"/>
      <rgbColor rgb="FFFFCC00"/>
      <rgbColor rgb="FFFF9900"/>
      <rgbColor rgb="FFFF6600"/>
      <rgbColor rgb="FF4A5567"/>
      <rgbColor rgb="FF969696"/>
      <rgbColor rgb="FF003366"/>
      <rgbColor rgb="FF4A7C5E"/>
      <rgbColor rgb="FF0E1116"/>
      <rgbColor rgb="FF333300"/>
      <rgbColor rgb="FF9C4A2B"/>
      <rgbColor rgb="FF993366"/>
      <rgbColor rgb="FF355773"/>
      <rgbColor rgb="FF1A1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sheet1.xml><?xml version="1.0" encoding="utf-8"?>
<worksheet xmlns="http://schemas.openxmlformats.org/spreadsheetml/2006/main">
  <sheetPr>
    <tabColor rgb="FF0E1116"/>
    <outlinePr summaryBelow="1" summaryRight="1"/>
    <pageSetUpPr/>
  </sheetPr>
  <dimension ref="B1:D21"/>
  <sheetViews>
    <sheetView showGridLines="0" workbookViewId="0">
      <selection activeCell="A1" sqref="A1"/>
    </sheetView>
  </sheetViews>
  <sheetFormatPr baseColWidth="10" defaultColWidth="8.6640625" defaultRowHeight="15"/>
  <cols>
    <col width="2" customWidth="1" min="1" max="1"/>
    <col width="32" customWidth="1" min="2" max="2"/>
    <col width="48" customWidth="1" min="3" max="3"/>
    <col width="20" customWidth="1" min="4" max="4"/>
  </cols>
  <sheetData>
    <row r="1" ht="7.5" customHeight="1">
      <c r="B1" s="14" t="n"/>
    </row>
    <row r="2" ht="42" customHeight="1">
      <c r="B2" s="13" t="inlineStr">
        <is>
          <t>BUS123 · MATH-M11-L01  Financial Statements Activity</t>
        </is>
      </c>
    </row>
    <row r="3" ht="21.75" customHeight="1">
      <c r="B3" s="12" t="inlineStr">
        <is>
          <t>Harborside Medical Center · Fall 2026</t>
        </is>
      </c>
    </row>
    <row r="4" ht="7.5" customHeight="1">
      <c r="B4" s="15" t="n"/>
      <c r="C4" s="15" t="n"/>
      <c r="D4" s="15" t="n"/>
    </row>
    <row r="5" ht="9.75" customHeight="1"/>
    <row r="6" ht="21.75" customHeight="1">
      <c r="B6" s="16" t="inlineStr">
        <is>
          <t>Student Name:</t>
        </is>
      </c>
      <c r="C6" s="17" t="n"/>
      <c r="D6" s="18" t="inlineStr">
        <is>
          <t>← Enter your name</t>
        </is>
      </c>
    </row>
    <row r="7" ht="21.75" customHeight="1">
      <c r="B7" s="16" t="inlineStr">
        <is>
          <t>Date:</t>
        </is>
      </c>
      <c r="C7" s="19" t="n"/>
    </row>
    <row r="8" ht="21.75" customHeight="1">
      <c r="B8" s="16" t="inlineStr">
        <is>
          <t>Course:</t>
        </is>
      </c>
      <c r="C8" s="19" t="inlineStr">
        <is>
          <t>BUS123 — Solving Business Problems with Technology</t>
        </is>
      </c>
    </row>
    <row r="9" ht="13.5" customHeight="1"/>
    <row r="10" ht="24" customHeight="1">
      <c r="B10" s="11" t="inlineStr">
        <is>
          <t>Learning Objectives</t>
        </is>
      </c>
    </row>
    <row r="11" ht="25.5" customHeight="1">
      <c r="B11" s="10" t="inlineStr">
        <is>
          <t xml:space="preserve">  1. I can identify and explain what each of the three main financial statements tells you about a business.</t>
        </is>
      </c>
    </row>
    <row r="12" ht="25.5" customHeight="1">
      <c r="B12" s="9" t="inlineStr">
        <is>
          <t xml:space="preserve">  2. I can apply the fundamental accounting equation and verify that a balance sheet balances.</t>
        </is>
      </c>
    </row>
    <row r="13" ht="25.5" customHeight="1">
      <c r="B13" s="10" t="inlineStr">
        <is>
          <t xml:space="preserve">  3. I can calculate gross profit, COGS, and net income using Excel formulas.</t>
        </is>
      </c>
    </row>
    <row r="14" ht="25.5" customHeight="1">
      <c r="B14" s="9" t="inlineStr">
        <is>
          <t xml:space="preserve">  4. I can calculate and interpret six key financial ratios from real financial data.</t>
        </is>
      </c>
    </row>
    <row r="15" ht="13.5" customHeight="1"/>
    <row r="16" ht="24" customHeight="1">
      <c r="B16" s="8" t="inlineStr">
        <is>
          <t>How to Use This Workbook</t>
        </is>
      </c>
    </row>
    <row r="17" ht="24" customHeight="1">
      <c r="B17" s="20" t="inlineStr">
        <is>
          <t>🟨 Yellow cells</t>
        </is>
      </c>
      <c r="C17" s="10" t="inlineStr">
        <is>
          <t>are where YOU enter your answers. Do not change any other cells.</t>
        </is>
      </c>
    </row>
    <row r="18" ht="24" customHeight="1">
      <c r="B18" s="21" t="inlineStr">
        <is>
          <t>📋 Three Activity tabs</t>
        </is>
      </c>
      <c r="C18" s="9" t="inlineStr">
        <is>
          <t>complete each one in order: Balance Sheet → Income Statement → Ratio Analysis.</t>
        </is>
      </c>
    </row>
    <row r="19" ht="24" customHeight="1">
      <c r="B19" s="20" t="inlineStr">
        <is>
          <t>📐 FormulaReferenceCard</t>
        </is>
      </c>
      <c r="C19" s="10" t="inlineStr">
        <is>
          <t>has all the formulas you need — check it anytime!</t>
        </is>
      </c>
    </row>
    <row r="20" ht="24" customHeight="1">
      <c r="B20" s="21" t="inlineStr">
        <is>
          <t>✅ Green / 🔴 Red cells</t>
        </is>
      </c>
      <c r="C20" s="9" t="inlineStr">
        <is>
          <t>tell you if your answer is correct or needs another look.</t>
        </is>
      </c>
    </row>
    <row r="21" ht="24" customHeight="1">
      <c r="B21" s="20" t="inlineStr">
        <is>
          <t>💡 Tip</t>
        </is>
      </c>
      <c r="C21" s="10" t="inlineStr">
        <is>
          <t>Read each section's instructions before entering numbers.</t>
        </is>
      </c>
    </row>
  </sheetData>
  <mergeCells count="14">
    <mergeCell ref="B10:D10"/>
    <mergeCell ref="C20:D20"/>
    <mergeCell ref="B11:D11"/>
    <mergeCell ref="B3:D3"/>
    <mergeCell ref="B14:D14"/>
    <mergeCell ref="C21:D21"/>
    <mergeCell ref="B1:D1"/>
    <mergeCell ref="C19:D19"/>
    <mergeCell ref="B16:D16"/>
    <mergeCell ref="B13:D13"/>
    <mergeCell ref="C18:D18"/>
    <mergeCell ref="B12:D12"/>
    <mergeCell ref="C17:D17"/>
    <mergeCell ref="B2:D2"/>
  </mergeCells>
  <pageMargins left="0.7" right="0.7" top="0.75" bottom="0.75" header="0.3" footer="0.3"/>
</worksheet>
</file>

<file path=xl/worksheets/sheet2.xml><?xml version="1.0" encoding="utf-8"?>
<worksheet xmlns="http://schemas.openxmlformats.org/spreadsheetml/2006/main">
  <sheetPr>
    <tabColor rgb="FF4A7C5E"/>
    <outlinePr summaryBelow="1" summaryRight="1"/>
    <pageSetUpPr/>
  </sheetPr>
  <dimension ref="B1:F29"/>
  <sheetViews>
    <sheetView showGridLines="0" workbookViewId="0">
      <selection activeCell="A1" sqref="A1"/>
    </sheetView>
  </sheetViews>
  <sheetFormatPr baseColWidth="10" defaultColWidth="8.6640625" defaultRowHeight="15"/>
  <cols>
    <col width="2" customWidth="1" min="1" max="1"/>
    <col width="34" customWidth="1" min="2" max="2"/>
    <col width="18" customWidth="1" min="3" max="6"/>
    <col width="24" customWidth="1" min="7" max="7"/>
  </cols>
  <sheetData>
    <row r="1" ht="7.5" customHeight="1">
      <c r="B1" s="14" t="n"/>
    </row>
    <row r="2" ht="37.5" customHeight="1">
      <c r="B2" s="7" t="inlineStr">
        <is>
          <t>Part 1 · Balance Sheet — Does Harborside Balance?</t>
        </is>
      </c>
    </row>
    <row r="3" ht="6" customHeight="1">
      <c r="B3" s="15" t="n"/>
      <c r="C3" s="15" t="n"/>
      <c r="D3" s="15" t="n"/>
      <c r="E3" s="15" t="n"/>
      <c r="F3" s="15" t="n"/>
    </row>
    <row r="4" ht="18" customHeight="1">
      <c r="B4" s="6" t="inlineStr">
        <is>
          <t>Instructions: Harborside Medical Center's accounting team has recorded all transactions for the year. Your job is to (1) enter each account balance in the yellow cells, (2) write SUM formulas to calculate the totals, and (3) confirm the equation balances.</t>
        </is>
      </c>
    </row>
    <row r="5" ht="18" customHeight="1"/>
    <row r="6" ht="18" customHeight="1"/>
    <row r="7" ht="9.75" customHeight="1"/>
    <row r="8" ht="27.75" customHeight="1">
      <c r="B8" s="5" t="inlineStr">
        <is>
          <t>Accounting Equation:    Assets  =  Liabilities  +  Owner's Equity</t>
        </is>
      </c>
      <c r="C8" s="85" t="n"/>
      <c r="D8" s="85" t="n"/>
      <c r="E8" s="85" t="n"/>
      <c r="F8" s="85" t="n"/>
    </row>
    <row r="9" ht="9.75" customHeight="1"/>
    <row r="10" ht="27.75" customHeight="1">
      <c r="B10" s="22" t="inlineStr">
        <is>
          <t>ASSETS</t>
        </is>
      </c>
      <c r="C10" s="22" t="inlineStr">
        <is>
          <t>Account Balance</t>
        </is>
      </c>
      <c r="D10" s="22" t="inlineStr">
        <is>
          <t>LIABILITIES &amp; EQUITY</t>
        </is>
      </c>
      <c r="E10" s="22" t="inlineStr">
        <is>
          <t>Account Balance</t>
        </is>
      </c>
    </row>
    <row r="11" ht="21.75" customHeight="1">
      <c r="B11" s="23" t="inlineStr">
        <is>
          <t>Current Assets</t>
        </is>
      </c>
      <c r="C11" s="24" t="n"/>
      <c r="D11" s="23" t="inlineStr">
        <is>
          <t>Current Liabilities</t>
        </is>
      </c>
      <c r="E11" s="24" t="n"/>
    </row>
    <row r="12" ht="21.75" customHeight="1">
      <c r="B12" s="25" t="inlineStr">
        <is>
          <t xml:space="preserve">  Cash</t>
        </is>
      </c>
      <c r="C12" s="26" t="n"/>
      <c r="D12" s="25" t="inlineStr">
        <is>
          <t xml:space="preserve">  Accounts Payable</t>
        </is>
      </c>
      <c r="E12" s="26" t="n"/>
    </row>
    <row r="13" ht="21.75" customHeight="1">
      <c r="B13" s="25" t="inlineStr">
        <is>
          <t xml:space="preserve">  Accounts Receivable (Patient Billing)</t>
        </is>
      </c>
      <c r="C13" s="26" t="n"/>
      <c r="D13" s="25" t="inlineStr">
        <is>
          <t xml:space="preserve">  Salaries Payable</t>
        </is>
      </c>
      <c r="E13" s="26" t="n"/>
    </row>
    <row r="14" ht="21.75" customHeight="1">
      <c r="B14" s="25" t="inlineStr">
        <is>
          <t xml:space="preserve">  Medical Supplies Inventory</t>
        </is>
      </c>
      <c r="C14" s="26" t="n"/>
      <c r="D14" s="25" t="inlineStr">
        <is>
          <t xml:space="preserve">  Current Portion of Long-Term Debt</t>
        </is>
      </c>
      <c r="E14" s="26" t="n"/>
    </row>
    <row r="15" ht="21.75" customHeight="1">
      <c r="B15" s="25" t="inlineStr">
        <is>
          <t xml:space="preserve">  Prepaid Expenses</t>
        </is>
      </c>
      <c r="C15" s="26" t="n"/>
      <c r="D15" s="27" t="inlineStr">
        <is>
          <t>Total Current Liabilities</t>
        </is>
      </c>
      <c r="E15" s="28">
        <f>SUM(E12:E14)</f>
        <v/>
      </c>
    </row>
    <row r="16" ht="21.75" customHeight="1">
      <c r="B16" s="27" t="inlineStr">
        <is>
          <t>Total Current Assets</t>
        </is>
      </c>
      <c r="C16" s="28">
        <f>SUM(C12:C15)</f>
        <v/>
      </c>
      <c r="D16" s="23" t="inlineStr">
        <is>
          <t>Long-Term Liabilities</t>
        </is>
      </c>
      <c r="E16" s="24" t="n"/>
    </row>
    <row r="17" ht="21.75" customHeight="1">
      <c r="B17" s="23" t="inlineStr">
        <is>
          <t>Non-Current Assets</t>
        </is>
      </c>
      <c r="C17" s="24" t="n"/>
      <c r="D17" s="25" t="inlineStr">
        <is>
          <t xml:space="preserve">  Long-Term Bank Loan</t>
        </is>
      </c>
      <c r="E17" s="26" t="n"/>
    </row>
    <row r="18" ht="21.75" customHeight="1">
      <c r="B18" s="25" t="inlineStr">
        <is>
          <t xml:space="preserve">  Medical Equipment (net of depreciation)</t>
        </is>
      </c>
      <c r="C18" s="26" t="n"/>
      <c r="D18" s="27" t="inlineStr">
        <is>
          <t>Total Long-Term Liabilities</t>
        </is>
      </c>
      <c r="E18" s="28">
        <f>E17</f>
        <v/>
      </c>
    </row>
    <row r="19" ht="21.75" customHeight="1">
      <c r="B19" s="25" t="inlineStr">
        <is>
          <t xml:space="preserve">  Buildings &amp; Improvements</t>
        </is>
      </c>
      <c r="C19" s="26" t="n"/>
      <c r="D19" s="29" t="inlineStr">
        <is>
          <t>Total Liabilities</t>
        </is>
      </c>
      <c r="E19" s="30">
        <f>E15+E18</f>
        <v/>
      </c>
    </row>
    <row r="20" ht="21.75" customHeight="1">
      <c r="B20" s="27" t="inlineStr">
        <is>
          <t>Total Non-Current Assets</t>
        </is>
      </c>
      <c r="C20" s="28">
        <f>SUM(C18:C19)</f>
        <v/>
      </c>
      <c r="D20" s="23" t="inlineStr">
        <is>
          <t>Owner's Equity</t>
        </is>
      </c>
      <c r="E20" s="24" t="n"/>
    </row>
    <row r="21" ht="21.75" customHeight="1">
      <c r="B21" s="31" t="inlineStr">
        <is>
          <t>TOTAL ASSETS</t>
        </is>
      </c>
      <c r="C21" s="32">
        <f>C16+C20</f>
        <v/>
      </c>
      <c r="D21" s="25" t="inlineStr">
        <is>
          <t xml:space="preserve">  Owner's Capital &amp; Retained Earnings</t>
        </is>
      </c>
      <c r="E21" s="26" t="n"/>
    </row>
    <row r="22" ht="21.75" customHeight="1">
      <c r="D22" s="31" t="inlineStr">
        <is>
          <t>TOTAL LIABILITIES + EQUITY</t>
        </is>
      </c>
      <c r="E22" s="32">
        <f>E19+E21</f>
        <v/>
      </c>
    </row>
    <row r="25" ht="9.75" customHeight="1"/>
    <row r="26" ht="31.5" customHeight="1">
      <c r="B26" s="4">
        <f>IF(COUNT(C12:C15,C18:C19,E12:E14,E17,E21)&lt;10,"⚠️  ENTER ALL ACCOUNT BALANCES BEFORE CHECKING",IF(C21=E22,"✅  BALANCED — Assets = Liabilities + Equity  ($"&amp;TEXT(C21,"#,##0")&amp;")","⚠️  NOT BALANCED — Check your entries. Assets: $"&amp;TEXT(C21,"#,##0")&amp;"  |  L+E: $"&amp;TEXT(E22,"#,##0")))</f>
        <v/>
      </c>
      <c r="C26" s="85" t="n"/>
      <c r="D26" s="85" t="n"/>
      <c r="E26" s="85" t="n"/>
      <c r="F26" s="85" t="n"/>
    </row>
    <row r="28" ht="21.75" customHeight="1">
      <c r="B28" s="3" t="inlineStr">
        <is>
          <t>💬  Reflection: Harborside has $680,000 in Accounts Receivable. Why might this be a concern even though the balance sheet looks healthy?</t>
        </is>
      </c>
    </row>
    <row r="29" ht="48" customHeight="1">
      <c r="B29" s="2" t="inlineStr">
        <is>
          <t>Your answer:</t>
        </is>
      </c>
    </row>
  </sheetData>
  <mergeCells count="7">
    <mergeCell ref="B29:F29"/>
    <mergeCell ref="B2:F2"/>
    <mergeCell ref="B28:F28"/>
    <mergeCell ref="B1:F1"/>
    <mergeCell ref="B8:F8"/>
    <mergeCell ref="B26:F26"/>
    <mergeCell ref="B4:F6"/>
  </mergeCells>
  <pageMargins left="0.7" right="0.7" top="0.75" bottom="0.75" header="0.3" footer="0.3"/>
</worksheet>
</file>

<file path=xl/worksheets/sheet3.xml><?xml version="1.0" encoding="utf-8"?>
<worksheet xmlns="http://schemas.openxmlformats.org/spreadsheetml/2006/main">
  <sheetPr>
    <tabColor rgb="FFB8843D"/>
    <outlinePr summaryBelow="1" summaryRight="1"/>
    <pageSetUpPr/>
  </sheetPr>
  <dimension ref="B1:E26"/>
  <sheetViews>
    <sheetView showGridLines="0" workbookViewId="0">
      <selection activeCell="A1" sqref="A1"/>
    </sheetView>
  </sheetViews>
  <sheetFormatPr baseColWidth="10" defaultColWidth="8.6640625" defaultRowHeight="15"/>
  <cols>
    <col width="2" customWidth="1" min="1" max="1"/>
    <col width="36" customWidth="1" min="2" max="2"/>
    <col width="20" customWidth="1" min="3" max="6"/>
  </cols>
  <sheetData>
    <row r="1" ht="7.5" customHeight="1">
      <c r="B1" s="14" t="n"/>
    </row>
    <row r="2" ht="37.5" customHeight="1">
      <c r="B2" s="7" t="inlineStr">
        <is>
          <t>Part 2 · Income Statement — How Much Did Harborside Earn?</t>
        </is>
      </c>
    </row>
    <row r="3" ht="6" customHeight="1">
      <c r="B3" s="33" t="n"/>
      <c r="C3" s="33" t="n"/>
      <c r="D3" s="33" t="n"/>
      <c r="E3" s="33" t="n"/>
    </row>
    <row r="4" ht="18" customHeight="1">
      <c r="B4" s="6" t="inlineStr">
        <is>
          <t>Instructions: The accounting team has provided Harborside's revenue and cost data. Enter the given amounts in yellow cells, then build the formulas for Gross Profit and Net Income. There are three account sections. Read each one carefully before entering data.</t>
        </is>
      </c>
    </row>
    <row r="5" ht="18" customHeight="1"/>
    <row r="6" ht="18" customHeight="1"/>
    <row r="7" ht="9.75" customHeight="1"/>
    <row r="8" ht="24" customHeight="1">
      <c r="B8" s="1" t="inlineStr">
        <is>
          <t xml:space="preserve">  SECTION A · Net Sales Calculation</t>
        </is>
      </c>
      <c r="C8" s="86" t="n"/>
      <c r="D8" s="86" t="n"/>
      <c r="E8" s="86" t="n"/>
    </row>
    <row r="9" ht="21.75" customHeight="1">
      <c r="B9" s="34" t="inlineStr">
        <is>
          <t>Gross Patient Service Revenue</t>
        </is>
      </c>
      <c r="C9" s="26" t="n"/>
      <c r="D9" s="52" t="inlineStr">
        <is>
          <t>Given</t>
        </is>
      </c>
      <c r="E9" s="87" t="n"/>
    </row>
    <row r="10" ht="21.75" customHeight="1">
      <c r="B10" s="34" t="inlineStr">
        <is>
          <t>Less: Contractual Adjustments &amp; Discounts</t>
        </is>
      </c>
      <c r="C10" s="26" t="n"/>
      <c r="D10" s="52" t="inlineStr">
        <is>
          <t>Given</t>
        </is>
      </c>
      <c r="E10" s="87" t="n"/>
    </row>
    <row r="11" ht="21.75" customHeight="1">
      <c r="B11" s="35" t="inlineStr">
        <is>
          <t>Net Patient Service Revenue (Net Sales)</t>
        </is>
      </c>
      <c r="C11" s="28">
        <f>C9-C10</f>
        <v/>
      </c>
      <c r="D11" s="53" t="inlineStr">
        <is>
          <t xml:space="preserve"> =gross revenue − Adjustments</t>
        </is>
      </c>
      <c r="E11" s="87" t="n"/>
    </row>
    <row r="12" ht="9.75" customHeight="1"/>
    <row r="13" ht="24" customHeight="1">
      <c r="B13" s="1" t="inlineStr">
        <is>
          <t xml:space="preserve">  SECTION B · Cost of Services (COGS)</t>
        </is>
      </c>
      <c r="C13" s="86" t="n"/>
      <c r="D13" s="86" t="n"/>
      <c r="E13" s="86" t="n"/>
    </row>
    <row r="14" ht="21.75" customHeight="1">
      <c r="B14" s="34" t="inlineStr">
        <is>
          <t>Beginning Medical Supplies Inventory</t>
        </is>
      </c>
      <c r="C14" s="26" t="n"/>
      <c r="D14" s="52" t="inlineStr">
        <is>
          <t>Given</t>
        </is>
      </c>
      <c r="E14" s="87" t="n"/>
    </row>
    <row r="15" ht="21.75" customHeight="1">
      <c r="B15" s="34" t="inlineStr">
        <is>
          <t>Net Purchases of Supplies</t>
        </is>
      </c>
      <c r="C15" s="26" t="n"/>
      <c r="D15" s="52" t="inlineStr">
        <is>
          <t>Given</t>
        </is>
      </c>
      <c r="E15" s="87" t="n"/>
    </row>
    <row r="16" ht="21.75" customHeight="1">
      <c r="B16" s="34" t="inlineStr">
        <is>
          <t>Ending Medical Supplies Inventory</t>
        </is>
      </c>
      <c r="C16" s="26" t="n"/>
      <c r="D16" s="52" t="inlineStr">
        <is>
          <t>Given</t>
        </is>
      </c>
      <c r="E16" s="87" t="n"/>
    </row>
    <row r="17" ht="21.75" customHeight="1">
      <c r="B17" s="34" t="inlineStr">
        <is>
          <t>Direct Labor (Clinical Staff Wages)</t>
        </is>
      </c>
      <c r="C17" s="26" t="n"/>
      <c r="D17" s="52" t="inlineStr">
        <is>
          <t>Given</t>
        </is>
      </c>
      <c r="E17" s="87" t="n"/>
    </row>
    <row r="18" ht="21.75" customHeight="1">
      <c r="B18" s="36" t="inlineStr">
        <is>
          <t>Cost of Services (COGS)</t>
        </is>
      </c>
      <c r="C18" s="30">
        <f>C14+C15-C16+C17</f>
        <v/>
      </c>
      <c r="D18" s="54" t="inlineStr">
        <is>
          <t xml:space="preserve"> =beg. inventory + net purchases − End. Inventory + Direct Labor</t>
        </is>
      </c>
      <c r="E18" s="87" t="n"/>
    </row>
    <row r="19" ht="9.75" customHeight="1"/>
    <row r="20" ht="24" customHeight="1">
      <c r="B20" s="1" t="inlineStr">
        <is>
          <t xml:space="preserve">  SECTION C · Gross Profit &amp; Net Income</t>
        </is>
      </c>
      <c r="C20" s="86" t="n"/>
      <c r="D20" s="86" t="n"/>
      <c r="E20" s="86" t="n"/>
    </row>
    <row r="21" ht="21.75" customHeight="1">
      <c r="B21" s="35" t="inlineStr">
        <is>
          <t>Gross Profit</t>
        </is>
      </c>
      <c r="C21" s="28">
        <f>C11-C18</f>
        <v/>
      </c>
      <c r="D21" s="53" t="inlineStr">
        <is>
          <t xml:space="preserve"> =net sales − Cost of Services  ← BUILD THIS FORMULA</t>
        </is>
      </c>
      <c r="E21" s="87" t="n"/>
    </row>
    <row r="22" ht="21.75" customHeight="1">
      <c r="B22" s="34" t="inlineStr">
        <is>
          <t>Operating Expenses (Admin, Overhead, Utilities)</t>
        </is>
      </c>
      <c r="C22" s="26" t="n"/>
      <c r="D22" s="52" t="inlineStr">
        <is>
          <t>Given</t>
        </is>
      </c>
      <c r="E22" s="87" t="n"/>
    </row>
    <row r="23" ht="21.75" customHeight="1">
      <c r="B23" s="37" t="inlineStr">
        <is>
          <t>Net Income</t>
        </is>
      </c>
      <c r="C23" s="32">
        <f>C21-C22</f>
        <v/>
      </c>
      <c r="D23" s="55" t="inlineStr">
        <is>
          <t xml:space="preserve"> =gross profit − Operating Expenses  ← BUILD THIS FORMULA</t>
        </is>
      </c>
      <c r="E23" s="87" t="n"/>
    </row>
    <row r="25" ht="21.75" customHeight="1">
      <c r="B25" s="3" t="inlineStr">
        <is>
          <t>💬  Reflection: Harborside has $450,000 net income but only $412,000 in cash. Why the gap? Which statement shows you the cash situation?</t>
        </is>
      </c>
    </row>
    <row r="26" ht="48" customHeight="1">
      <c r="B26" s="2" t="inlineStr">
        <is>
          <t>Your answer:</t>
        </is>
      </c>
    </row>
  </sheetData>
  <mergeCells count="19">
    <mergeCell ref="D10:E10"/>
    <mergeCell ref="D22:E22"/>
    <mergeCell ref="B20:E20"/>
    <mergeCell ref="D21:E21"/>
    <mergeCell ref="B26:E26"/>
    <mergeCell ref="D11:E11"/>
    <mergeCell ref="B4:E6"/>
    <mergeCell ref="B25:E25"/>
    <mergeCell ref="D17:E17"/>
    <mergeCell ref="D16:E16"/>
    <mergeCell ref="B2:E2"/>
    <mergeCell ref="D18:E18"/>
    <mergeCell ref="D9:E9"/>
    <mergeCell ref="B1:E1"/>
    <mergeCell ref="B8:E8"/>
    <mergeCell ref="D15:E15"/>
    <mergeCell ref="B13:E13"/>
    <mergeCell ref="D23:E23"/>
    <mergeCell ref="D14:E14"/>
  </mergeCells>
  <pageMargins left="0.7" right="0.7" top="0.75" bottom="0.75" header="0.3" footer="0.3"/>
</worksheet>
</file>

<file path=xl/worksheets/sheet4.xml><?xml version="1.0" encoding="utf-8"?>
<worksheet xmlns="http://schemas.openxmlformats.org/spreadsheetml/2006/main">
  <sheetPr>
    <tabColor rgb="FF9C4A2B"/>
    <outlinePr summaryBelow="1" summaryRight="1"/>
    <pageSetUpPr/>
  </sheetPr>
  <dimension ref="B1:F22"/>
  <sheetViews>
    <sheetView showGridLines="0" workbookViewId="0">
      <selection activeCell="A1" sqref="A1"/>
    </sheetView>
  </sheetViews>
  <sheetFormatPr baseColWidth="10" defaultColWidth="8.6640625" defaultRowHeight="15"/>
  <cols>
    <col width="2" customWidth="1" min="1" max="1"/>
    <col width="28" customWidth="1" min="2" max="2"/>
    <col width="18" customWidth="1" min="3" max="3"/>
    <col width="16" customWidth="1" min="4" max="4"/>
    <col width="30" customWidth="1" min="5" max="5"/>
    <col width="28" customWidth="1" min="6" max="6"/>
  </cols>
  <sheetData>
    <row r="1" ht="7.5" customHeight="1">
      <c r="B1" s="14" t="n"/>
    </row>
    <row r="2" ht="37.5" customHeight="1">
      <c r="B2" s="7" t="inlineStr">
        <is>
          <t>Part 3 · Ratio Analysis — How Is Harborside Performing?</t>
        </is>
      </c>
    </row>
    <row r="3" ht="6" customHeight="1">
      <c r="B3" s="38" t="n"/>
      <c r="C3" s="38" t="n"/>
      <c r="D3" s="38" t="n"/>
      <c r="E3" s="38" t="n"/>
      <c r="F3" s="38" t="n"/>
    </row>
    <row r="4" ht="18" customHeight="1">
      <c r="B4" s="6" t="inlineStr">
        <is>
          <t>Instructions: Use the Harborside data in the green Data Panel on the right. Build the Excel formula for each ratio in column C (yellow). Your formula must reference the data cells — don't just type the number! Then interpret each result in column E.</t>
        </is>
      </c>
    </row>
    <row r="5" ht="18" customHeight="1"/>
    <row r="6" ht="18" customHeight="1"/>
    <row r="7" ht="9.75" customHeight="1"/>
    <row r="8" ht="27.75" customHeight="1">
      <c r="B8" s="22" t="inlineStr">
        <is>
          <t>Ratio Name</t>
        </is>
      </c>
      <c r="C8" s="22" t="inlineStr">
        <is>
          <t>Your Formula &amp; Result</t>
        </is>
      </c>
      <c r="D8" s="22" t="inlineStr">
        <is>
          <t>Industry Avg</t>
        </is>
      </c>
      <c r="E8" s="56" t="inlineStr">
        <is>
          <t>What does this tell us about Harborside?</t>
        </is>
      </c>
      <c r="F8" s="86" t="n"/>
    </row>
    <row r="9" ht="37.5" customHeight="1">
      <c r="B9" s="39" t="inlineStr">
        <is>
          <t>Current Ratio
(Current Assets ÷ Current Liabilities)</t>
        </is>
      </c>
      <c r="C9" s="40">
        <f>F18/F20</f>
        <v/>
      </c>
      <c r="D9" s="41" t="inlineStr">
        <is>
          <t>2.0 : 1</t>
        </is>
      </c>
      <c r="E9" s="42" t="inlineStr">
        <is>
          <t>Write your interpretation here...</t>
        </is>
      </c>
      <c r="F9" s="43" t="n">
        <v>4250000</v>
      </c>
    </row>
    <row r="10" ht="37.5" customHeight="1">
      <c r="B10" s="39" t="inlineStr">
        <is>
          <t>Quick Ratio
((Cash + Accts Rec.) ÷ Current Liabilities)</t>
        </is>
      </c>
      <c r="C10" s="40">
        <f>(F14+F15)/F20</f>
        <v/>
      </c>
      <c r="D10" s="41" t="inlineStr">
        <is>
          <t>1.0 : 1</t>
        </is>
      </c>
      <c r="E10" s="42" t="inlineStr">
        <is>
          <t>Write your interpretation here...</t>
        </is>
      </c>
      <c r="F10" s="44" t="n">
        <v>2380000</v>
      </c>
    </row>
    <row r="11" ht="37.5" customHeight="1">
      <c r="B11" s="39" t="inlineStr">
        <is>
          <t>Total Debt to Total Assets
(Total Liabilities ÷ Total Assets)</t>
        </is>
      </c>
      <c r="C11" s="45">
        <f>F21/F19</f>
        <v/>
      </c>
      <c r="D11" s="41" t="inlineStr">
        <is>
          <t>50%–70%</t>
        </is>
      </c>
      <c r="E11" s="42" t="inlineStr">
        <is>
          <t>Write your interpretation here...</t>
        </is>
      </c>
      <c r="F11" s="43" t="n">
        <v>1870000</v>
      </c>
    </row>
    <row r="12" ht="37.5" customHeight="1">
      <c r="B12" s="39" t="inlineStr">
        <is>
          <t>Return on Equity (ROE)
(Net Income ÷ Owner's Equity)</t>
        </is>
      </c>
      <c r="C12" s="45">
        <f>F13/F22</f>
        <v/>
      </c>
      <c r="D12" s="41" t="inlineStr">
        <is>
          <t>15%–20%</t>
        </is>
      </c>
      <c r="E12" s="42" t="inlineStr">
        <is>
          <t>Write your interpretation here...</t>
        </is>
      </c>
      <c r="F12" s="44" t="n">
        <v>1420000</v>
      </c>
    </row>
    <row r="13" ht="37.5" customHeight="1">
      <c r="B13" s="39" t="inlineStr">
        <is>
          <t>Profit Margin on Net Sales
(Net Income ÷ Net Revenue)</t>
        </is>
      </c>
      <c r="C13" s="45">
        <f>F13/F11</f>
        <v/>
      </c>
      <c r="D13" s="41" t="inlineStr">
        <is>
          <t>8%–12%</t>
        </is>
      </c>
      <c r="E13" s="42" t="inlineStr">
        <is>
          <t>Write your interpretation here...</t>
        </is>
      </c>
      <c r="F13" s="43" t="n">
        <v>450000</v>
      </c>
    </row>
    <row r="14" ht="37.5" customHeight="1">
      <c r="B14" s="39" t="inlineStr">
        <is>
          <t>Asset Turnover
(Net Revenue ÷ Total Assets)</t>
        </is>
      </c>
      <c r="C14" s="40">
        <f>F11/F19</f>
        <v/>
      </c>
      <c r="D14" s="41" t="inlineStr">
        <is>
          <t>$0.13</t>
        </is>
      </c>
      <c r="E14" s="42" t="inlineStr">
        <is>
          <t>Write your interpretation here...</t>
        </is>
      </c>
      <c r="F14" s="44" t="n">
        <v>412000</v>
      </c>
    </row>
    <row r="15" ht="21.75" customHeight="1">
      <c r="E15" s="46" t="inlineStr">
        <is>
          <t>Accounts Receivable</t>
        </is>
      </c>
      <c r="F15" s="43" t="n">
        <v>680000</v>
      </c>
    </row>
    <row r="16" ht="9.75" customHeight="1">
      <c r="E16" s="34" t="inlineStr">
        <is>
          <t>Medical Supplies</t>
        </is>
      </c>
      <c r="F16" s="44" t="n">
        <v>95000</v>
      </c>
    </row>
    <row r="17" ht="24" customHeight="1">
      <c r="B17" s="57" t="inlineStr">
        <is>
          <t>🏆  CHALLENGE: Based on the ratios you calculated, write a 2-3 sentence summary of Harborside's financial health for the CFO.</t>
        </is>
      </c>
      <c r="C17" s="88" t="n"/>
      <c r="D17" s="88" t="n"/>
      <c r="E17" s="89" t="n"/>
      <c r="F17" s="43" t="n">
        <v>38000</v>
      </c>
    </row>
    <row r="18" ht="63.75" customHeight="1">
      <c r="B18" s="58" t="inlineStr">
        <is>
          <t>Your summary:</t>
        </is>
      </c>
      <c r="C18" s="88" t="n"/>
      <c r="D18" s="88" t="n"/>
      <c r="E18" s="89" t="n"/>
      <c r="F18" s="44" t="n">
        <v>1225000</v>
      </c>
    </row>
    <row r="19" ht="21.75" customHeight="1">
      <c r="E19" s="46" t="inlineStr">
        <is>
          <t>Total Assets</t>
        </is>
      </c>
      <c r="F19" s="43" t="n">
        <v>3027000</v>
      </c>
    </row>
    <row r="20" ht="21.75" customHeight="1">
      <c r="E20" s="34" t="inlineStr">
        <is>
          <t>Total Current Liabilities</t>
        </is>
      </c>
      <c r="F20" s="44" t="n">
        <v>505000</v>
      </c>
    </row>
    <row r="21" ht="21.75" customHeight="1">
      <c r="E21" s="46" t="inlineStr">
        <is>
          <t>Total Liabilities</t>
        </is>
      </c>
      <c r="F21" s="43" t="n">
        <v>1305000</v>
      </c>
    </row>
    <row r="22" ht="21.75" customHeight="1">
      <c r="E22" s="34" t="inlineStr">
        <is>
          <t>Owner's Equity</t>
        </is>
      </c>
      <c r="F22" s="44" t="n">
        <v>1722000</v>
      </c>
    </row>
  </sheetData>
  <mergeCells count="6">
    <mergeCell ref="B17:E17"/>
    <mergeCell ref="B18:E18"/>
    <mergeCell ref="B2:F2"/>
    <mergeCell ref="B1:F1"/>
    <mergeCell ref="E8:F8"/>
    <mergeCell ref="B4:F6"/>
  </mergeCells>
  <pageMargins left="0.7" right="0.7" top="0.75" bottom="0.75" header="0.3" footer="0.3"/>
</worksheet>
</file>

<file path=xl/worksheets/sheet5.xml><?xml version="1.0" encoding="utf-8"?>
<worksheet xmlns="http://schemas.openxmlformats.org/spreadsheetml/2006/main">
  <sheetPr>
    <tabColor rgb="FFB8843D"/>
    <outlinePr summaryBelow="1" summaryRight="1"/>
    <pageSetUpPr/>
  </sheetPr>
  <dimension ref="A1:D24"/>
  <sheetViews>
    <sheetView showGridLines="0" workbookViewId="0">
      <selection activeCell="A1" sqref="A1"/>
    </sheetView>
  </sheetViews>
  <sheetFormatPr baseColWidth="10" defaultColWidth="8.6640625" defaultRowHeight="15"/>
  <cols>
    <col width="21.11000061035156" customWidth="1" min="1" max="1"/>
    <col width="25.55999946594238" customWidth="1" min="2" max="2"/>
    <col width="34.43999862670898" customWidth="1" min="3" max="3"/>
    <col width="33.33000183105469" customWidth="1" min="4" max="4"/>
    <col width="20" customWidth="1" min="5" max="5"/>
  </cols>
  <sheetData>
    <row r="1" ht="31.5" customHeight="1">
      <c r="A1" s="77" t="inlineStr">
        <is>
          <t>Concept</t>
        </is>
      </c>
      <c r="B1" s="77" t="inlineStr">
        <is>
          <t>Excel Pattern</t>
        </is>
      </c>
      <c r="C1" s="77" t="inlineStr">
        <is>
          <t>Plain-English Meaning</t>
        </is>
      </c>
      <c r="D1" s="77" t="inlineStr">
        <is>
          <t>Watch Out For</t>
        </is>
      </c>
    </row>
    <row r="2" ht="31.5" customHeight="1">
      <c r="A2" s="81" t="inlineStr">
        <is>
          <t>Owner equity</t>
        </is>
      </c>
      <c r="B2" s="83" t="inlineStr">
        <is>
          <t>=Assets-Liabilities</t>
        </is>
      </c>
      <c r="C2" s="81" t="inlineStr">
        <is>
          <t>Shows what remains for owners after debts.</t>
        </is>
      </c>
      <c r="D2" s="84" t="inlineStr">
        <is>
          <t>Assets should equal liabilities plus equity.</t>
        </is>
      </c>
    </row>
    <row r="3" ht="31.5" customHeight="1">
      <c r="A3" s="81" t="inlineStr">
        <is>
          <t>Net sales</t>
        </is>
      </c>
      <c r="B3" s="83" t="inlineStr">
        <is>
          <t>=GrossRevenue-Returns-Discounts</t>
        </is>
      </c>
      <c r="C3" s="81" t="inlineStr">
        <is>
          <t>Shows revenue after sales adjustments.</t>
        </is>
      </c>
      <c r="D3" s="84" t="inlineStr">
        <is>
          <t>Use net sales for ratios.</t>
        </is>
      </c>
    </row>
    <row r="4" ht="31.5" customHeight="1">
      <c r="A4" s="81" t="inlineStr">
        <is>
          <t>COGS</t>
        </is>
      </c>
      <c r="B4" s="83" t="inlineStr">
        <is>
          <t>=BeginningInventory+Purchases-EndingInventory</t>
        </is>
      </c>
      <c r="C4" s="81" t="inlineStr">
        <is>
          <t>Calculates the cost of goods sold.</t>
        </is>
      </c>
      <c r="D4" s="84" t="inlineStr">
        <is>
          <t>Ending inventory is subtracted.</t>
        </is>
      </c>
    </row>
    <row r="5" ht="31.5" customHeight="1">
      <c r="A5" s="81" t="inlineStr">
        <is>
          <t>Net income</t>
        </is>
      </c>
      <c r="B5" s="83" t="inlineStr">
        <is>
          <t>=GrossProfit-OperatingExpenses</t>
        </is>
      </c>
      <c r="C5" s="81" t="inlineStr">
        <is>
          <t>Shows profit after operating expenses.</t>
        </is>
      </c>
      <c r="D5" s="84" t="inlineStr">
        <is>
          <t>Do not mix gross profit and net income.</t>
        </is>
      </c>
    </row>
    <row r="6" ht="31.5" customHeight="1">
      <c r="A6" s="81" t="inlineStr">
        <is>
          <t>Current ratio</t>
        </is>
      </c>
      <c r="B6" s="83" t="inlineStr">
        <is>
          <t>=CurrentAssets/CurrentLiabilities</t>
        </is>
      </c>
      <c r="C6" s="81" t="inlineStr">
        <is>
          <t>Measures ability to pay short-term bills.</t>
        </is>
      </c>
      <c r="D6" s="84" t="inlineStr">
        <is>
          <t>A denominator near zero distorts the ratio.</t>
        </is>
      </c>
    </row>
    <row r="7" ht="31.5" customHeight="1">
      <c r="A7" s="81" t="inlineStr">
        <is>
          <t>Profit margin</t>
        </is>
      </c>
      <c r="B7" s="83" t="inlineStr">
        <is>
          <t>=NetIncome/NetSales</t>
        </is>
      </c>
      <c r="C7" s="81" t="inlineStr">
        <is>
          <t>Shows cents of profit per dollar of sales.</t>
        </is>
      </c>
      <c r="D7" s="84" t="inlineStr">
        <is>
          <t>Format as a percent.</t>
        </is>
      </c>
    </row>
    <row r="8" ht="25.5" customHeight="1"/>
    <row r="9" ht="24" customHeight="1"/>
    <row r="10" ht="25.5" customHeight="1"/>
    <row r="11" ht="25.5" customHeight="1"/>
    <row r="12" ht="25.5" customHeight="1"/>
    <row r="13" ht="25.5" customHeight="1"/>
    <row r="14" ht="24" customHeight="1"/>
    <row r="15" ht="25.5" customHeight="1"/>
    <row r="16" ht="25.5" customHeight="1"/>
    <row r="17" ht="25.5" customHeight="1"/>
    <row r="18" ht="25.5" customHeight="1"/>
    <row r="19" ht="25.5" customHeight="1"/>
    <row r="20" ht="25.5" customHeight="1"/>
    <row r="21" ht="24" customHeight="1"/>
    <row r="22" ht="25.5" customHeight="1"/>
    <row r="24" ht="27.75" customHeight="1"/>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2026-06-22T12:53:27Z</dcterms:created>
  <dcterms:modified xmlns:dcterms="http://purl.org/dc/terms/" xmlns:xsi="http://www.w3.org/2001/XMLSchema-instance" xsi:type="dcterms:W3CDTF">2026-06-22T12:53:27Z</dcterms:modified>
</cp:coreProperties>
</file>