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EXCEL/M01/"/>
    </mc:Choice>
  </mc:AlternateContent>
  <xr:revisionPtr revIDLastSave="0" documentId="13_ncr:1_{67CF3645-8B46-7547-94E1-CDD03E339284}" xr6:coauthVersionLast="47" xr6:coauthVersionMax="47" xr10:uidLastSave="{00000000-0000-0000-0000-000000000000}"/>
  <bookViews>
    <workbookView xWindow="0" yWindow="580" windowWidth="22640" windowHeight="15180" tabRatio="500" activeTab="2" xr2:uid="{00000000-000D-0000-FFFF-FFFF00000000}"/>
  </bookViews>
  <sheets>
    <sheet name="START HERE" sheetId="1" r:id="rId1"/>
    <sheet name="Raw Data" sheetId="2" r:id="rId2"/>
    <sheet name="Event Revenue Analysis" sheetId="3" r:id="rId3"/>
    <sheet name="Challenge" sheetId="4" r:id="rId4"/>
    <sheet name="FormulaReferenceCard" sheetId="5" r:id="rId5"/>
  </sheet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4" l="1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G20" i="4"/>
  <c r="F20" i="4"/>
  <c r="E20" i="4"/>
  <c r="D20" i="4"/>
  <c r="C20" i="4"/>
  <c r="B20" i="4"/>
  <c r="G19" i="4"/>
  <c r="F19" i="4"/>
  <c r="E19" i="4"/>
  <c r="D19" i="4"/>
  <c r="C19" i="4"/>
  <c r="B19" i="4"/>
  <c r="G18" i="4"/>
  <c r="F18" i="4"/>
  <c r="E18" i="4"/>
  <c r="D18" i="4"/>
  <c r="C18" i="4"/>
  <c r="B18" i="4"/>
  <c r="G17" i="4"/>
  <c r="F17" i="4"/>
  <c r="E17" i="4"/>
  <c r="D17" i="4"/>
  <c r="C17" i="4"/>
  <c r="B17" i="4"/>
  <c r="G16" i="4"/>
  <c r="F16" i="4"/>
  <c r="E16" i="4"/>
  <c r="D16" i="4"/>
  <c r="C16" i="4"/>
  <c r="B16" i="4"/>
  <c r="G15" i="4"/>
  <c r="F15" i="4"/>
  <c r="E15" i="4"/>
  <c r="D15" i="4"/>
  <c r="C15" i="4"/>
  <c r="B15" i="4"/>
  <c r="G14" i="4"/>
  <c r="F14" i="4"/>
  <c r="E14" i="4"/>
  <c r="D14" i="4"/>
  <c r="C14" i="4"/>
  <c r="B14" i="4"/>
  <c r="G13" i="4"/>
  <c r="F13" i="4"/>
  <c r="E13" i="4"/>
  <c r="D13" i="4"/>
  <c r="C13" i="4"/>
  <c r="B13" i="4"/>
  <c r="G12" i="4"/>
  <c r="F12" i="4"/>
  <c r="E12" i="4"/>
  <c r="D12" i="4"/>
  <c r="C12" i="4"/>
  <c r="B12" i="4"/>
  <c r="G11" i="4"/>
  <c r="F11" i="4"/>
  <c r="E11" i="4"/>
  <c r="D11" i="4"/>
  <c r="C11" i="4"/>
  <c r="B11" i="4"/>
  <c r="G10" i="4"/>
  <c r="F10" i="4"/>
  <c r="E10" i="4"/>
  <c r="D10" i="4"/>
  <c r="C10" i="4"/>
  <c r="B10" i="4"/>
  <c r="G9" i="4"/>
  <c r="F9" i="4"/>
  <c r="E9" i="4"/>
  <c r="D9" i="4"/>
  <c r="C9" i="4"/>
  <c r="B9" i="4"/>
  <c r="E30" i="3"/>
  <c r="E29" i="3"/>
  <c r="E28" i="3"/>
  <c r="E27" i="3"/>
  <c r="E26" i="3"/>
  <c r="E25" i="3"/>
  <c r="B20" i="3"/>
  <c r="B19" i="3"/>
  <c r="B18" i="3"/>
  <c r="B17" i="3"/>
  <c r="B16" i="3"/>
  <c r="B15" i="3"/>
  <c r="B14" i="3"/>
  <c r="B13" i="3"/>
  <c r="B12" i="3"/>
  <c r="B11" i="3"/>
  <c r="B10" i="3"/>
  <c r="B9" i="3"/>
</calcChain>
</file>

<file path=xl/sharedStrings.xml><?xml version="1.0" encoding="utf-8"?>
<sst xmlns="http://schemas.openxmlformats.org/spreadsheetml/2006/main" count="159" uniqueCount="140">
  <si>
    <t>Anchor &amp; Oak Events — Excel Functions Activity</t>
  </si>
  <si>
    <t>BUS 123 · Excel M01 · L02 · In-Class Activity</t>
  </si>
  <si>
    <t>📋  Learning Objectives</t>
  </si>
  <si>
    <t>I Can…</t>
  </si>
  <si>
    <t>01</t>
  </si>
  <si>
    <t>Use SUM to total a range and explain why it beats manual addition</t>
  </si>
  <si>
    <t>02</t>
  </si>
  <si>
    <t>Apply AVERAGE, MAX, MIN, and COUNT to analyze business data</t>
  </si>
  <si>
    <t>03</t>
  </si>
  <si>
    <t>Choose the right function for a given question and interpret the result</t>
  </si>
  <si>
    <t>📌  How to Use This Workbook</t>
  </si>
  <si>
    <t>Step 1</t>
  </si>
  <si>
    <t>Go to the Raw Data tab — review the unformatted data Anchor &amp; Oak gave us</t>
  </si>
  <si>
    <t>Step 2</t>
  </si>
  <si>
    <t>Go to Event Revenue Analysis — format the data, then write your functions in the yellow cells</t>
  </si>
  <si>
    <t>Step 3</t>
  </si>
  <si>
    <t>Interpret your results — answer the business questions in the interpretation section</t>
  </si>
  <si>
    <t>Step 4</t>
  </si>
  <si>
    <t>Challenge tab — attempt the multi-column and variance analysis if you finish early</t>
  </si>
  <si>
    <t>🟡  Cell Color Guide</t>
  </si>
  <si>
    <t>Yellow cells</t>
  </si>
  <si>
    <t>Student input — type your formula here. Never skip a yellow cell.</t>
  </si>
  <si>
    <t>Green ✓</t>
  </si>
  <si>
    <t>Your answer matches the expected result</t>
  </si>
  <si>
    <t>Red ✗</t>
  </si>
  <si>
    <t>Your answer doesn't match — recheck your range or function name</t>
  </si>
  <si>
    <t>📊  Tabs in This Workbook</t>
  </si>
  <si>
    <t>START HERE</t>
  </si>
  <si>
    <t>Instructions and learning objectives (this tab)</t>
  </si>
  <si>
    <t>Raw Data</t>
  </si>
  <si>
    <t>Unformatted source data — your starting point</t>
  </si>
  <si>
    <t>Event Revenue Analysis</t>
  </si>
  <si>
    <t>Main activity — format + write functions</t>
  </si>
  <si>
    <t>Challenge</t>
  </si>
  <si>
    <t>Stretch — multi-column analysis + variance</t>
  </si>
  <si>
    <t>FormulaReferenceCard</t>
  </si>
  <si>
    <t>Quick reference for all five functions</t>
  </si>
  <si>
    <t>Anchor &amp; Oak Events · BUS 123 · Gerrish School of Business · Endicott College · Fall 2026</t>
  </si>
  <si>
    <t>RAW DATA — Anchor &amp; Oak Events 2025 Revenue Export (unformatted)</t>
  </si>
  <si>
    <t>This is exactly how the data came out of the booking system. No formatting has been applied. Use this as your source — do not edit this tab.</t>
  </si>
  <si>
    <t>month</t>
  </si>
  <si>
    <t>weddings</t>
  </si>
  <si>
    <t>corporate</t>
  </si>
  <si>
    <t>private</t>
  </si>
  <si>
    <t>total_events</t>
  </si>
  <si>
    <t>notes</t>
  </si>
  <si>
    <t>January</t>
  </si>
  <si>
    <t>slowest month</t>
  </si>
  <si>
    <t>February</t>
  </si>
  <si>
    <t>March</t>
  </si>
  <si>
    <t>April</t>
  </si>
  <si>
    <t>May</t>
  </si>
  <si>
    <t>June</t>
  </si>
  <si>
    <t>peak wedding season</t>
  </si>
  <si>
    <t>July</t>
  </si>
  <si>
    <t>August</t>
  </si>
  <si>
    <t>September</t>
  </si>
  <si>
    <t>October</t>
  </si>
  <si>
    <t>November</t>
  </si>
  <si>
    <t>holiday corporate events</t>
  </si>
  <si>
    <t>December</t>
  </si>
  <si>
    <t>Budget target (monthly): 55000</t>
  </si>
  <si>
    <t>Anchor &amp; Oak Events — 2025 Revenue Analysis</t>
  </si>
  <si>
    <t>PART 1 — Format the Data  (connect the raw data, then apply proper formatting)</t>
  </si>
  <si>
    <t>The data below was pulled from Raw Data. Column F (Total Revenue) needs a formula. Then apply Currency format to all revenue columns, bold the headers, and right-align all numbers.</t>
  </si>
  <si>
    <t>Month</t>
  </si>
  <si>
    <t>Weddings</t>
  </si>
  <si>
    <t>Corporate</t>
  </si>
  <si>
    <t>Private</t>
  </si>
  <si>
    <t>Total Revenue</t>
  </si>
  <si>
    <t># Events</t>
  </si>
  <si>
    <t>PART 2 — Write the Functions  (yellow cells = your formula)</t>
  </si>
  <si>
    <t>Write the correct Excel function in each yellow cell. Use the range F9:F20 for all revenue calculations. Use G9:G20 for event count calculations.</t>
  </si>
  <si>
    <t>Function</t>
  </si>
  <si>
    <t>Your Formula</t>
  </si>
  <si>
    <t>Expected Answer</t>
  </si>
  <si>
    <t>Check</t>
  </si>
  <si>
    <t>Business Question</t>
  </si>
  <si>
    <t>SUM</t>
  </si>
  <si>
    <t>What was total annual revenue from all events?</t>
  </si>
  <si>
    <t>AVERAGE</t>
  </si>
  <si>
    <t>What was the average monthly revenue?</t>
  </si>
  <si>
    <t>MAX</t>
  </si>
  <si>
    <t>What was the best revenue month?</t>
  </si>
  <si>
    <t>MIN</t>
  </si>
  <si>
    <t>What was the slowest revenue month?</t>
  </si>
  <si>
    <t>COUNT</t>
  </si>
  <si>
    <t>How many months have revenue data entered?</t>
  </si>
  <si>
    <t>COUNTA</t>
  </si>
  <si>
    <t>How many months are listed (even if revenue is missing)?</t>
  </si>
  <si>
    <t>PART 3 — Interpret Your Results  (write answers in the yellow cells)</t>
  </si>
  <si>
    <t>Which month had the highest total revenue? (type the month name)</t>
  </si>
  <si>
    <t>By how much did the best month exceed the worst month? (formula or number)</t>
  </si>
  <si>
    <t>How many months were ABOVE the $48,042 average? (use COUNTIF or count manually)</t>
  </si>
  <si>
    <t>What does it mean for Anchor &amp; Oak if 3 months are below half the average revenue?</t>
  </si>
  <si>
    <t>Challenge — Multi-Column Analysis &amp; Budget Variance</t>
  </si>
  <si>
    <t>Complete the main activity first. This section uses absolute references and column-by-column analysis.</t>
  </si>
  <si>
    <t>PART A — Sum Each Revenue Stream Separately</t>
  </si>
  <si>
    <t>Write a SUM formula for each column. Copy the first formula across — do not retype it three times.</t>
  </si>
  <si>
    <t>TOTAL</t>
  </si>
  <si>
    <t>💡 Tip: Write =SUM(C9:C20) in C22, then copy it to D22, E22, F22, and G22. The relative range shifts automatically.</t>
  </si>
  <si>
    <t>PART B — Budget Variance (absolute reference required)</t>
  </si>
  <si>
    <t>The monthly budget target is $55,000. Store it in cell H28 (already entered). Write a formula in D30 that calculates each month's variance (Total Revenue minus budget). Use an absolute reference to H28 so you can copy the formula down all 12 months.</t>
  </si>
  <si>
    <t>Budget Target (monthly)</t>
  </si>
  <si>
    <t>Variance vs Budget</t>
  </si>
  <si>
    <t>Above/Below?</t>
  </si>
  <si>
    <t>💡 Tip: In D30, type =C30-$H$28. The $H$28 is absolute — it always points to the budget. C30 is relative — it shifts to C31, C32... as you copy down. Press F4 after typing H28 to lock it.</t>
  </si>
  <si>
    <t>Excel Function Reference Card — BUS 123 · M01 · L02</t>
  </si>
  <si>
    <t>Syntax</t>
  </si>
  <si>
    <t>Returns</t>
  </si>
  <si>
    <t>Business Use</t>
  </si>
  <si>
    <t>=SUM(range)</t>
  </si>
  <si>
    <t>Total of all numbers</t>
  </si>
  <si>
    <t>Annual revenue, total costs, headcount</t>
  </si>
  <si>
    <t>=AVERAGE(range)</t>
  </si>
  <si>
    <t>Mean (total ÷ count)</t>
  </si>
  <si>
    <t>Typical month, average order size</t>
  </si>
  <si>
    <t>=MAX(range)</t>
  </si>
  <si>
    <t>Highest value in range</t>
  </si>
  <si>
    <t>Peak month, best sale, highest cost</t>
  </si>
  <si>
    <t>=MIN(range)</t>
  </si>
  <si>
    <t>Lowest value in range</t>
  </si>
  <si>
    <t>Slowest month, minimum order, lowest score</t>
  </si>
  <si>
    <t>=COUNT(range)</t>
  </si>
  <si>
    <t># of numeric cells</t>
  </si>
  <si>
    <t>Data completeness check, how many entries</t>
  </si>
  <si>
    <t>=COUNTA(range)</t>
  </si>
  <si>
    <t># of non-empty cells</t>
  </si>
  <si>
    <t>Row count including text labels</t>
  </si>
  <si>
    <t>Reference Types (same rules apply inside function arguments)</t>
  </si>
  <si>
    <t>Relative</t>
  </si>
  <si>
    <t>=SUM(B2:B13)</t>
  </si>
  <si>
    <t>Range moves when copied — use for column-by-column analysis</t>
  </si>
  <si>
    <t>Absolute</t>
  </si>
  <si>
    <t>=SUM($B$2:$B$13)</t>
  </si>
  <si>
    <t>Range locked — use when every formula needs the same range</t>
  </si>
  <si>
    <t>F4 shortcut</t>
  </si>
  <si>
    <t>F4 key after typing range</t>
  </si>
  <si>
    <t>Cycles: $B$2:$B$13 → B$2:B$13 → $B2:$B13 → B2:B13</t>
  </si>
  <si>
    <t>BUS 123 · Gerrish School of Business · Endicott College · Fall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</si>
</sst>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5" x14ac:knownFonts="1">
    <font>
      <sz val="11"/>
      <color theme="1"/>
      <name val="Calibri"/>
      <family val="2"/>
      <charset val="1"/>
    </font>
    <font>
      <b/>
      <sz val="20"/>
      <color rgb="FFFFFFFF"/>
      <name val="Calibri"/>
      <family val="2"/>
    </font>
    <font>
      <i/>
      <sz val="12"/>
      <color rgb="FFDDE8F0"/>
      <name val="Calibri"/>
      <family val="2"/>
    </font>
    <font>
      <b/>
      <sz val="11"/>
      <color rgb="FFFFFFFF"/>
      <name val="Calibri"/>
      <family val="2"/>
    </font>
    <font>
      <sz val="11"/>
      <color rgb="FF0E1116"/>
      <name val="Calibri"/>
      <family val="2"/>
    </font>
    <font>
      <i/>
      <sz val="9"/>
      <color rgb="FF8899AA"/>
      <name val="Calibri"/>
      <family val="2"/>
    </font>
    <font>
      <b/>
      <sz val="12"/>
      <color rgb="FFFFFFFF"/>
      <name val="Calibri"/>
      <family val="2"/>
    </font>
    <font>
      <i/>
      <sz val="10"/>
      <color rgb="FF9C4A2B"/>
      <name val="Calibri"/>
      <family val="2"/>
    </font>
    <font>
      <sz val="10"/>
      <name val="Calibri"/>
      <family val="2"/>
    </font>
    <font>
      <b/>
      <sz val="14"/>
      <color rgb="FFFFFFFF"/>
      <name val="Calibri"/>
      <family val="2"/>
    </font>
    <font>
      <i/>
      <sz val="11"/>
      <color rgb="FFDDE8F0"/>
      <name val="Calibri"/>
      <family val="2"/>
    </font>
    <font>
      <b/>
      <sz val="10"/>
      <color rgb="FFFFFFFF"/>
      <name val="Calibri"/>
      <family val="2"/>
    </font>
    <font>
      <b/>
      <sz val="11"/>
      <color rgb="FF4A7C5E"/>
      <name val="Calibri"/>
      <family val="2"/>
    </font>
    <font>
      <i/>
      <sz val="11"/>
      <color rgb="FF888888"/>
      <name val="Calibri"/>
      <family val="2"/>
    </font>
    <font>
      <b/>
      <sz val="13"/>
      <name val="Calibri"/>
      <family val="2"/>
    </font>
    <font>
      <i/>
      <sz val="10"/>
      <color rgb="FF4A5567"/>
      <name val="Calibri"/>
      <family val="2"/>
    </font>
    <font>
      <sz val="10"/>
      <color rgb="FF0E1116"/>
      <name val="Calibri"/>
      <family val="2"/>
    </font>
    <font>
      <b/>
      <sz val="11"/>
      <color rgb="FF0E1116"/>
      <name val="Calibri"/>
      <family val="2"/>
    </font>
    <font>
      <i/>
      <sz val="10"/>
      <color rgb="FF4A7C5E"/>
      <name val="Calibri"/>
      <family val="2"/>
    </font>
    <font>
      <b/>
      <sz val="11"/>
      <name val="Calibri"/>
      <family val="2"/>
    </font>
    <font>
      <b/>
      <sz val="16"/>
      <color rgb="FFFFFFFF"/>
      <name val="Calibri"/>
      <family val="2"/>
    </font>
    <font>
      <b/>
      <sz val="12"/>
      <color rgb="FF4A7C5E"/>
      <name val="Calibri"/>
      <family val="2"/>
    </font>
    <font>
      <b/>
      <sz val="11"/>
      <color rgb="FFB8843D"/>
      <name val="Courier New"/>
      <family val="1"/>
    </font>
    <font>
      <sz val="11"/>
      <name val="Calibri"/>
      <family val="2"/>
    </font>
    <font>
      <sz val="10"/>
      <color rgb="FFB8843D"/>
      <name val="Courier New"/>
      <family val="1"/>
    </font>
  </fonts>
  <fills count="9">
    <fill>
      <patternFill patternType="none"/>
    </fill>
    <fill>
      <patternFill patternType="gray125"/>
    </fill>
    <fill>
      <patternFill patternType="solid">
        <fgColor rgb="FF0C1A2E"/>
        <bgColor rgb="FF0E1116"/>
      </patternFill>
    </fill>
    <fill>
      <patternFill patternType="solid">
        <fgColor rgb="FFB8843D"/>
        <bgColor rgb="FF888888"/>
      </patternFill>
    </fill>
    <fill>
      <patternFill patternType="solid">
        <fgColor rgb="FF1B2E48"/>
        <bgColor rgb="FF003366"/>
      </patternFill>
    </fill>
    <fill>
      <patternFill patternType="solid">
        <fgColor rgb="FF9C4A2B"/>
        <bgColor rgb="FF993366"/>
      </patternFill>
    </fill>
    <fill>
      <patternFill patternType="solid">
        <fgColor rgb="FFFFFFFF"/>
        <bgColor rgb="FFF2EEE5"/>
      </patternFill>
    </fill>
    <fill>
      <patternFill patternType="solid">
        <fgColor rgb="FFFFD966"/>
        <bgColor rgb="FFFFFF99"/>
      </patternFill>
    </fill>
    <fill>
      <patternFill patternType="solid">
        <fgColor rgb="FFF2EEE5"/>
        <bgColor rgb="FFDDE8F0"/>
      </patternFill>
    </fill>
  </fills>
  <borders count="5">
    <border>
      <left/>
      <right/>
      <top/>
      <bottom/>
      <diagonal/>
    </border>
    <border>
      <left style="thin">
        <color rgb="FFD0D8E0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>
      <left style="medium">
        <color rgb="FFB8843D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>
      <left style="thin">
        <color rgb="FFD0D8E0"/>
      </left>
      <right/>
      <top style="thin">
        <color rgb="FFD0D8E0"/>
      </top>
      <bottom style="thin">
        <color rgb="FFD0D8E0"/>
      </bottom>
      <diagonal/>
    </border>
    <border>
      <left/>
      <right/>
      <top style="thin">
        <color rgb="FFD0D8E0"/>
      </top>
      <bottom style="thin">
        <color rgb="FFD0D8E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3" borderId="0" xfId="0" applyFill="1"/>
    <xf numFmtId="0" fontId="3" fillId="4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8" fillId="0" borderId="0" xfId="0" applyFont="1"/>
    <xf numFmtId="0" fontId="3" fillId="4" borderId="0" xfId="0" applyFont="1" applyFill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right" vertical="center"/>
    </xf>
    <xf numFmtId="0" fontId="4" fillId="7" borderId="2" xfId="0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right" vertical="center"/>
    </xf>
    <xf numFmtId="0" fontId="11" fillId="4" borderId="0" xfId="0" applyFont="1" applyFill="1" applyAlignment="1">
      <alignment horizontal="center" vertical="center"/>
    </xf>
    <xf numFmtId="0" fontId="12" fillId="6" borderId="1" xfId="0" applyFont="1" applyFill="1" applyBorder="1" applyAlignment="1">
      <alignment horizontal="left" vertical="center"/>
    </xf>
    <xf numFmtId="164" fontId="4" fillId="7" borderId="2" xfId="0" applyNumberFormat="1" applyFont="1" applyFill="1" applyBorder="1" applyAlignment="1">
      <alignment horizontal="left" vertical="center"/>
    </xf>
    <xf numFmtId="164" fontId="13" fillId="6" borderId="1" xfId="0" applyNumberFormat="1" applyFont="1" applyFill="1" applyBorder="1" applyAlignment="1">
      <alignment horizontal="right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8" borderId="1" xfId="0" applyFont="1" applyFill="1" applyBorder="1" applyAlignment="1">
      <alignment horizontal="left" vertical="center"/>
    </xf>
    <xf numFmtId="164" fontId="13" fillId="8" borderId="1" xfId="0" applyNumberFormat="1" applyFont="1" applyFill="1" applyBorder="1" applyAlignment="1">
      <alignment horizontal="right" vertical="center"/>
    </xf>
    <xf numFmtId="0" fontId="14" fillId="8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left" vertical="center" wrapText="1"/>
    </xf>
    <xf numFmtId="3" fontId="4" fillId="7" borderId="2" xfId="0" applyNumberFormat="1" applyFont="1" applyFill="1" applyBorder="1" applyAlignment="1">
      <alignment horizontal="left" vertical="center"/>
    </xf>
    <xf numFmtId="3" fontId="13" fillId="6" borderId="1" xfId="0" applyNumberFormat="1" applyFont="1" applyFill="1" applyBorder="1" applyAlignment="1">
      <alignment horizontal="right" vertical="center"/>
    </xf>
    <xf numFmtId="3" fontId="13" fillId="8" borderId="1" xfId="0" applyNumberFormat="1" applyFont="1" applyFill="1" applyBorder="1" applyAlignment="1">
      <alignment horizontal="right" vertical="center"/>
    </xf>
    <xf numFmtId="0" fontId="16" fillId="0" borderId="1" xfId="0" applyFont="1" applyBorder="1" applyAlignment="1">
      <alignment horizontal="left" vertical="center" wrapText="1"/>
    </xf>
    <xf numFmtId="164" fontId="4" fillId="6" borderId="1" xfId="0" applyNumberFormat="1" applyFont="1" applyFill="1" applyBorder="1" applyAlignment="1">
      <alignment horizontal="right" vertical="center"/>
    </xf>
    <xf numFmtId="3" fontId="4" fillId="6" borderId="1" xfId="0" applyNumberFormat="1" applyFont="1" applyFill="1" applyBorder="1" applyAlignment="1">
      <alignment horizontal="right" vertical="center"/>
    </xf>
    <xf numFmtId="164" fontId="4" fillId="8" borderId="1" xfId="0" applyNumberFormat="1" applyFont="1" applyFill="1" applyBorder="1" applyAlignment="1">
      <alignment horizontal="right" vertical="center"/>
    </xf>
    <xf numFmtId="3" fontId="4" fillId="8" borderId="1" xfId="0" applyNumberFormat="1" applyFont="1" applyFill="1" applyBorder="1" applyAlignment="1">
      <alignment horizontal="right" vertical="center"/>
    </xf>
    <xf numFmtId="164" fontId="17" fillId="7" borderId="2" xfId="0" applyNumberFormat="1" applyFont="1" applyFill="1" applyBorder="1" applyAlignment="1">
      <alignment horizontal="right" vertical="center"/>
    </xf>
    <xf numFmtId="164" fontId="17" fillId="7" borderId="1" xfId="0" applyNumberFormat="1" applyFont="1" applyFill="1" applyBorder="1" applyAlignment="1">
      <alignment horizontal="right" vertical="center"/>
    </xf>
    <xf numFmtId="3" fontId="17" fillId="7" borderId="1" xfId="0" applyNumberFormat="1" applyFont="1" applyFill="1" applyBorder="1" applyAlignment="1">
      <alignment horizontal="right" vertical="center"/>
    </xf>
    <xf numFmtId="164" fontId="6" fillId="5" borderId="0" xfId="0" applyNumberFormat="1" applyFont="1" applyFill="1" applyAlignment="1">
      <alignment horizontal="right" vertical="center"/>
    </xf>
    <xf numFmtId="164" fontId="4" fillId="7" borderId="2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left" vertical="center"/>
    </xf>
    <xf numFmtId="0" fontId="22" fillId="2" borderId="1" xfId="0" applyFont="1" applyFill="1" applyBorder="1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21" fillId="8" borderId="1" xfId="0" applyFont="1" applyFill="1" applyBorder="1" applyAlignment="1">
      <alignment horizontal="left" vertical="center"/>
    </xf>
    <xf numFmtId="0" fontId="23" fillId="8" borderId="1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0" fillId="0" borderId="0" xfId="0"/>
    <xf numFmtId="0" fontId="2" fillId="4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6" fillId="5" borderId="0" xfId="0" applyFont="1" applyFill="1" applyAlignment="1">
      <alignment horizontal="left" vertical="center"/>
    </xf>
    <xf numFmtId="0" fontId="8" fillId="0" borderId="0" xfId="0" applyFont="1"/>
    <xf numFmtId="0" fontId="9" fillId="2" borderId="0" xfId="0" applyFont="1" applyFill="1" applyAlignment="1">
      <alignment horizontal="left" vertical="center"/>
    </xf>
    <xf numFmtId="0" fontId="4" fillId="7" borderId="3" xfId="0" applyFont="1" applyFill="1" applyBorder="1" applyAlignment="1">
      <alignment horizontal="left" vertical="center" wrapText="1"/>
    </xf>
    <xf numFmtId="0" fontId="0" fillId="0" borderId="4" xfId="0" applyBorder="1"/>
    <xf numFmtId="0" fontId="10" fillId="4" borderId="0" xfId="0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5" fillId="6" borderId="3" xfId="0" applyFont="1" applyFill="1" applyBorder="1" applyAlignment="1">
      <alignment horizontal="left" vertical="center" wrapText="1"/>
    </xf>
    <xf numFmtId="0" fontId="15" fillId="8" borderId="3" xfId="0" applyFont="1" applyFill="1" applyBorder="1" applyAlignment="1">
      <alignment horizontal="left" vertical="center" wrapText="1"/>
    </xf>
    <xf numFmtId="0" fontId="20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43D"/>
      <rgbColor rgb="FF800080"/>
      <rgbColor rgb="FF008080"/>
      <rgbColor rgb="FFC0C0C0"/>
      <rgbColor rgb="FF888888"/>
      <rgbColor rgb="FF9999FF"/>
      <rgbColor rgb="FF993366"/>
      <rgbColor rgb="FFF2EEE5"/>
      <rgbColor rgb="FFDDE8F0"/>
      <rgbColor rgb="FF660066"/>
      <rgbColor rgb="FFFF8080"/>
      <rgbColor rgb="FF0066CC"/>
      <rgbColor rgb="FFD0D8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A5567"/>
      <rgbColor rgb="FF8899AA"/>
      <rgbColor rgb="FF003366"/>
      <rgbColor rgb="FF4A7C5E"/>
      <rgbColor rgb="FF0C1A2E"/>
      <rgbColor rgb="FF0E1116"/>
      <rgbColor rgb="FF9C4A2B"/>
      <rgbColor rgb="FF993366"/>
      <rgbColor rgb="FF333399"/>
      <rgbColor rgb="FF1B2E4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30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28" customWidth="1"/>
    <col min="3" max="3" width="52" customWidth="1"/>
    <col min="4" max="4" width="28" customWidth="1"/>
    <col min="5" max="5" width="3" customWidth="1"/>
  </cols>
  <sheetData>
    <row r="1" spans="2:4" ht="7.5" customHeight="1" x14ac:dyDescent="0.2"/>
    <row r="2" spans="2:4" ht="54" customHeight="1" x14ac:dyDescent="0.2">
      <c r="B2" s="46" t="s">
        <v>0</v>
      </c>
      <c r="C2" s="43"/>
      <c r="D2" s="43"/>
    </row>
    <row r="3" spans="2:4" ht="4.5" customHeight="1" x14ac:dyDescent="0.2">
      <c r="B3" s="1"/>
      <c r="C3" s="1"/>
      <c r="D3" s="1"/>
    </row>
    <row r="4" spans="2:4" ht="27.75" customHeight="1" x14ac:dyDescent="0.2">
      <c r="B4" s="44" t="s">
        <v>1</v>
      </c>
      <c r="C4" s="43"/>
      <c r="D4" s="43"/>
    </row>
    <row r="5" spans="2:4" ht="12" customHeight="1" x14ac:dyDescent="0.2"/>
    <row r="6" spans="2:4" ht="25.5" customHeight="1" x14ac:dyDescent="0.2">
      <c r="B6" s="42" t="s">
        <v>2</v>
      </c>
      <c r="C6" s="43"/>
      <c r="D6" s="43"/>
    </row>
    <row r="7" spans="2:4" ht="18" customHeight="1" x14ac:dyDescent="0.2">
      <c r="B7" s="3" t="s">
        <v>3</v>
      </c>
    </row>
    <row r="8" spans="2:4" ht="19.5" customHeight="1" x14ac:dyDescent="0.2">
      <c r="B8" s="3" t="s">
        <v>4</v>
      </c>
      <c r="C8" s="4" t="s">
        <v>5</v>
      </c>
    </row>
    <row r="9" spans="2:4" ht="19.5" customHeight="1" x14ac:dyDescent="0.2">
      <c r="B9" s="3" t="s">
        <v>6</v>
      </c>
      <c r="C9" s="4" t="s">
        <v>7</v>
      </c>
    </row>
    <row r="10" spans="2:4" ht="19.5" customHeight="1" x14ac:dyDescent="0.2">
      <c r="B10" s="3" t="s">
        <v>8</v>
      </c>
      <c r="C10" s="4" t="s">
        <v>9</v>
      </c>
    </row>
    <row r="11" spans="2:4" ht="9.75" customHeight="1" x14ac:dyDescent="0.2"/>
    <row r="12" spans="2:4" ht="25.5" customHeight="1" x14ac:dyDescent="0.2">
      <c r="B12" s="42" t="s">
        <v>10</v>
      </c>
      <c r="C12" s="43"/>
      <c r="D12" s="43"/>
    </row>
    <row r="13" spans="2:4" ht="21.75" customHeight="1" x14ac:dyDescent="0.2">
      <c r="B13" s="3" t="s">
        <v>11</v>
      </c>
      <c r="C13" s="4" t="s">
        <v>12</v>
      </c>
    </row>
    <row r="14" spans="2:4" ht="21.75" customHeight="1" x14ac:dyDescent="0.2">
      <c r="B14" s="3" t="s">
        <v>13</v>
      </c>
      <c r="C14" s="4" t="s">
        <v>14</v>
      </c>
    </row>
    <row r="15" spans="2:4" ht="21.75" customHeight="1" x14ac:dyDescent="0.2">
      <c r="B15" s="3" t="s">
        <v>15</v>
      </c>
      <c r="C15" s="4" t="s">
        <v>16</v>
      </c>
    </row>
    <row r="16" spans="2:4" ht="21.75" customHeight="1" x14ac:dyDescent="0.2">
      <c r="B16" s="3" t="s">
        <v>17</v>
      </c>
      <c r="C16" s="4" t="s">
        <v>18</v>
      </c>
    </row>
    <row r="17" spans="2:4" ht="9.75" customHeight="1" x14ac:dyDescent="0.2"/>
    <row r="18" spans="2:4" ht="25.5" customHeight="1" x14ac:dyDescent="0.2">
      <c r="B18" s="42" t="s">
        <v>19</v>
      </c>
      <c r="C18" s="43"/>
      <c r="D18" s="43"/>
    </row>
    <row r="19" spans="2:4" ht="21.75" customHeight="1" x14ac:dyDescent="0.2">
      <c r="B19" s="3" t="s">
        <v>20</v>
      </c>
      <c r="C19" s="4" t="s">
        <v>21</v>
      </c>
    </row>
    <row r="20" spans="2:4" ht="19.5" customHeight="1" x14ac:dyDescent="0.2">
      <c r="B20" s="3" t="s">
        <v>22</v>
      </c>
      <c r="C20" s="4" t="s">
        <v>23</v>
      </c>
    </row>
    <row r="21" spans="2:4" ht="19.5" customHeight="1" x14ac:dyDescent="0.2">
      <c r="B21" s="3" t="s">
        <v>24</v>
      </c>
      <c r="C21" s="4" t="s">
        <v>25</v>
      </c>
    </row>
    <row r="22" spans="2:4" ht="9.75" customHeight="1" x14ac:dyDescent="0.2"/>
    <row r="23" spans="2:4" ht="25.5" customHeight="1" x14ac:dyDescent="0.2">
      <c r="B23" s="42" t="s">
        <v>26</v>
      </c>
      <c r="C23" s="43"/>
      <c r="D23" s="43"/>
    </row>
    <row r="24" spans="2:4" ht="19.5" customHeight="1" x14ac:dyDescent="0.2">
      <c r="B24" s="3" t="s">
        <v>27</v>
      </c>
      <c r="C24" s="4" t="s">
        <v>28</v>
      </c>
    </row>
    <row r="25" spans="2:4" ht="19.5" customHeight="1" x14ac:dyDescent="0.2">
      <c r="B25" s="3" t="s">
        <v>29</v>
      </c>
      <c r="C25" s="4" t="s">
        <v>30</v>
      </c>
    </row>
    <row r="26" spans="2:4" ht="19.5" customHeight="1" x14ac:dyDescent="0.2">
      <c r="B26" s="3" t="s">
        <v>31</v>
      </c>
      <c r="C26" s="4" t="s">
        <v>32</v>
      </c>
    </row>
    <row r="27" spans="2:4" ht="19.5" customHeight="1" x14ac:dyDescent="0.2">
      <c r="B27" s="3" t="s">
        <v>33</v>
      </c>
      <c r="C27" s="4" t="s">
        <v>34</v>
      </c>
    </row>
    <row r="28" spans="2:4" ht="19.5" customHeight="1" x14ac:dyDescent="0.2">
      <c r="B28" s="3" t="s">
        <v>35</v>
      </c>
      <c r="C28" s="4" t="s">
        <v>36</v>
      </c>
    </row>
    <row r="29" spans="2:4" ht="9.75" customHeight="1" x14ac:dyDescent="0.2"/>
    <row r="30" spans="2:4" ht="19.5" customHeight="1" x14ac:dyDescent="0.2">
      <c r="B30" s="45" t="s">
        <v>37</v>
      </c>
      <c r="C30" s="43"/>
      <c r="D30" s="43"/>
    </row>
  </sheetData>
  <mergeCells count="7">
    <mergeCell ref="B2:D2"/>
    <mergeCell ref="B23:D23"/>
    <mergeCell ref="B4:D4"/>
    <mergeCell ref="B18:D18"/>
    <mergeCell ref="B30:D30"/>
    <mergeCell ref="B12:D12"/>
    <mergeCell ref="B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Normal="100" workbookViewId="0"/>
  </sheetViews>
  <sheetFormatPr baseColWidth="10" defaultColWidth="8.6640625" defaultRowHeight="15" x14ac:dyDescent="0.2"/>
  <cols>
    <col min="1" max="5" width="14" customWidth="1"/>
    <col min="6" max="6" width="22" customWidth="1"/>
  </cols>
  <sheetData>
    <row r="1" spans="1:6" ht="31.5" customHeight="1" x14ac:dyDescent="0.2">
      <c r="A1" s="48" t="s">
        <v>38</v>
      </c>
      <c r="B1" s="43"/>
      <c r="C1" s="43"/>
      <c r="D1" s="43"/>
      <c r="E1" s="43"/>
      <c r="F1" s="43"/>
    </row>
    <row r="2" spans="1:6" ht="18" customHeight="1" x14ac:dyDescent="0.2">
      <c r="A2" s="47" t="s">
        <v>39</v>
      </c>
      <c r="B2" s="43"/>
      <c r="C2" s="43"/>
      <c r="D2" s="43"/>
      <c r="E2" s="43"/>
      <c r="F2" s="43"/>
    </row>
    <row r="3" spans="1:6" ht="7.5" customHeight="1" x14ac:dyDescent="0.2"/>
    <row r="4" spans="1:6" ht="18" customHeight="1" x14ac:dyDescent="0.2">
      <c r="A4" s="5" t="s">
        <v>40</v>
      </c>
      <c r="B4" s="5" t="s">
        <v>41</v>
      </c>
      <c r="C4" s="5" t="s">
        <v>42</v>
      </c>
      <c r="D4" s="5" t="s">
        <v>43</v>
      </c>
      <c r="E4" s="5" t="s">
        <v>44</v>
      </c>
      <c r="F4" s="5" t="s">
        <v>45</v>
      </c>
    </row>
    <row r="5" spans="1:6" ht="15.75" customHeight="1" x14ac:dyDescent="0.2">
      <c r="A5" s="5" t="s">
        <v>46</v>
      </c>
      <c r="B5" s="5">
        <v>8200</v>
      </c>
      <c r="C5" s="5">
        <v>6400</v>
      </c>
      <c r="D5" s="5">
        <v>3800</v>
      </c>
      <c r="E5" s="5">
        <v>4</v>
      </c>
      <c r="F5" s="5" t="s">
        <v>47</v>
      </c>
    </row>
    <row r="6" spans="1:6" ht="15.75" customHeight="1" x14ac:dyDescent="0.2">
      <c r="A6" s="5" t="s">
        <v>48</v>
      </c>
      <c r="B6" s="5">
        <v>10100</v>
      </c>
      <c r="C6" s="5">
        <v>7900</v>
      </c>
      <c r="D6" s="5">
        <v>4100</v>
      </c>
      <c r="E6" s="5">
        <v>3</v>
      </c>
      <c r="F6" s="5"/>
    </row>
    <row r="7" spans="1:6" ht="15.75" customHeight="1" x14ac:dyDescent="0.2">
      <c r="A7" s="5" t="s">
        <v>49</v>
      </c>
      <c r="B7" s="5">
        <v>14500</v>
      </c>
      <c r="C7" s="5">
        <v>9600</v>
      </c>
      <c r="D7" s="5">
        <v>7500</v>
      </c>
      <c r="E7" s="5">
        <v>6</v>
      </c>
      <c r="F7" s="5"/>
    </row>
    <row r="8" spans="1:6" ht="15.75" customHeight="1" x14ac:dyDescent="0.2">
      <c r="A8" s="5" t="s">
        <v>50</v>
      </c>
      <c r="B8" s="5">
        <v>23800</v>
      </c>
      <c r="C8" s="5">
        <v>11200</v>
      </c>
      <c r="D8" s="5">
        <v>9200</v>
      </c>
      <c r="E8" s="5">
        <v>8</v>
      </c>
      <c r="F8" s="5"/>
    </row>
    <row r="9" spans="1:6" ht="15.75" customHeight="1" x14ac:dyDescent="0.2">
      <c r="A9" s="5" t="s">
        <v>51</v>
      </c>
      <c r="B9" s="5">
        <v>41200</v>
      </c>
      <c r="C9" s="5">
        <v>14600</v>
      </c>
      <c r="D9" s="5">
        <v>12000</v>
      </c>
      <c r="E9" s="5">
        <v>12</v>
      </c>
      <c r="F9" s="5"/>
    </row>
    <row r="10" spans="1:6" ht="15.75" customHeight="1" x14ac:dyDescent="0.2">
      <c r="A10" s="5" t="s">
        <v>52</v>
      </c>
      <c r="B10" s="5">
        <v>58400</v>
      </c>
      <c r="C10" s="5">
        <v>18300</v>
      </c>
      <c r="D10" s="5">
        <v>12800</v>
      </c>
      <c r="E10" s="5">
        <v>16</v>
      </c>
      <c r="F10" s="5" t="s">
        <v>53</v>
      </c>
    </row>
    <row r="11" spans="1:6" ht="15.75" customHeight="1" x14ac:dyDescent="0.2">
      <c r="A11" s="5" t="s">
        <v>54</v>
      </c>
      <c r="B11" s="5">
        <v>52100</v>
      </c>
      <c r="C11" s="5">
        <v>16800</v>
      </c>
      <c r="D11" s="5">
        <v>11600</v>
      </c>
      <c r="E11" s="5">
        <v>14</v>
      </c>
      <c r="F11" s="5"/>
    </row>
    <row r="12" spans="1:6" ht="15.75" customHeight="1" x14ac:dyDescent="0.2">
      <c r="A12" s="5" t="s">
        <v>55</v>
      </c>
      <c r="B12" s="5">
        <v>48300</v>
      </c>
      <c r="C12" s="5">
        <v>15200</v>
      </c>
      <c r="D12" s="5">
        <v>10800</v>
      </c>
      <c r="E12" s="5">
        <v>13</v>
      </c>
      <c r="F12" s="5"/>
    </row>
    <row r="13" spans="1:6" ht="15.75" customHeight="1" x14ac:dyDescent="0.2">
      <c r="A13" s="5" t="s">
        <v>56</v>
      </c>
      <c r="B13" s="5">
        <v>38600</v>
      </c>
      <c r="C13" s="5">
        <v>13400</v>
      </c>
      <c r="D13" s="5">
        <v>9400</v>
      </c>
      <c r="E13" s="5">
        <v>11</v>
      </c>
      <c r="F13" s="5"/>
    </row>
    <row r="14" spans="1:6" ht="15.75" customHeight="1" x14ac:dyDescent="0.2">
      <c r="A14" s="5" t="s">
        <v>57</v>
      </c>
      <c r="B14" s="5">
        <v>21400</v>
      </c>
      <c r="C14" s="5">
        <v>10100</v>
      </c>
      <c r="D14" s="5">
        <v>7900</v>
      </c>
      <c r="E14" s="5">
        <v>7</v>
      </c>
      <c r="F14" s="5"/>
    </row>
    <row r="15" spans="1:6" ht="15.75" customHeight="1" x14ac:dyDescent="0.2">
      <c r="A15" s="5" t="s">
        <v>58</v>
      </c>
      <c r="B15" s="5">
        <v>12800</v>
      </c>
      <c r="C15" s="5">
        <v>8200</v>
      </c>
      <c r="D15" s="5">
        <v>5300</v>
      </c>
      <c r="E15" s="5">
        <v>5</v>
      </c>
      <c r="F15" s="5" t="s">
        <v>59</v>
      </c>
    </row>
    <row r="16" spans="1:6" ht="15.75" customHeight="1" x14ac:dyDescent="0.2">
      <c r="A16" s="5" t="s">
        <v>60</v>
      </c>
      <c r="B16" s="5">
        <v>9700</v>
      </c>
      <c r="C16" s="5">
        <v>7100</v>
      </c>
      <c r="D16" s="5">
        <v>4200</v>
      </c>
      <c r="E16" s="5">
        <v>4</v>
      </c>
      <c r="F16" s="5" t="s">
        <v>59</v>
      </c>
    </row>
    <row r="17" spans="1:6" ht="7.5" customHeight="1" x14ac:dyDescent="0.2"/>
    <row r="18" spans="1:6" ht="15" customHeight="1" x14ac:dyDescent="0.2">
      <c r="A18" s="49" t="s">
        <v>61</v>
      </c>
      <c r="B18" s="43"/>
      <c r="C18" s="43"/>
      <c r="D18" s="43"/>
      <c r="E18" s="43"/>
      <c r="F18" s="43"/>
    </row>
  </sheetData>
  <mergeCells count="3">
    <mergeCell ref="A2:F2"/>
    <mergeCell ref="A1:F1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38"/>
  <sheetViews>
    <sheetView showGridLines="0" tabSelected="1" zoomScaleNormal="100" workbookViewId="0">
      <pane xSplit="1" ySplit="4" topLeftCell="B15" activePane="bottomRight" state="frozen"/>
      <selection pane="topRight" activeCell="B1" sqref="B1"/>
      <selection pane="bottomLeft" activeCell="A5" sqref="A5"/>
      <selection pane="bottomRight" activeCell="K25" sqref="K25"/>
    </sheetView>
  </sheetViews>
  <sheetFormatPr baseColWidth="10" defaultColWidth="8.6640625" defaultRowHeight="15" x14ac:dyDescent="0.2"/>
  <cols>
    <col min="1" max="1" width="3" customWidth="1"/>
    <col min="2" max="2" width="18" customWidth="1"/>
    <col min="3" max="5" width="16" customWidth="1"/>
    <col min="6" max="6" width="18" customWidth="1"/>
    <col min="7" max="7" width="10" customWidth="1"/>
    <col min="8" max="8" width="3" customWidth="1"/>
  </cols>
  <sheetData>
    <row r="1" spans="2:8" ht="7.5" customHeight="1" x14ac:dyDescent="0.2"/>
    <row r="2" spans="2:8" ht="33.75" customHeight="1" x14ac:dyDescent="0.2">
      <c r="B2" s="50" t="s">
        <v>62</v>
      </c>
      <c r="C2" s="43"/>
      <c r="D2" s="43"/>
      <c r="E2" s="43"/>
      <c r="F2" s="43"/>
      <c r="G2" s="43"/>
    </row>
    <row r="3" spans="2:8" ht="3.75" customHeight="1" x14ac:dyDescent="0.2">
      <c r="B3" s="1"/>
      <c r="C3" s="1"/>
      <c r="D3" s="1"/>
      <c r="E3" s="1"/>
      <c r="F3" s="1"/>
      <c r="G3" s="1"/>
    </row>
    <row r="4" spans="2:8" ht="21.75" customHeight="1" x14ac:dyDescent="0.2">
      <c r="B4" s="53" t="s">
        <v>1</v>
      </c>
      <c r="C4" s="43"/>
      <c r="D4" s="43"/>
      <c r="E4" s="43"/>
      <c r="F4" s="43"/>
      <c r="G4" s="43"/>
    </row>
    <row r="5" spans="2:8" ht="9.75" customHeight="1" x14ac:dyDescent="0.2"/>
    <row r="6" spans="2:8" ht="24" customHeight="1" x14ac:dyDescent="0.2">
      <c r="B6" s="42" t="s">
        <v>63</v>
      </c>
      <c r="C6" s="43"/>
      <c r="D6" s="43"/>
      <c r="E6" s="43"/>
      <c r="F6" s="43"/>
      <c r="G6" s="43"/>
    </row>
    <row r="7" spans="2:8" ht="19.5" customHeight="1" x14ac:dyDescent="0.2">
      <c r="B7" s="47" t="s">
        <v>64</v>
      </c>
      <c r="C7" s="43"/>
      <c r="D7" s="43"/>
      <c r="E7" s="43"/>
      <c r="F7" s="43"/>
      <c r="G7" s="43"/>
    </row>
    <row r="8" spans="2:8" ht="24" customHeight="1" x14ac:dyDescent="0.2">
      <c r="B8" s="2"/>
      <c r="C8" s="2" t="s">
        <v>65</v>
      </c>
      <c r="D8" s="6" t="s">
        <v>66</v>
      </c>
      <c r="E8" s="6" t="s">
        <v>67</v>
      </c>
      <c r="F8" s="6" t="s">
        <v>68</v>
      </c>
      <c r="G8" s="6" t="s">
        <v>69</v>
      </c>
      <c r="H8" s="6" t="s">
        <v>70</v>
      </c>
    </row>
    <row r="9" spans="2:8" ht="15" customHeight="1" x14ac:dyDescent="0.2">
      <c r="B9" s="7" t="str">
        <f>'Raw Data'!A5</f>
        <v>January</v>
      </c>
      <c r="C9" s="8"/>
      <c r="D9" s="8"/>
      <c r="E9" s="8"/>
      <c r="F9" s="9"/>
      <c r="G9" s="8"/>
    </row>
    <row r="10" spans="2:8" ht="15" customHeight="1" x14ac:dyDescent="0.2">
      <c r="B10" s="10" t="str">
        <f>'Raw Data'!A6</f>
        <v>February</v>
      </c>
      <c r="C10" s="11"/>
      <c r="D10" s="11"/>
      <c r="E10" s="11"/>
      <c r="F10" s="9"/>
      <c r="G10" s="11"/>
    </row>
    <row r="11" spans="2:8" ht="15" customHeight="1" x14ac:dyDescent="0.2">
      <c r="B11" s="7" t="str">
        <f>'Raw Data'!A7</f>
        <v>March</v>
      </c>
      <c r="C11" s="8"/>
      <c r="D11" s="8"/>
      <c r="E11" s="8"/>
      <c r="F11" s="9"/>
      <c r="G11" s="8"/>
    </row>
    <row r="12" spans="2:8" ht="15" customHeight="1" x14ac:dyDescent="0.2">
      <c r="B12" s="10" t="str">
        <f>'Raw Data'!A8</f>
        <v>April</v>
      </c>
      <c r="C12" s="11"/>
      <c r="D12" s="11"/>
      <c r="E12" s="11"/>
      <c r="F12" s="9"/>
      <c r="G12" s="11"/>
    </row>
    <row r="13" spans="2:8" ht="15" customHeight="1" x14ac:dyDescent="0.2">
      <c r="B13" s="7" t="str">
        <f>'Raw Data'!A9</f>
        <v>May</v>
      </c>
      <c r="C13" s="8"/>
      <c r="D13" s="8"/>
      <c r="E13" s="8"/>
      <c r="F13" s="9"/>
      <c r="G13" s="8"/>
    </row>
    <row r="14" spans="2:8" ht="15" customHeight="1" x14ac:dyDescent="0.2">
      <c r="B14" s="10" t="str">
        <f>'Raw Data'!A10</f>
        <v>June</v>
      </c>
      <c r="C14" s="11"/>
      <c r="D14" s="11"/>
      <c r="E14" s="11"/>
      <c r="F14" s="9"/>
      <c r="G14" s="11"/>
    </row>
    <row r="15" spans="2:8" ht="15" customHeight="1" x14ac:dyDescent="0.2">
      <c r="B15" s="7" t="str">
        <f>'Raw Data'!A11</f>
        <v>July</v>
      </c>
      <c r="C15" s="8"/>
      <c r="D15" s="8"/>
      <c r="E15" s="8"/>
      <c r="F15" s="9"/>
      <c r="G15" s="8"/>
    </row>
    <row r="16" spans="2:8" ht="15" customHeight="1" x14ac:dyDescent="0.2">
      <c r="B16" s="10" t="str">
        <f>'Raw Data'!A12</f>
        <v>August</v>
      </c>
      <c r="C16" s="11"/>
      <c r="D16" s="11"/>
      <c r="E16" s="11"/>
      <c r="F16" s="9"/>
      <c r="G16" s="11"/>
    </row>
    <row r="17" spans="2:7" ht="15" customHeight="1" x14ac:dyDescent="0.2">
      <c r="B17" s="7" t="str">
        <f>'Raw Data'!A13</f>
        <v>September</v>
      </c>
      <c r="C17" s="8"/>
      <c r="D17" s="8"/>
      <c r="E17" s="8"/>
      <c r="F17" s="9"/>
      <c r="G17" s="8"/>
    </row>
    <row r="18" spans="2:7" ht="15" customHeight="1" x14ac:dyDescent="0.2">
      <c r="B18" s="10" t="str">
        <f>'Raw Data'!A14</f>
        <v>October</v>
      </c>
      <c r="C18" s="11"/>
      <c r="D18" s="11"/>
      <c r="E18" s="11"/>
      <c r="F18" s="9"/>
      <c r="G18" s="11"/>
    </row>
    <row r="19" spans="2:7" ht="15" customHeight="1" x14ac:dyDescent="0.2">
      <c r="B19" s="7" t="str">
        <f>'Raw Data'!A15</f>
        <v>November</v>
      </c>
      <c r="C19" s="8"/>
      <c r="D19" s="8"/>
      <c r="E19" s="8"/>
      <c r="F19" s="9"/>
      <c r="G19" s="8"/>
    </row>
    <row r="20" spans="2:7" ht="15" customHeight="1" x14ac:dyDescent="0.2">
      <c r="B20" s="10" t="str">
        <f>'Raw Data'!A16</f>
        <v>December</v>
      </c>
      <c r="C20" s="11"/>
      <c r="D20" s="11"/>
      <c r="E20" s="11"/>
      <c r="F20" s="9"/>
      <c r="G20" s="11"/>
    </row>
    <row r="21" spans="2:7" ht="7.5" customHeight="1" x14ac:dyDescent="0.2"/>
    <row r="22" spans="2:7" ht="24" customHeight="1" x14ac:dyDescent="0.2">
      <c r="B22" s="42" t="s">
        <v>71</v>
      </c>
      <c r="C22" s="43"/>
      <c r="D22" s="43"/>
      <c r="E22" s="43"/>
      <c r="F22" s="43"/>
      <c r="G22" s="43"/>
    </row>
    <row r="23" spans="2:7" ht="19.5" customHeight="1" x14ac:dyDescent="0.2">
      <c r="B23" s="47" t="s">
        <v>72</v>
      </c>
      <c r="C23" s="43"/>
      <c r="D23" s="43"/>
      <c r="E23" s="43"/>
      <c r="F23" s="43"/>
      <c r="G23" s="43"/>
    </row>
    <row r="24" spans="2:7" ht="25.5" customHeight="1" x14ac:dyDescent="0.2">
      <c r="B24" s="12" t="s">
        <v>73</v>
      </c>
      <c r="C24" s="12" t="s">
        <v>74</v>
      </c>
      <c r="D24" s="12" t="s">
        <v>75</v>
      </c>
      <c r="E24" s="12" t="s">
        <v>76</v>
      </c>
      <c r="F24" s="12" t="s">
        <v>77</v>
      </c>
    </row>
    <row r="25" spans="2:7" ht="24" customHeight="1" x14ac:dyDescent="0.2">
      <c r="B25" s="13" t="s">
        <v>78</v>
      </c>
      <c r="C25" s="14"/>
      <c r="D25" s="15">
        <v>576500</v>
      </c>
      <c r="E25" s="16" t="str">
        <f t="shared" ref="E25:E30" si="0">IF(ISNUMBER(C25),IF(ABS(C25-D25)&lt;1,"✓","✗"),"")</f>
        <v/>
      </c>
      <c r="F25" s="17" t="s">
        <v>79</v>
      </c>
    </row>
    <row r="26" spans="2:7" ht="24" customHeight="1" x14ac:dyDescent="0.2">
      <c r="B26" s="18" t="s">
        <v>80</v>
      </c>
      <c r="C26" s="14"/>
      <c r="D26" s="19">
        <v>48041.666666666657</v>
      </c>
      <c r="E26" s="20" t="str">
        <f t="shared" si="0"/>
        <v/>
      </c>
      <c r="F26" s="21" t="s">
        <v>81</v>
      </c>
    </row>
    <row r="27" spans="2:7" ht="24" customHeight="1" x14ac:dyDescent="0.2">
      <c r="B27" s="13" t="s">
        <v>82</v>
      </c>
      <c r="C27" s="14"/>
      <c r="D27" s="15">
        <v>89500</v>
      </c>
      <c r="E27" s="16" t="str">
        <f t="shared" si="0"/>
        <v/>
      </c>
      <c r="F27" s="17" t="s">
        <v>83</v>
      </c>
    </row>
    <row r="28" spans="2:7" ht="24" customHeight="1" x14ac:dyDescent="0.2">
      <c r="B28" s="18" t="s">
        <v>84</v>
      </c>
      <c r="C28" s="14"/>
      <c r="D28" s="19">
        <v>18400</v>
      </c>
      <c r="E28" s="20" t="str">
        <f t="shared" si="0"/>
        <v/>
      </c>
      <c r="F28" s="21" t="s">
        <v>85</v>
      </c>
    </row>
    <row r="29" spans="2:7" ht="24" customHeight="1" x14ac:dyDescent="0.2">
      <c r="B29" s="13" t="s">
        <v>86</v>
      </c>
      <c r="C29" s="22"/>
      <c r="D29" s="23">
        <v>12</v>
      </c>
      <c r="E29" s="16" t="str">
        <f t="shared" si="0"/>
        <v/>
      </c>
      <c r="F29" s="17" t="s">
        <v>87</v>
      </c>
    </row>
    <row r="30" spans="2:7" ht="24" customHeight="1" x14ac:dyDescent="0.2">
      <c r="B30" s="18" t="s">
        <v>88</v>
      </c>
      <c r="C30" s="22"/>
      <c r="D30" s="24">
        <v>12</v>
      </c>
      <c r="E30" s="20" t="str">
        <f t="shared" si="0"/>
        <v/>
      </c>
      <c r="F30" s="21" t="s">
        <v>89</v>
      </c>
    </row>
    <row r="31" spans="2:7" ht="9.75" customHeight="1" x14ac:dyDescent="0.2"/>
    <row r="32" spans="2:7" ht="24" customHeight="1" x14ac:dyDescent="0.2">
      <c r="B32" s="42" t="s">
        <v>90</v>
      </c>
      <c r="C32" s="43"/>
      <c r="D32" s="43"/>
      <c r="E32" s="43"/>
      <c r="F32" s="43"/>
      <c r="G32" s="43"/>
    </row>
    <row r="33" spans="2:7" ht="36" customHeight="1" x14ac:dyDescent="0.2">
      <c r="B33" s="25" t="s">
        <v>91</v>
      </c>
      <c r="C33" s="51"/>
      <c r="D33" s="52"/>
      <c r="E33" s="52"/>
      <c r="F33" s="52"/>
      <c r="G33" s="52"/>
    </row>
    <row r="34" spans="2:7" ht="36" customHeight="1" x14ac:dyDescent="0.2">
      <c r="B34" s="25" t="s">
        <v>92</v>
      </c>
      <c r="C34" s="51"/>
      <c r="D34" s="52"/>
      <c r="E34" s="52"/>
      <c r="F34" s="52"/>
      <c r="G34" s="52"/>
    </row>
    <row r="35" spans="2:7" ht="36" customHeight="1" x14ac:dyDescent="0.2">
      <c r="B35" s="25" t="s">
        <v>93</v>
      </c>
      <c r="C35" s="51"/>
      <c r="D35" s="52"/>
      <c r="E35" s="52"/>
      <c r="F35" s="52"/>
      <c r="G35" s="52"/>
    </row>
    <row r="36" spans="2:7" ht="36" customHeight="1" x14ac:dyDescent="0.2">
      <c r="B36" s="25" t="s">
        <v>94</v>
      </c>
      <c r="C36" s="51"/>
      <c r="D36" s="52"/>
      <c r="E36" s="52"/>
      <c r="F36" s="52"/>
      <c r="G36" s="52"/>
    </row>
    <row r="37" spans="2:7" ht="9.75" customHeight="1" x14ac:dyDescent="0.2"/>
    <row r="38" spans="2:7" ht="18" customHeight="1" x14ac:dyDescent="0.2">
      <c r="B38" s="45" t="s">
        <v>37</v>
      </c>
      <c r="C38" s="43"/>
      <c r="D38" s="43"/>
      <c r="E38" s="43"/>
      <c r="F38" s="43"/>
      <c r="G38" s="43"/>
    </row>
  </sheetData>
  <mergeCells count="12">
    <mergeCell ref="B38:G38"/>
    <mergeCell ref="B2:G2"/>
    <mergeCell ref="C35:G35"/>
    <mergeCell ref="C34:G34"/>
    <mergeCell ref="B22:G22"/>
    <mergeCell ref="B23:G23"/>
    <mergeCell ref="C33:G33"/>
    <mergeCell ref="B32:G32"/>
    <mergeCell ref="B4:G4"/>
    <mergeCell ref="C36:G36"/>
    <mergeCell ref="B7:G7"/>
    <mergeCell ref="B6:G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4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x14ac:dyDescent="0.2"/>
  <cols>
    <col min="1" max="1" width="3" customWidth="1"/>
    <col min="2" max="2" width="18" customWidth="1"/>
    <col min="3" max="7" width="16" customWidth="1"/>
    <col min="8" max="8" width="14" customWidth="1"/>
    <col min="9" max="9" width="3" customWidth="1"/>
  </cols>
  <sheetData>
    <row r="1" spans="2:9" ht="7.5" customHeight="1" x14ac:dyDescent="0.2"/>
    <row r="2" spans="2:9" ht="33.75" customHeight="1" x14ac:dyDescent="0.2">
      <c r="B2" s="50" t="s">
        <v>95</v>
      </c>
      <c r="C2" s="43"/>
      <c r="D2" s="43"/>
      <c r="E2" s="43"/>
      <c r="F2" s="43"/>
      <c r="G2" s="43"/>
      <c r="H2" s="43"/>
    </row>
    <row r="3" spans="2:9" ht="3.75" customHeight="1" x14ac:dyDescent="0.2">
      <c r="B3" s="1"/>
      <c r="C3" s="1"/>
      <c r="D3" s="1"/>
      <c r="E3" s="1"/>
      <c r="F3" s="1"/>
      <c r="G3" s="1"/>
      <c r="H3" s="1"/>
    </row>
    <row r="4" spans="2:9" ht="19.5" customHeight="1" x14ac:dyDescent="0.2">
      <c r="B4" s="53" t="s">
        <v>96</v>
      </c>
      <c r="C4" s="43"/>
      <c r="D4" s="43"/>
      <c r="E4" s="43"/>
      <c r="F4" s="43"/>
      <c r="G4" s="43"/>
      <c r="H4" s="43"/>
    </row>
    <row r="5" spans="2:9" ht="9.75" customHeight="1" x14ac:dyDescent="0.2"/>
    <row r="6" spans="2:9" ht="24" customHeight="1" x14ac:dyDescent="0.2">
      <c r="B6" s="42" t="s">
        <v>97</v>
      </c>
      <c r="C6" s="43"/>
      <c r="D6" s="43"/>
      <c r="E6" s="43"/>
      <c r="F6" s="43"/>
      <c r="G6" s="43"/>
      <c r="H6" s="43"/>
    </row>
    <row r="7" spans="2:9" ht="19.5" customHeight="1" x14ac:dyDescent="0.2">
      <c r="B7" s="47" t="s">
        <v>98</v>
      </c>
      <c r="C7" s="43"/>
      <c r="D7" s="43"/>
      <c r="E7" s="43"/>
      <c r="F7" s="43"/>
      <c r="G7" s="43"/>
      <c r="H7" s="43"/>
    </row>
    <row r="8" spans="2:9" ht="24" customHeight="1" x14ac:dyDescent="0.2">
      <c r="B8" s="2"/>
      <c r="C8" s="2" t="s">
        <v>65</v>
      </c>
      <c r="D8" s="6" t="s">
        <v>66</v>
      </c>
      <c r="E8" s="6" t="s">
        <v>67</v>
      </c>
      <c r="F8" s="6" t="s">
        <v>68</v>
      </c>
      <c r="G8" s="6" t="s">
        <v>69</v>
      </c>
      <c r="H8" s="6" t="s">
        <v>70</v>
      </c>
      <c r="I8" s="6"/>
    </row>
    <row r="9" spans="2:9" ht="19.5" customHeight="1" x14ac:dyDescent="0.2">
      <c r="B9" s="7" t="str">
        <f>'Raw Data'!A5</f>
        <v>January</v>
      </c>
      <c r="C9" s="26">
        <f>'Raw Data'!B5</f>
        <v>8200</v>
      </c>
      <c r="D9" s="26">
        <f>'Raw Data'!C5</f>
        <v>6400</v>
      </c>
      <c r="E9" s="26">
        <f>'Raw Data'!D5</f>
        <v>3800</v>
      </c>
      <c r="F9" s="26">
        <f>'Raw Data'!B5+'Raw Data'!C5+'Raw Data'!D5</f>
        <v>18400</v>
      </c>
      <c r="G9" s="27">
        <f>'Raw Data'!E5</f>
        <v>4</v>
      </c>
    </row>
    <row r="10" spans="2:9" ht="19.5" customHeight="1" x14ac:dyDescent="0.2">
      <c r="B10" s="10" t="str">
        <f>'Raw Data'!A6</f>
        <v>February</v>
      </c>
      <c r="C10" s="28">
        <f>'Raw Data'!B6</f>
        <v>10100</v>
      </c>
      <c r="D10" s="28">
        <f>'Raw Data'!C6</f>
        <v>7900</v>
      </c>
      <c r="E10" s="28">
        <f>'Raw Data'!D6</f>
        <v>4100</v>
      </c>
      <c r="F10" s="28">
        <f>'Raw Data'!B6+'Raw Data'!C6+'Raw Data'!D6</f>
        <v>22100</v>
      </c>
      <c r="G10" s="29">
        <f>'Raw Data'!E6</f>
        <v>3</v>
      </c>
    </row>
    <row r="11" spans="2:9" ht="19.5" customHeight="1" x14ac:dyDescent="0.2">
      <c r="B11" s="7" t="str">
        <f>'Raw Data'!A7</f>
        <v>March</v>
      </c>
      <c r="C11" s="26">
        <f>'Raw Data'!B7</f>
        <v>14500</v>
      </c>
      <c r="D11" s="26">
        <f>'Raw Data'!C7</f>
        <v>9600</v>
      </c>
      <c r="E11" s="26">
        <f>'Raw Data'!D7</f>
        <v>7500</v>
      </c>
      <c r="F11" s="26">
        <f>'Raw Data'!B7+'Raw Data'!C7+'Raw Data'!D7</f>
        <v>31600</v>
      </c>
      <c r="G11" s="27">
        <f>'Raw Data'!E7</f>
        <v>6</v>
      </c>
    </row>
    <row r="12" spans="2:9" ht="19.5" customHeight="1" x14ac:dyDescent="0.2">
      <c r="B12" s="10" t="str">
        <f>'Raw Data'!A8</f>
        <v>April</v>
      </c>
      <c r="C12" s="28">
        <f>'Raw Data'!B8</f>
        <v>23800</v>
      </c>
      <c r="D12" s="28">
        <f>'Raw Data'!C8</f>
        <v>11200</v>
      </c>
      <c r="E12" s="28">
        <f>'Raw Data'!D8</f>
        <v>9200</v>
      </c>
      <c r="F12" s="28">
        <f>'Raw Data'!B8+'Raw Data'!C8+'Raw Data'!D8</f>
        <v>44200</v>
      </c>
      <c r="G12" s="29">
        <f>'Raw Data'!E8</f>
        <v>8</v>
      </c>
    </row>
    <row r="13" spans="2:9" ht="19.5" customHeight="1" x14ac:dyDescent="0.2">
      <c r="B13" s="7" t="str">
        <f>'Raw Data'!A9</f>
        <v>May</v>
      </c>
      <c r="C13" s="26">
        <f>'Raw Data'!B9</f>
        <v>41200</v>
      </c>
      <c r="D13" s="26">
        <f>'Raw Data'!C9</f>
        <v>14600</v>
      </c>
      <c r="E13" s="26">
        <f>'Raw Data'!D9</f>
        <v>12000</v>
      </c>
      <c r="F13" s="26">
        <f>'Raw Data'!B9+'Raw Data'!C9+'Raw Data'!D9</f>
        <v>67800</v>
      </c>
      <c r="G13" s="27">
        <f>'Raw Data'!E9</f>
        <v>12</v>
      </c>
    </row>
    <row r="14" spans="2:9" ht="19.5" customHeight="1" x14ac:dyDescent="0.2">
      <c r="B14" s="10" t="str">
        <f>'Raw Data'!A10</f>
        <v>June</v>
      </c>
      <c r="C14" s="28">
        <f>'Raw Data'!B10</f>
        <v>58400</v>
      </c>
      <c r="D14" s="28">
        <f>'Raw Data'!C10</f>
        <v>18300</v>
      </c>
      <c r="E14" s="28">
        <f>'Raw Data'!D10</f>
        <v>12800</v>
      </c>
      <c r="F14" s="28">
        <f>'Raw Data'!B10+'Raw Data'!C10+'Raw Data'!D10</f>
        <v>89500</v>
      </c>
      <c r="G14" s="29">
        <f>'Raw Data'!E10</f>
        <v>16</v>
      </c>
    </row>
    <row r="15" spans="2:9" ht="19.5" customHeight="1" x14ac:dyDescent="0.2">
      <c r="B15" s="7" t="str">
        <f>'Raw Data'!A11</f>
        <v>July</v>
      </c>
      <c r="C15" s="26">
        <f>'Raw Data'!B11</f>
        <v>52100</v>
      </c>
      <c r="D15" s="26">
        <f>'Raw Data'!C11</f>
        <v>16800</v>
      </c>
      <c r="E15" s="26">
        <f>'Raw Data'!D11</f>
        <v>11600</v>
      </c>
      <c r="F15" s="26">
        <f>'Raw Data'!B11+'Raw Data'!C11+'Raw Data'!D11</f>
        <v>80500</v>
      </c>
      <c r="G15" s="27">
        <f>'Raw Data'!E11</f>
        <v>14</v>
      </c>
    </row>
    <row r="16" spans="2:9" ht="19.5" customHeight="1" x14ac:dyDescent="0.2">
      <c r="B16" s="10" t="str">
        <f>'Raw Data'!A12</f>
        <v>August</v>
      </c>
      <c r="C16" s="28">
        <f>'Raw Data'!B12</f>
        <v>48300</v>
      </c>
      <c r="D16" s="28">
        <f>'Raw Data'!C12</f>
        <v>15200</v>
      </c>
      <c r="E16" s="28">
        <f>'Raw Data'!D12</f>
        <v>10800</v>
      </c>
      <c r="F16" s="28">
        <f>'Raw Data'!B12+'Raw Data'!C12+'Raw Data'!D12</f>
        <v>74300</v>
      </c>
      <c r="G16" s="29">
        <f>'Raw Data'!E12</f>
        <v>13</v>
      </c>
    </row>
    <row r="17" spans="2:9" ht="19.5" customHeight="1" x14ac:dyDescent="0.2">
      <c r="B17" s="7" t="str">
        <f>'Raw Data'!A13</f>
        <v>September</v>
      </c>
      <c r="C17" s="26">
        <f>'Raw Data'!B13</f>
        <v>38600</v>
      </c>
      <c r="D17" s="26">
        <f>'Raw Data'!C13</f>
        <v>13400</v>
      </c>
      <c r="E17" s="26">
        <f>'Raw Data'!D13</f>
        <v>9400</v>
      </c>
      <c r="F17" s="26">
        <f>'Raw Data'!B13+'Raw Data'!C13+'Raw Data'!D13</f>
        <v>61400</v>
      </c>
      <c r="G17" s="27">
        <f>'Raw Data'!E13</f>
        <v>11</v>
      </c>
    </row>
    <row r="18" spans="2:9" ht="19.5" customHeight="1" x14ac:dyDescent="0.2">
      <c r="B18" s="10" t="str">
        <f>'Raw Data'!A14</f>
        <v>October</v>
      </c>
      <c r="C18" s="28">
        <f>'Raw Data'!B14</f>
        <v>21400</v>
      </c>
      <c r="D18" s="28">
        <f>'Raw Data'!C14</f>
        <v>10100</v>
      </c>
      <c r="E18" s="28">
        <f>'Raw Data'!D14</f>
        <v>7900</v>
      </c>
      <c r="F18" s="28">
        <f>'Raw Data'!B14+'Raw Data'!C14+'Raw Data'!D14</f>
        <v>39400</v>
      </c>
      <c r="G18" s="29">
        <f>'Raw Data'!E14</f>
        <v>7</v>
      </c>
    </row>
    <row r="19" spans="2:9" ht="19.5" customHeight="1" x14ac:dyDescent="0.2">
      <c r="B19" s="7" t="str">
        <f>'Raw Data'!A15</f>
        <v>November</v>
      </c>
      <c r="C19" s="26">
        <f>'Raw Data'!B15</f>
        <v>12800</v>
      </c>
      <c r="D19" s="26">
        <f>'Raw Data'!C15</f>
        <v>8200</v>
      </c>
      <c r="E19" s="26">
        <f>'Raw Data'!D15</f>
        <v>5300</v>
      </c>
      <c r="F19" s="26">
        <f>'Raw Data'!B15+'Raw Data'!C15+'Raw Data'!D15</f>
        <v>26300</v>
      </c>
      <c r="G19" s="27">
        <f>'Raw Data'!E15</f>
        <v>5</v>
      </c>
    </row>
    <row r="20" spans="2:9" ht="19.5" customHeight="1" x14ac:dyDescent="0.2">
      <c r="B20" s="10" t="str">
        <f>'Raw Data'!A16</f>
        <v>December</v>
      </c>
      <c r="C20" s="28">
        <f>'Raw Data'!B16</f>
        <v>9700</v>
      </c>
      <c r="D20" s="28">
        <f>'Raw Data'!C16</f>
        <v>7100</v>
      </c>
      <c r="E20" s="28">
        <f>'Raw Data'!D16</f>
        <v>4200</v>
      </c>
      <c r="F20" s="28">
        <f>'Raw Data'!B16+'Raw Data'!C16+'Raw Data'!D16</f>
        <v>21000</v>
      </c>
      <c r="G20" s="29">
        <f>'Raw Data'!E16</f>
        <v>4</v>
      </c>
    </row>
    <row r="21" spans="2:9" ht="3.75" customHeight="1" x14ac:dyDescent="0.2">
      <c r="B21" s="1"/>
      <c r="C21" s="1"/>
      <c r="D21" s="1"/>
      <c r="E21" s="1"/>
      <c r="F21" s="1"/>
      <c r="G21" s="1"/>
      <c r="H21" s="1"/>
    </row>
    <row r="22" spans="2:9" ht="25.5" customHeight="1" x14ac:dyDescent="0.2">
      <c r="B22" s="2"/>
      <c r="C22" s="30" t="s">
        <v>99</v>
      </c>
      <c r="D22" s="31"/>
      <c r="E22" s="31"/>
      <c r="F22" s="31"/>
      <c r="G22" s="32"/>
      <c r="H22" s="6"/>
      <c r="I22" s="6"/>
    </row>
    <row r="23" spans="2:9" ht="19.5" customHeight="1" x14ac:dyDescent="0.2">
      <c r="B23" s="55" t="s">
        <v>100</v>
      </c>
      <c r="C23" s="43"/>
      <c r="D23" s="43"/>
      <c r="E23" s="43"/>
      <c r="F23" s="43"/>
      <c r="G23" s="43"/>
      <c r="H23" s="43"/>
    </row>
    <row r="24" spans="2:9" ht="9.75" customHeight="1" x14ac:dyDescent="0.2"/>
    <row r="25" spans="2:9" ht="24" customHeight="1" x14ac:dyDescent="0.2">
      <c r="B25" s="42" t="s">
        <v>101</v>
      </c>
      <c r="C25" s="43"/>
      <c r="D25" s="43"/>
      <c r="E25" s="43"/>
      <c r="F25" s="43"/>
      <c r="G25" s="43"/>
      <c r="H25" s="43"/>
    </row>
    <row r="26" spans="2:9" ht="19.5" customHeight="1" x14ac:dyDescent="0.2">
      <c r="B26" s="47" t="s">
        <v>102</v>
      </c>
      <c r="C26" s="43"/>
      <c r="D26" s="43"/>
      <c r="E26" s="43"/>
      <c r="F26" s="43"/>
      <c r="G26" s="43"/>
      <c r="H26" s="43"/>
    </row>
    <row r="27" spans="2:9" ht="24" customHeight="1" x14ac:dyDescent="0.2">
      <c r="B27" s="2"/>
      <c r="C27" s="6"/>
      <c r="D27" s="6"/>
      <c r="E27" s="6"/>
      <c r="F27" s="6"/>
      <c r="G27" s="6"/>
      <c r="H27" s="6"/>
    </row>
    <row r="28" spans="2:9" ht="24" customHeight="1" x14ac:dyDescent="0.2">
      <c r="B28" s="54" t="s">
        <v>103</v>
      </c>
      <c r="C28" s="43"/>
      <c r="D28" s="43"/>
      <c r="E28" s="43"/>
      <c r="F28" s="43"/>
      <c r="G28" s="43"/>
      <c r="H28" s="33">
        <v>55000</v>
      </c>
    </row>
    <row r="29" spans="2:9" ht="24" customHeight="1" x14ac:dyDescent="0.2">
      <c r="B29" s="2" t="s">
        <v>65</v>
      </c>
      <c r="C29" s="6" t="s">
        <v>69</v>
      </c>
      <c r="D29" s="6" t="s">
        <v>104</v>
      </c>
      <c r="E29" s="6" t="s">
        <v>105</v>
      </c>
    </row>
    <row r="30" spans="2:9" ht="19.5" customHeight="1" x14ac:dyDescent="0.2">
      <c r="B30" s="7" t="str">
        <f>'Raw Data'!A5</f>
        <v>January</v>
      </c>
      <c r="C30" s="26">
        <f>'Raw Data'!B5+'Raw Data'!C5+'Raw Data'!D5</f>
        <v>18400</v>
      </c>
      <c r="D30" s="34"/>
      <c r="E30" s="35"/>
    </row>
    <row r="31" spans="2:9" ht="19.5" customHeight="1" x14ac:dyDescent="0.2">
      <c r="B31" s="10" t="str">
        <f>'Raw Data'!A6</f>
        <v>February</v>
      </c>
      <c r="C31" s="28">
        <f>'Raw Data'!B6+'Raw Data'!C6+'Raw Data'!D6</f>
        <v>22100</v>
      </c>
      <c r="D31" s="34"/>
      <c r="E31" s="35"/>
    </row>
    <row r="32" spans="2:9" ht="19.5" customHeight="1" x14ac:dyDescent="0.2">
      <c r="B32" s="7" t="str">
        <f>'Raw Data'!A7</f>
        <v>March</v>
      </c>
      <c r="C32" s="26">
        <f>'Raw Data'!B7+'Raw Data'!C7+'Raw Data'!D7</f>
        <v>31600</v>
      </c>
      <c r="D32" s="34"/>
      <c r="E32" s="35"/>
    </row>
    <row r="33" spans="2:8" ht="19.5" customHeight="1" x14ac:dyDescent="0.2">
      <c r="B33" s="10" t="str">
        <f>'Raw Data'!A8</f>
        <v>April</v>
      </c>
      <c r="C33" s="28">
        <f>'Raw Data'!B8+'Raw Data'!C8+'Raw Data'!D8</f>
        <v>44200</v>
      </c>
      <c r="D33" s="34"/>
      <c r="E33" s="35"/>
    </row>
    <row r="34" spans="2:8" ht="19.5" customHeight="1" x14ac:dyDescent="0.2">
      <c r="B34" s="7" t="str">
        <f>'Raw Data'!A9</f>
        <v>May</v>
      </c>
      <c r="C34" s="26">
        <f>'Raw Data'!B9+'Raw Data'!C9+'Raw Data'!D9</f>
        <v>67800</v>
      </c>
      <c r="D34" s="34"/>
      <c r="E34" s="35"/>
    </row>
    <row r="35" spans="2:8" ht="19.5" customHeight="1" x14ac:dyDescent="0.2">
      <c r="B35" s="10" t="str">
        <f>'Raw Data'!A10</f>
        <v>June</v>
      </c>
      <c r="C35" s="28">
        <f>'Raw Data'!B10+'Raw Data'!C10+'Raw Data'!D10</f>
        <v>89500</v>
      </c>
      <c r="D35" s="34"/>
      <c r="E35" s="35"/>
    </row>
    <row r="36" spans="2:8" ht="19.5" customHeight="1" x14ac:dyDescent="0.2">
      <c r="B36" s="7" t="str">
        <f>'Raw Data'!A11</f>
        <v>July</v>
      </c>
      <c r="C36" s="26">
        <f>'Raw Data'!B11+'Raw Data'!C11+'Raw Data'!D11</f>
        <v>80500</v>
      </c>
      <c r="D36" s="34"/>
      <c r="E36" s="35"/>
    </row>
    <row r="37" spans="2:8" ht="19.5" customHeight="1" x14ac:dyDescent="0.2">
      <c r="B37" s="10" t="str">
        <f>'Raw Data'!A12</f>
        <v>August</v>
      </c>
      <c r="C37" s="28">
        <f>'Raw Data'!B12+'Raw Data'!C12+'Raw Data'!D12</f>
        <v>74300</v>
      </c>
      <c r="D37" s="34"/>
      <c r="E37" s="35"/>
    </row>
    <row r="38" spans="2:8" ht="19.5" customHeight="1" x14ac:dyDescent="0.2">
      <c r="B38" s="7" t="str">
        <f>'Raw Data'!A13</f>
        <v>September</v>
      </c>
      <c r="C38" s="26">
        <f>'Raw Data'!B13+'Raw Data'!C13+'Raw Data'!D13</f>
        <v>61400</v>
      </c>
      <c r="D38" s="34"/>
      <c r="E38" s="35"/>
    </row>
    <row r="39" spans="2:8" ht="19.5" customHeight="1" x14ac:dyDescent="0.2">
      <c r="B39" s="10" t="str">
        <f>'Raw Data'!A14</f>
        <v>October</v>
      </c>
      <c r="C39" s="28">
        <f>'Raw Data'!B14+'Raw Data'!C14+'Raw Data'!D14</f>
        <v>39400</v>
      </c>
      <c r="D39" s="34"/>
      <c r="E39" s="35"/>
    </row>
    <row r="40" spans="2:8" ht="19.5" customHeight="1" x14ac:dyDescent="0.2">
      <c r="B40" s="7" t="str">
        <f>'Raw Data'!A15</f>
        <v>November</v>
      </c>
      <c r="C40" s="26">
        <f>'Raw Data'!B15+'Raw Data'!C15+'Raw Data'!D15</f>
        <v>26300</v>
      </c>
      <c r="D40" s="34"/>
      <c r="E40" s="35"/>
    </row>
    <row r="41" spans="2:8" ht="19.5" customHeight="1" x14ac:dyDescent="0.2">
      <c r="B41" s="10" t="str">
        <f>'Raw Data'!A16</f>
        <v>December</v>
      </c>
      <c r="C41" s="28">
        <f>'Raw Data'!B16+'Raw Data'!C16+'Raw Data'!D16</f>
        <v>21000</v>
      </c>
      <c r="D41" s="34"/>
      <c r="E41" s="35"/>
    </row>
    <row r="42" spans="2:8" ht="9.75" customHeight="1" x14ac:dyDescent="0.2"/>
    <row r="43" spans="2:8" ht="21.75" customHeight="1" x14ac:dyDescent="0.2">
      <c r="B43" s="55" t="s">
        <v>106</v>
      </c>
      <c r="C43" s="43"/>
      <c r="D43" s="43"/>
      <c r="E43" s="43"/>
      <c r="F43" s="43"/>
      <c r="G43" s="43"/>
      <c r="H43" s="43"/>
    </row>
    <row r="44" spans="2:8" ht="9.75" customHeight="1" x14ac:dyDescent="0.2"/>
    <row r="45" spans="2:8" ht="18" customHeight="1" x14ac:dyDescent="0.2">
      <c r="B45" s="45" t="s">
        <v>37</v>
      </c>
      <c r="C45" s="43"/>
      <c r="D45" s="43"/>
      <c r="E45" s="43"/>
      <c r="F45" s="43"/>
      <c r="G45" s="43"/>
      <c r="H45" s="43"/>
    </row>
  </sheetData>
  <mergeCells count="10">
    <mergeCell ref="B2:H2"/>
    <mergeCell ref="B7:H7"/>
    <mergeCell ref="B25:H25"/>
    <mergeCell ref="B45:H45"/>
    <mergeCell ref="B23:H23"/>
    <mergeCell ref="B28:G28"/>
    <mergeCell ref="B26:H26"/>
    <mergeCell ref="B4:H4"/>
    <mergeCell ref="B43:H43"/>
    <mergeCell ref="B6:H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7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16" customWidth="1"/>
    <col min="3" max="3" width="26" customWidth="1"/>
    <col min="4" max="4" width="22" customWidth="1"/>
    <col min="5" max="5" width="36" customWidth="1"/>
    <col min="6" max="6" width="3" customWidth="1"/>
  </cols>
  <sheetData>
    <row r="1" spans="2:5" ht="7.5" customHeight="1" x14ac:dyDescent="0.2"/>
    <row r="2" spans="2:5" ht="39.75" customHeight="1" x14ac:dyDescent="0.2">
      <c r="B2" s="58" t="s">
        <v>107</v>
      </c>
      <c r="C2" s="43"/>
      <c r="D2" s="43"/>
      <c r="E2" s="43"/>
    </row>
    <row r="3" spans="2:5" ht="3.75" customHeight="1" x14ac:dyDescent="0.2">
      <c r="B3" s="1"/>
      <c r="C3" s="1"/>
      <c r="D3" s="1"/>
      <c r="E3" s="1"/>
    </row>
    <row r="4" spans="2:5" ht="25.5" customHeight="1" x14ac:dyDescent="0.2">
      <c r="B4" s="2" t="s">
        <v>73</v>
      </c>
      <c r="C4" s="2" t="s">
        <v>108</v>
      </c>
      <c r="D4" s="2" t="s">
        <v>109</v>
      </c>
      <c r="E4" s="2" t="s">
        <v>110</v>
      </c>
    </row>
    <row r="5" spans="2:5" ht="25.5" customHeight="1" x14ac:dyDescent="0.2">
      <c r="B5" s="36" t="s">
        <v>78</v>
      </c>
      <c r="C5" s="37" t="s">
        <v>111</v>
      </c>
      <c r="D5" s="38" t="s">
        <v>112</v>
      </c>
      <c r="E5" s="17" t="s">
        <v>113</v>
      </c>
    </row>
    <row r="6" spans="2:5" ht="25.5" customHeight="1" x14ac:dyDescent="0.2">
      <c r="B6" s="39" t="s">
        <v>80</v>
      </c>
      <c r="C6" s="37" t="s">
        <v>114</v>
      </c>
      <c r="D6" s="40" t="s">
        <v>115</v>
      </c>
      <c r="E6" s="21" t="s">
        <v>116</v>
      </c>
    </row>
    <row r="7" spans="2:5" ht="25.5" customHeight="1" x14ac:dyDescent="0.2">
      <c r="B7" s="36" t="s">
        <v>82</v>
      </c>
      <c r="C7" s="37" t="s">
        <v>117</v>
      </c>
      <c r="D7" s="38" t="s">
        <v>118</v>
      </c>
      <c r="E7" s="17" t="s">
        <v>119</v>
      </c>
    </row>
    <row r="8" spans="2:5" ht="25.5" customHeight="1" x14ac:dyDescent="0.2">
      <c r="B8" s="39" t="s">
        <v>84</v>
      </c>
      <c r="C8" s="37" t="s">
        <v>120</v>
      </c>
      <c r="D8" s="40" t="s">
        <v>121</v>
      </c>
      <c r="E8" s="21" t="s">
        <v>122</v>
      </c>
    </row>
    <row r="9" spans="2:5" ht="25.5" customHeight="1" x14ac:dyDescent="0.2">
      <c r="B9" s="36" t="s">
        <v>86</v>
      </c>
      <c r="C9" s="37" t="s">
        <v>123</v>
      </c>
      <c r="D9" s="38" t="s">
        <v>124</v>
      </c>
      <c r="E9" s="17" t="s">
        <v>125</v>
      </c>
    </row>
    <row r="10" spans="2:5" ht="25.5" customHeight="1" x14ac:dyDescent="0.2">
      <c r="B10" s="39" t="s">
        <v>88</v>
      </c>
      <c r="C10" s="37" t="s">
        <v>126</v>
      </c>
      <c r="D10" s="40" t="s">
        <v>127</v>
      </c>
      <c r="E10" s="21" t="s">
        <v>128</v>
      </c>
    </row>
    <row r="11" spans="2:5" ht="9.75" customHeight="1" x14ac:dyDescent="0.2"/>
    <row r="12" spans="2:5" ht="25.5" customHeight="1" x14ac:dyDescent="0.2">
      <c r="B12" s="42" t="s">
        <v>129</v>
      </c>
      <c r="C12" s="43"/>
      <c r="D12" s="43"/>
      <c r="E12" s="43"/>
    </row>
    <row r="13" spans="2:5" ht="24" customHeight="1" x14ac:dyDescent="0.2">
      <c r="B13" s="13" t="s">
        <v>130</v>
      </c>
      <c r="C13" s="41" t="s">
        <v>131</v>
      </c>
      <c r="D13" s="56" t="s">
        <v>132</v>
      </c>
      <c r="E13" s="52"/>
    </row>
    <row r="14" spans="2:5" ht="24" customHeight="1" x14ac:dyDescent="0.2">
      <c r="B14" s="18" t="s">
        <v>133</v>
      </c>
      <c r="C14" s="41" t="s">
        <v>134</v>
      </c>
      <c r="D14" s="57" t="s">
        <v>135</v>
      </c>
      <c r="E14" s="52"/>
    </row>
    <row r="15" spans="2:5" ht="24" customHeight="1" x14ac:dyDescent="0.2">
      <c r="B15" s="13" t="s">
        <v>136</v>
      </c>
      <c r="C15" s="41" t="s">
        <v>137</v>
      </c>
      <c r="D15" s="56" t="s">
        <v>138</v>
      </c>
      <c r="E15" s="52"/>
    </row>
    <row r="16" spans="2:5" ht="9.75" customHeight="1" x14ac:dyDescent="0.2"/>
    <row r="17" spans="2:5" ht="18" customHeight="1" x14ac:dyDescent="0.2">
      <c r="B17" s="45" t="s">
        <v>139</v>
      </c>
      <c r="C17" s="43"/>
      <c r="D17" s="43"/>
      <c r="E17" s="43"/>
    </row>
  </sheetData>
  <mergeCells count="6">
    <mergeCell ref="B2:E2"/>
    <mergeCell ref="B17:E17"/>
    <mergeCell ref="D15:E15"/>
    <mergeCell ref="B12:E12"/>
    <mergeCell ref="D13:E13"/>
    <mergeCell ref="D14:E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Raw Data</vt:lpstr>
      <vt:lpstr>Event Revenue Analysis</vt:lpstr>
      <vt:lpstr>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Bethany Evitts</cp:lastModifiedBy>
  <cp:revision>0</cp:revision>
  <dcterms:created xsi:type="dcterms:W3CDTF">2026-05-25T13:06:40Z</dcterms:created>
  <dcterms:modified xsi:type="dcterms:W3CDTF">2026-05-25T18:31:43Z</dcterms:modified>
  <dc:language>en-US</dc:language>
</cp:coreProperties>
</file>