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11">
    <font>
      <name val="Calibri"/>
      <color theme="1"/>
      <sz val="11"/>
    </font>
    <font>
      <name val="Aptos Display"/>
      <b val="1"/>
      <color rgb="FFFFFFFF"/>
      <sz val="18"/>
    </font>
    <font>
      <name val="Aptos"/>
      <i val="1"/>
      <color rgb="FF1A1F2C"/>
      <sz val="12"/>
    </font>
    <font>
      <name val="Aptos"/>
      <color rgb="FF4A5567"/>
      <sz val="11"/>
    </font>
    <font>
      <name val="Aptos"/>
      <color rgb="FF1A1F2C"/>
      <sz val="11"/>
    </font>
    <font>
      <name val="Aptos"/>
      <b val="1"/>
      <color rgb="FFFFFFFF"/>
    </font>
    <font>
      <name val="Aptos"/>
      <b val="1"/>
      <color rgb="FF4A7C5E"/>
    </font>
    <font>
      <name val="Consolas"/>
      <b val="1"/>
      <color rgb="FF355773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17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FAF8F3"/>
      </patternFill>
    </fill>
    <fill>
      <patternFill patternType="solid">
        <fgColor rgb="FFF2EEE5"/>
      </patternFill>
    </fill>
    <fill>
      <patternFill patternType="solid">
        <fgColor rgb="FF355773"/>
      </patternFill>
    </fill>
    <fill>
      <patternFill patternType="solid">
        <fgColor rgb="FFFFF3C4"/>
      </patternFill>
    </fill>
    <fill>
      <patternFill patternType="solid">
        <fgColor rgb="FFDCEBFF"/>
      </patternFill>
    </fill>
    <fill>
      <patternFill patternType="solid">
        <fgColor rgb="FFEAF3EC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9">
    <border/>
    <border>
      <top style="thin">
        <color rgb="FFE5E1D6"/>
      </top>
      <bottom style="thin">
        <color rgb="FFE5E1D6"/>
      </bottom>
    </border>
    <border>
      <bottom style="thin">
        <color rgb="FFE5E1D6"/>
      </bottom>
    </border>
    <border>
      <bottom style="thin">
        <color rgb="FFE5E1D6"/>
      </bottom>
    </border>
    <border>
      <bottom style="thin">
        <color rgb="FFE5E1D6"/>
      </bottom>
    </border>
    <border>
      <left style="medium">
        <color rgb="FFB8843D"/>
      </left>
      <bottom style="thin">
        <color rgb="FFE5E1D6"/>
      </bottom>
    </border>
    <border>
      <left style="medium">
        <color rgb="FF4A7C5E"/>
      </left>
      <bottom style="thin">
        <color rgb="FFE5E1D6"/>
      </bottom>
    </border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7"/>
  </cellStyleXfs>
  <cellXfs count="51">
    <xf numFmtId="0" fontId="0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0" fillId="0" borderId="4" pivotButton="0" quotePrefix="0" xfId="0"/>
    <xf numFmtId="0" fontId="6" fillId="4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4" fillId="6" borderId="5" applyAlignment="1" pivotButton="0" quotePrefix="0" xfId="0">
      <alignment vertical="top" wrapText="1"/>
    </xf>
    <xf numFmtId="9" fontId="4" fillId="6" borderId="5" applyAlignment="1" pivotButton="0" quotePrefix="0" xfId="0">
      <alignment vertical="top" wrapText="1"/>
    </xf>
    <xf numFmtId="164" fontId="4" fillId="7" borderId="6" applyAlignment="1" pivotButton="0" quotePrefix="0" xfId="0">
      <alignment vertical="top" wrapText="1"/>
    </xf>
    <xf numFmtId="0" fontId="4" fillId="8" borderId="6" applyAlignment="1" pivotButton="0" quotePrefix="0" xfId="0">
      <alignment vertical="top" wrapText="1"/>
    </xf>
    <xf numFmtId="165" fontId="4" fillId="6" borderId="5" applyAlignment="1" pivotButton="0" quotePrefix="0" xfId="0">
      <alignment vertical="top" wrapText="1"/>
    </xf>
    <xf numFmtId="164" fontId="0" fillId="7" borderId="6" pivotButton="0" quotePrefix="0" xfId="0"/>
    <xf numFmtId="0" fontId="0" fillId="8" borderId="6" pivotButton="0" quotePrefix="0" xfId="0"/>
    <xf numFmtId="1" fontId="0" fillId="7" borderId="6" pivotButton="0" quotePrefix="0" xfId="0"/>
    <xf numFmtId="1" fontId="4" fillId="7" borderId="6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166" fontId="4" fillId="7" borderId="6" applyAlignment="1" pivotButton="0" quotePrefix="0" xfId="0">
      <alignment vertical="top" wrapText="1"/>
    </xf>
    <xf numFmtId="0" fontId="0" fillId="9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wrapText="1"/>
    </xf>
    <xf numFmtId="0" fontId="0" fillId="10" borderId="0" pivotButton="0" quotePrefix="0" xfId="0"/>
    <xf numFmtId="0" fontId="9" fillId="10" borderId="0" pivotButton="0" quotePrefix="0" xfId="0"/>
    <xf numFmtId="0" fontId="9" fillId="10" borderId="8" pivotButton="0" quotePrefix="0" xfId="0"/>
    <xf numFmtId="0" fontId="9" fillId="10" borderId="8" applyAlignment="1" pivotButton="0" quotePrefix="0" xfId="0">
      <alignment wrapText="1"/>
    </xf>
    <xf numFmtId="0" fontId="9" fillId="11" borderId="8" applyAlignment="1" pivotButton="0" quotePrefix="0" xfId="0">
      <alignment wrapText="1"/>
    </xf>
    <xf numFmtId="0" fontId="10" fillId="11" borderId="8" applyAlignment="1" pivotButton="0" quotePrefix="0" xfId="0">
      <alignment wrapText="1"/>
    </xf>
    <xf numFmtId="0" fontId="9" fillId="12" borderId="8" applyAlignment="1" pivotButton="0" quotePrefix="0" xfId="0">
      <alignment wrapText="1"/>
    </xf>
    <xf numFmtId="0" fontId="0" fillId="13" borderId="0" pivotButton="0" quotePrefix="0" xfId="0"/>
    <xf numFmtId="0" fontId="8" fillId="13" borderId="0" pivotButton="0" quotePrefix="0" xfId="0"/>
    <xf numFmtId="0" fontId="8" fillId="13" borderId="8" pivotButton="0" quotePrefix="0" xfId="0"/>
    <xf numFmtId="0" fontId="8" fillId="13" borderId="8" applyAlignment="1" pivotButton="0" quotePrefix="0" xfId="0">
      <alignment wrapText="1"/>
    </xf>
    <xf numFmtId="0" fontId="0" fillId="14" borderId="0" pivotButton="0" quotePrefix="0" xfId="0"/>
    <xf numFmtId="0" fontId="9" fillId="14" borderId="0" pivotButton="0" quotePrefix="0" xfId="0"/>
    <xf numFmtId="0" fontId="9" fillId="14" borderId="8" pivotButton="0" quotePrefix="0" xfId="0"/>
    <xf numFmtId="0" fontId="9" fillId="14" borderId="8" applyAlignment="1" pivotButton="0" quotePrefix="0" xfId="0">
      <alignment wrapText="1"/>
    </xf>
    <xf numFmtId="0" fontId="9" fillId="15" borderId="8" applyAlignment="1" pivotButton="0" quotePrefix="0" xfId="0">
      <alignment wrapText="1"/>
    </xf>
    <xf numFmtId="0" fontId="10" fillId="15" borderId="8" applyAlignment="1" pivotButton="0" quotePrefix="0" xfId="0">
      <alignment wrapText="1"/>
    </xf>
    <xf numFmtId="0" fontId="9" fillId="16" borderId="8" applyAlignment="1" pivotButton="0" quotePrefix="0" xfId="0">
      <alignment wrapText="1"/>
    </xf>
    <xf numFmtId="0" fontId="4" fillId="2" borderId="7" applyAlignment="1" pivotButton="0" quotePrefix="0" xfId="0">
      <alignment vertical="top" wrapText="1"/>
    </xf>
    <xf numFmtId="0" fontId="0" fillId="0" borderId="7" pivotButton="0" quotePrefix="0" xfId="0"/>
    <xf numFmtId="0" fontId="4" fillId="3" borderId="7" applyAlignment="1" pivotButton="0" quotePrefix="0" xfId="0">
      <alignment vertical="top" wrapText="1"/>
    </xf>
    <xf numFmtId="0" fontId="4" fillId="4" borderId="7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22" customWidth="1" min="4" max="4"/>
    <col width="34" customWidth="1" min="5" max="5"/>
    <col width="34" customWidth="1" min="6" max="6"/>
  </cols>
  <sheetData>
    <row r="1" ht="30" customHeight="1">
      <c r="A1" s="45" t="inlineStr">
        <is>
          <t>Anchor &amp; Oak Pricing Lab</t>
        </is>
      </c>
      <c r="B1" s="46" t="n"/>
      <c r="C1" s="46" t="n"/>
      <c r="D1" s="46" t="n"/>
      <c r="E1" s="46" t="n"/>
      <c r="F1" s="46" t="n"/>
    </row>
    <row r="2" ht="24" customHeight="1">
      <c r="A2" s="47" t="inlineStr">
        <is>
          <t>BUS123 MATH M04 L01 - Markups, Markdowns, and Break-Even</t>
        </is>
      </c>
      <c r="B2" s="46" t="n"/>
      <c r="C2" s="46" t="n"/>
      <c r="D2" s="46" t="n"/>
      <c r="E2" s="46" t="n"/>
      <c r="F2" s="46" t="n"/>
    </row>
    <row r="3" ht="42" customHeight="1">
      <c r="A3" s="48" t="inlineStr">
        <is>
          <t>Live You Try It is self-graded with hints and feedback. Class Challenge is the graded or next-level activity.</t>
        </is>
      </c>
      <c r="B3" s="46" t="n"/>
      <c r="C3" s="46" t="n"/>
      <c r="D3" s="46" t="n"/>
      <c r="E3" s="46" t="n"/>
      <c r="F3" s="46" t="n"/>
    </row>
    <row r="4" ht="28" customHeight="1">
      <c r="A4" s="5" t="inlineStr">
        <is>
          <t>Step</t>
        </is>
      </c>
      <c r="B4" s="5" t="inlineStr">
        <is>
          <t>Student move</t>
        </is>
      </c>
      <c r="C4" s="5" t="inlineStr"/>
      <c r="D4" s="5" t="inlineStr"/>
      <c r="E4" s="5" t="inlineStr"/>
      <c r="F4" s="5" t="inlineStr"/>
    </row>
    <row r="5" ht="36" customHeight="1">
      <c r="A5" s="6" t="inlineStr">
        <is>
          <t>What to do first</t>
        </is>
      </c>
      <c r="B5" s="49" t="inlineStr">
        <is>
          <t>Open the Live You Try It tab during the slide pauses. Use the exact numbers from the worked examples.</t>
        </is>
      </c>
      <c r="C5" s="8" t="n"/>
      <c r="D5" s="8" t="n"/>
      <c r="E5" s="8" t="n"/>
      <c r="F5" s="8" t="n"/>
    </row>
    <row r="6" ht="36" customHeight="1">
      <c r="A6" s="6" t="inlineStr">
        <is>
          <t>Self-grade live practice</t>
        </is>
      </c>
      <c r="B6" s="49" t="inlineStr">
        <is>
          <t>Use the hint and feedback cells to check your formula logic before moving on.</t>
        </is>
      </c>
      <c r="C6" s="8" t="n"/>
      <c r="D6" s="8" t="n"/>
      <c r="E6" s="8" t="n"/>
      <c r="F6" s="8" t="n"/>
    </row>
    <row r="7" ht="36" customHeight="1">
      <c r="A7" s="6" t="inlineStr">
        <is>
          <t>Then level up</t>
        </is>
      </c>
      <c r="B7" s="49" t="inlineStr">
        <is>
          <t>Use the Class Challenge tab for harder scenarios that combine markup, markdown, and break-even.</t>
        </is>
      </c>
      <c r="C7" s="8" t="n"/>
      <c r="D7" s="8" t="n"/>
      <c r="E7" s="8" t="n"/>
      <c r="F7" s="8" t="n"/>
    </row>
    <row r="8" ht="36" customHeight="1">
      <c r="A8" s="6" t="inlineStr">
        <is>
          <t>Remember</t>
        </is>
      </c>
      <c r="B8" s="49" t="inlineStr">
        <is>
          <t>Name the base first: cost, original selling price, or contribution margin.</t>
        </is>
      </c>
      <c r="C8" s="8" t="n"/>
      <c r="D8" s="8" t="n"/>
      <c r="E8" s="8" t="n"/>
      <c r="F8" s="8" t="n"/>
    </row>
    <row r="10" ht="36" customHeight="1">
      <c r="A10" s="9" t="inlineStr">
        <is>
          <t>Learning Targets</t>
        </is>
      </c>
      <c r="B10" s="10" t="n"/>
      <c r="C10" s="10" t="n"/>
      <c r="D10" s="10" t="n"/>
      <c r="E10" s="10" t="n"/>
      <c r="F10" s="10" t="n"/>
    </row>
    <row r="11" ht="36" customHeight="1">
      <c r="A11" s="10" t="inlineStr">
        <is>
          <t>I can</t>
        </is>
      </c>
      <c r="B11" s="50" t="inlineStr">
        <is>
          <t>Calculate markup based on cost and selling price.</t>
        </is>
      </c>
      <c r="C11" s="8" t="n"/>
      <c r="D11" s="8" t="n"/>
      <c r="E11" s="8" t="n"/>
      <c r="F11" s="8" t="n"/>
    </row>
    <row r="12" ht="36" customHeight="1">
      <c r="A12" s="10" t="inlineStr">
        <is>
          <t>I can</t>
        </is>
      </c>
      <c r="B12" s="50" t="inlineStr">
        <is>
          <t>Calculate markdowns from original selling price.</t>
        </is>
      </c>
      <c r="C12" s="8" t="n"/>
      <c r="D12" s="8" t="n"/>
      <c r="E12" s="8" t="n"/>
      <c r="F12" s="8" t="n"/>
    </row>
    <row r="13" ht="36" customHeight="1">
      <c r="A13" s="10" t="inlineStr">
        <is>
          <t>I can</t>
        </is>
      </c>
      <c r="B13" s="50" t="inlineStr">
        <is>
          <t>Use contribution margin to estimate break-even units.</t>
        </is>
      </c>
      <c r="C13" s="8" t="n"/>
      <c r="D13" s="8" t="n"/>
      <c r="E13" s="8" t="n"/>
      <c r="F13" s="8" t="n"/>
    </row>
    <row r="14" ht="36" customHeight="1">
      <c r="A14" s="10" t="inlineStr">
        <is>
          <t>I can</t>
        </is>
      </c>
      <c r="B14" s="50" t="inlineStr">
        <is>
          <t>Explain how pricing assumptions affect an event decision.</t>
        </is>
      </c>
      <c r="C14" s="8" t="n"/>
      <c r="D14" s="8" t="n"/>
      <c r="E14" s="8" t="n"/>
      <c r="F14" s="8" t="n"/>
    </row>
  </sheetData>
  <mergeCells count="11">
    <mergeCell ref="A2:F2"/>
    <mergeCell ref="B12:F12"/>
    <mergeCell ref="B7:F7"/>
    <mergeCell ref="B6:F6"/>
    <mergeCell ref="A1:F1"/>
    <mergeCell ref="B11:F11"/>
    <mergeCell ref="B5:F5"/>
    <mergeCell ref="B14:F14"/>
    <mergeCell ref="A3:F3"/>
    <mergeCell ref="B8:F8"/>
    <mergeCell ref="B13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22" customWidth="1" min="4" max="4"/>
    <col width="34" customWidth="1" min="5" max="5"/>
    <col width="34" customWidth="1" min="6" max="6"/>
  </cols>
  <sheetData>
    <row r="1" ht="30" customHeight="1">
      <c r="A1" s="45" t="inlineStr">
        <is>
          <t>Live You Try It</t>
        </is>
      </c>
      <c r="B1" s="46" t="n"/>
      <c r="C1" s="46" t="n"/>
      <c r="D1" s="46" t="n"/>
      <c r="E1" s="46" t="n"/>
      <c r="F1" s="46" t="n"/>
    </row>
    <row r="2" ht="24" customHeight="1">
      <c r="A2" s="47" t="inlineStr">
        <is>
          <t>Self-graded practice using the exact numbers from the slides</t>
        </is>
      </c>
      <c r="B2" s="46" t="n"/>
      <c r="C2" s="46" t="n"/>
      <c r="D2" s="46" t="n"/>
      <c r="E2" s="46" t="n"/>
      <c r="F2" s="46" t="n"/>
    </row>
    <row r="3" ht="42" customHeight="1">
      <c r="A3" s="48" t="inlineStr">
        <is>
          <t>Enter yellow inputs, build blue formulas, then read the green feedback. These cells are for learning, not private grading.</t>
        </is>
      </c>
      <c r="B3" s="46" t="n"/>
      <c r="C3" s="46" t="n"/>
      <c r="D3" s="46" t="n"/>
      <c r="E3" s="46" t="n"/>
      <c r="F3" s="46" t="n"/>
    </row>
    <row r="4" ht="28" customHeight="1">
      <c r="A4" s="11" t="inlineStr">
        <is>
          <t>Pause</t>
        </is>
      </c>
      <c r="B4" s="11" t="inlineStr">
        <is>
          <t>What to model</t>
        </is>
      </c>
      <c r="C4" s="11" t="inlineStr">
        <is>
          <t>Input / Formula</t>
        </is>
      </c>
      <c r="D4" s="11" t="inlineStr">
        <is>
          <t>Your result</t>
        </is>
      </c>
      <c r="E4" s="11" t="inlineStr">
        <is>
          <t>Hint</t>
        </is>
      </c>
      <c r="F4" s="11" t="inlineStr">
        <is>
          <t>Feedback</t>
        </is>
      </c>
    </row>
    <row r="5" ht="36" customHeight="1">
      <c r="A5" s="6" t="inlineStr">
        <is>
          <t>Markup</t>
        </is>
      </c>
      <c r="B5" s="6" t="inlineStr">
        <is>
          <t>Cost from slide</t>
        </is>
      </c>
      <c r="C5" s="12" t="n">
        <v>18</v>
      </c>
      <c r="D5" s="6" t="n"/>
      <c r="E5" s="6" t="inlineStr">
        <is>
          <t>Use the dessert cup cost from the worked example.</t>
        </is>
      </c>
      <c r="F5" s="6" t="n"/>
    </row>
    <row r="6" ht="36" customHeight="1">
      <c r="A6" s="6" t="inlineStr">
        <is>
          <t>Markup</t>
        </is>
      </c>
      <c r="B6" s="6" t="inlineStr">
        <is>
          <t>Markup rate from slide</t>
        </is>
      </c>
      <c r="C6" s="13" t="n">
        <v>0.45</v>
      </c>
      <c r="D6" s="6" t="n"/>
      <c r="E6" s="6" t="inlineStr">
        <is>
          <t>Enter 45% as a percent.</t>
        </is>
      </c>
      <c r="F6" s="6" t="n"/>
    </row>
    <row r="7" ht="36" customHeight="1">
      <c r="A7" s="6" t="inlineStr">
        <is>
          <t>Markup</t>
        </is>
      </c>
      <c r="B7" s="6" t="inlineStr">
        <is>
          <t>Selling price</t>
        </is>
      </c>
      <c r="C7" s="6" t="n"/>
      <c r="D7" s="14" t="n"/>
      <c r="E7" s="6" t="inlineStr">
        <is>
          <t>Cost x (1 + Markup Rate)</t>
        </is>
      </c>
      <c r="F7" s="15">
        <f>IF(ABS(D7-26.1)&lt;0.01,"Correct: markup builds from $18.00 to $26.10.","Check the base: use cost, then multiply by 1 + markup rate.")</f>
        <v/>
      </c>
    </row>
    <row r="8" ht="36" customHeight="1">
      <c r="A8" s="6" t="inlineStr">
        <is>
          <t>Markdown</t>
        </is>
      </c>
      <c r="B8" s="6" t="inlineStr">
        <is>
          <t>Original price from slide</t>
        </is>
      </c>
      <c r="C8" s="6" t="n">
        <v>52</v>
      </c>
      <c r="D8" s="6" t="n"/>
      <c r="E8" s="6" t="inlineStr">
        <is>
          <t>Use the original selling price before the discount.</t>
        </is>
      </c>
      <c r="F8" s="6" t="n"/>
    </row>
    <row r="9" ht="36" customHeight="1">
      <c r="A9" s="6" t="inlineStr">
        <is>
          <t>Markdown</t>
        </is>
      </c>
      <c r="B9" s="6" t="inlineStr">
        <is>
          <t>Markdown rate from slide</t>
        </is>
      </c>
      <c r="C9" s="12" t="n">
        <v>0.2</v>
      </c>
      <c r="D9" s="6" t="n"/>
      <c r="E9" s="6" t="inlineStr">
        <is>
          <t>Enter 20% as a percent.</t>
        </is>
      </c>
      <c r="F9" s="6" t="n"/>
    </row>
    <row r="10" ht="36" customHeight="1">
      <c r="A10" s="6" t="inlineStr">
        <is>
          <t>Markdown</t>
        </is>
      </c>
      <c r="B10" s="6" t="inlineStr">
        <is>
          <t>Sale price</t>
        </is>
      </c>
      <c r="C10" s="13" t="n"/>
      <c r="D10" s="6" t="n"/>
      <c r="E10" s="6" t="inlineStr">
        <is>
          <t>Original Price x (1 - Markdown Rate)</t>
        </is>
      </c>
      <c r="F10" s="6">
        <f>IF(ABS(D10-41.6)&lt;0.01,"Correct: the markdown price is $41.60.","Check the base: markdown starts from original price, not cost.")</f>
        <v/>
      </c>
    </row>
    <row r="11" ht="36" customHeight="1">
      <c r="A11" s="6" t="inlineStr">
        <is>
          <t>Break-even</t>
        </is>
      </c>
      <c r="B11" s="6" t="inlineStr">
        <is>
          <t>Fixed costs from slide</t>
        </is>
      </c>
      <c r="C11" s="6" t="n">
        <v>3600</v>
      </c>
      <c r="D11" s="14" t="n"/>
      <c r="E11" s="6" t="inlineStr">
        <is>
          <t>Fixed costs stay the same across guests.</t>
        </is>
      </c>
      <c r="F11" s="15" t="n"/>
    </row>
    <row r="12" ht="36" customHeight="1">
      <c r="A12" s="6" t="inlineStr">
        <is>
          <t>Break-even</t>
        </is>
      </c>
      <c r="B12" s="6" t="inlineStr">
        <is>
          <t>Selling price from slide</t>
        </is>
      </c>
      <c r="C12" s="6" t="n">
        <v>48</v>
      </c>
      <c r="D12" s="6" t="n"/>
      <c r="E12" s="6" t="inlineStr">
        <is>
          <t>Ticket price per guest.</t>
        </is>
      </c>
      <c r="F12" s="6" t="n"/>
    </row>
    <row r="13" ht="36" customHeight="1">
      <c r="A13" s="6" t="inlineStr">
        <is>
          <t>Break-even</t>
        </is>
      </c>
      <c r="B13" s="6" t="inlineStr">
        <is>
          <t>Variable cost from slide</t>
        </is>
      </c>
      <c r="C13" s="16" t="n">
        <v>27</v>
      </c>
      <c r="D13" s="6" t="n"/>
      <c r="E13" s="6" t="inlineStr">
        <is>
          <t>Cost that moves with each guest.</t>
        </is>
      </c>
      <c r="F13" s="6" t="n"/>
    </row>
    <row r="14" ht="36" customHeight="1">
      <c r="A14" s="6" t="inlineStr">
        <is>
          <t>Break-even</t>
        </is>
      </c>
      <c r="B14" s="6" t="inlineStr">
        <is>
          <t>Contribution margin</t>
        </is>
      </c>
      <c r="C14" s="16" t="n"/>
      <c r="D14" s="6" t="n"/>
      <c r="E14" s="6" t="inlineStr">
        <is>
          <t>Selling price - variable cost</t>
        </is>
      </c>
      <c r="F14" s="6">
        <f>IF(ABS(D14-21)&lt;0.01,"Correct: each guest contributes $21 before fixed costs.","Calculate contribution margin before break-even.")</f>
        <v/>
      </c>
    </row>
    <row r="15" ht="36" customHeight="1">
      <c r="A15" s="6" t="inlineStr">
        <is>
          <t>Break-even</t>
        </is>
      </c>
      <c r="B15" s="6" t="inlineStr">
        <is>
          <t>Break-even guests</t>
        </is>
      </c>
      <c r="C15" s="16" t="n"/>
      <c r="D15" s="6" t="n"/>
      <c r="E15" s="6" t="inlineStr">
        <is>
          <t>Fixed costs ÷ contribution margin; round up.</t>
        </is>
      </c>
      <c r="F15" s="6">
        <f>IF(D15=172,"Correct: Anchor &amp; Oak needs 172 guests to break even.","Round up because the event cannot sell part of a guest.")</f>
        <v/>
      </c>
    </row>
    <row r="16">
      <c r="D16" s="17" t="n"/>
      <c r="F16" s="18" t="n"/>
    </row>
    <row r="17">
      <c r="D17" s="19" t="n"/>
      <c r="F17" s="18" t="n"/>
    </row>
  </sheetData>
  <mergeCells count="3">
    <mergeCell ref="A3:F3"/>
    <mergeCell ref="A2:F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30" customWidth="1" min="3" max="3"/>
    <col width="18" customWidth="1" min="4" max="4"/>
    <col width="38" customWidth="1" min="5" max="5"/>
    <col width="30" customWidth="1" min="6" max="6"/>
  </cols>
  <sheetData>
    <row r="1" ht="30" customHeight="1">
      <c r="A1" s="45" t="inlineStr">
        <is>
          <t>Class Challenge</t>
        </is>
      </c>
      <c r="B1" s="46" t="n"/>
      <c r="C1" s="46" t="n"/>
      <c r="D1" s="46" t="n"/>
      <c r="E1" s="46" t="n"/>
      <c r="F1" s="46" t="n"/>
    </row>
    <row r="2" ht="24" customHeight="1">
      <c r="A2" s="47" t="inlineStr">
        <is>
          <t>Next-level pricing scenarios for Anchor &amp; Oak Events</t>
        </is>
      </c>
      <c r="B2" s="46" t="n"/>
      <c r="C2" s="46" t="n"/>
      <c r="D2" s="46" t="n"/>
      <c r="E2" s="46" t="n"/>
      <c r="F2" s="46" t="n"/>
    </row>
    <row r="3" ht="42" customHeight="1">
      <c r="A3" s="48" t="inlineStr">
        <is>
          <t>These formulas combine ideas from the lesson. Use the Live You Try It tab as a model, then explain the business meaning in your own words.</t>
        </is>
      </c>
      <c r="B3" s="46" t="n"/>
      <c r="C3" s="46" t="n"/>
      <c r="D3" s="46" t="n"/>
      <c r="E3" s="46" t="n"/>
      <c r="F3" s="46" t="n"/>
    </row>
    <row r="4" ht="30" customHeight="1">
      <c r="A4" s="5" t="inlineStr">
        <is>
          <t>Scenario</t>
        </is>
      </c>
      <c r="B4" s="5" t="inlineStr">
        <is>
          <t>Given facts</t>
        </is>
      </c>
      <c r="C4" s="5" t="inlineStr">
        <is>
          <t>Formula to build</t>
        </is>
      </c>
      <c r="D4" s="5" t="inlineStr">
        <is>
          <t>Your answer</t>
        </is>
      </c>
      <c r="E4" s="5" t="inlineStr">
        <is>
          <t>Explain the business meaning</t>
        </is>
      </c>
      <c r="F4" s="5" t="inlineStr">
        <is>
          <t>Instructor check</t>
        </is>
      </c>
    </row>
    <row r="5" ht="48" customHeight="1">
      <c r="A5" s="6" t="inlineStr">
        <is>
          <t>Waste-adjusted package price</t>
        </is>
      </c>
      <c r="B5" s="6" t="inlineStr">
        <is>
          <t>Use $18 cost, 45% markup, 120 produced packages, and 15% expected waste.</t>
        </is>
      </c>
      <c r="C5" s="6" t="inlineStr">
        <is>
          <t>Required price per sellable package</t>
        </is>
      </c>
      <c r="D5" s="14" t="n"/>
      <c r="E5" s="6" t="inlineStr">
        <is>
          <t>Why is this price higher than $26.10?</t>
        </is>
      </c>
      <c r="F5" s="15">
        <f>IF(ISFORMULA(D5),"Formula present","Build this as an Excel formula")</f>
        <v/>
      </c>
    </row>
    <row r="6" ht="48" customHeight="1">
      <c r="A6" s="6" t="inlineStr">
        <is>
          <t>Discounted break-even</t>
        </is>
      </c>
      <c r="B6" s="6" t="inlineStr">
        <is>
          <t>Use the $52 original price, 20% markdown, $3,600 fixed cost, and $27 variable cost.</t>
        </is>
      </c>
      <c r="C6" s="6" t="inlineStr">
        <is>
          <t>Guests needed after the markdown</t>
        </is>
      </c>
      <c r="D6" s="20" t="n"/>
      <c r="E6" s="6" t="inlineStr">
        <is>
          <t>What risk does the discount create?</t>
        </is>
      </c>
      <c r="F6" s="15">
        <f>IF(ISFORMULA(D6),"Formula present","Build this as an Excel formula")</f>
        <v/>
      </c>
    </row>
    <row r="7" ht="48" customHeight="1">
      <c r="A7" s="6" t="inlineStr">
        <is>
          <t>Profit target at regular price</t>
        </is>
      </c>
      <c r="B7" s="6" t="inlineStr">
        <is>
          <t>Use $3,600 fixed cost, $48 ticket price, $27 variable cost, and a $1,500 profit target.</t>
        </is>
      </c>
      <c r="C7" s="6" t="inlineStr">
        <is>
          <t>Guests needed for target profit</t>
        </is>
      </c>
      <c r="D7" s="20" t="n"/>
      <c r="E7" s="6" t="inlineStr">
        <is>
          <t>How is this different from break-even?</t>
        </is>
      </c>
      <c r="F7" s="15">
        <f>IF(ISFORMULA(D7),"Formula present","Build this as an Excel formula")</f>
        <v/>
      </c>
    </row>
    <row r="8" ht="48" customHeight="1">
      <c r="A8" s="6" t="inlineStr">
        <is>
          <t>Profit target after markdown</t>
        </is>
      </c>
      <c r="B8" s="6" t="inlineStr">
        <is>
          <t>Use the $41.60 markdown price, $3,600 fixed cost, $27 variable cost, and a $1,500 profit target.</t>
        </is>
      </c>
      <c r="C8" s="6" t="inlineStr">
        <is>
          <t>Guests needed after discount</t>
        </is>
      </c>
      <c r="D8" s="20" t="n"/>
      <c r="E8" s="6" t="inlineStr">
        <is>
          <t>Would you recommend the discount? Why?</t>
        </is>
      </c>
      <c r="F8" s="15">
        <f>IF(ISFORMULA(D8),"Formula present","Build this as an Excel formula")</f>
        <v/>
      </c>
    </row>
    <row r="9" ht="48" customHeight="1">
      <c r="A9" s="6" t="inlineStr">
        <is>
          <t>Regular contribution margin</t>
        </is>
      </c>
      <c r="B9" s="6" t="inlineStr">
        <is>
          <t>Ticket price is $48 and variable cost is $27 per guest.</t>
        </is>
      </c>
      <c r="C9" s="6" t="inlineStr">
        <is>
          <t>Contribution margin per guest</t>
        </is>
      </c>
      <c r="D9" s="14" t="n"/>
      <c r="E9" s="6" t="inlineStr">
        <is>
          <t>What does this number help pay for?</t>
        </is>
      </c>
      <c r="F9" s="15">
        <f>IF(ISFORMULA(D9),"Formula present","Build this as an Excel formula")</f>
        <v/>
      </c>
    </row>
    <row r="10" ht="48" customHeight="1">
      <c r="A10" s="6" t="inlineStr">
        <is>
          <t>Markdown contribution margin</t>
        </is>
      </c>
      <c r="B10" s="6" t="inlineStr">
        <is>
          <t>Original price is $52, markdown is 20%, and variable cost is $27 per guest.</t>
        </is>
      </c>
      <c r="C10" s="6" t="inlineStr">
        <is>
          <t>Contribution margin after markdown</t>
        </is>
      </c>
      <c r="D10" s="14" t="n"/>
      <c r="E10" s="6" t="inlineStr">
        <is>
          <t>Why is this lower than the regular contribution margin?</t>
        </is>
      </c>
      <c r="F10" s="15">
        <f>IF(ISFORMULA(D10),"Formula present","Build this as an Excel formula")</f>
        <v/>
      </c>
    </row>
    <row r="11" ht="48" customHeight="1">
      <c r="A11" s="6" t="inlineStr">
        <is>
          <t>Guest cushion above break-even</t>
        </is>
      </c>
      <c r="B11" s="6" t="inlineStr">
        <is>
          <t>Use 200 expected guests, $3,600 fixed cost, $48 ticket price, and $27 variable cost.</t>
        </is>
      </c>
      <c r="C11" s="6" t="inlineStr">
        <is>
          <t>Guests above break-even</t>
        </is>
      </c>
      <c r="D11" s="20" t="n"/>
      <c r="E11" s="6" t="inlineStr">
        <is>
          <t>What does the cushion tell Anchor &amp; Oak?</t>
        </is>
      </c>
      <c r="F11" s="15">
        <f>IF(ISFORMULA(D11),"Formula present","Build this as an Excel formula")</f>
        <v/>
      </c>
    </row>
    <row r="12" ht="48" customHeight="1">
      <c r="A12" s="6" t="inlineStr">
        <is>
          <t>Regular-price profit at 200 guests</t>
        </is>
      </c>
      <c r="B12" s="6" t="inlineStr">
        <is>
          <t>Use 200 guests, $48 ticket price, $27 variable cost, and $3,600 fixed cost.</t>
        </is>
      </c>
      <c r="C12" s="6" t="inlineStr">
        <is>
          <t>Projected profit</t>
        </is>
      </c>
      <c r="D12" s="14" t="n"/>
      <c r="E12" s="6" t="inlineStr">
        <is>
          <t>Is the event past break-even?</t>
        </is>
      </c>
      <c r="F12" s="15">
        <f>IF(ISFORMULA(D12),"Formula present","Build this as an Excel formula")</f>
        <v/>
      </c>
    </row>
    <row r="13" ht="48" customHeight="1">
      <c r="A13" s="6" t="inlineStr">
        <is>
          <t>Markdown profit at 200 guests</t>
        </is>
      </c>
      <c r="B13" s="6" t="inlineStr">
        <is>
          <t>Use 200 guests, $52 original price, 20% markdown, $27 variable cost, and $3,600 fixed cost.</t>
        </is>
      </c>
      <c r="C13" s="6" t="inlineStr">
        <is>
          <t>Projected profit after discount</t>
        </is>
      </c>
      <c r="D13" s="14" t="n"/>
      <c r="E13" s="6" t="inlineStr">
        <is>
          <t>Does the markdown still cover fixed cost?</t>
        </is>
      </c>
      <c r="F13" s="15">
        <f>IF(ISFORMULA(D13),"Formula present","Build this as an Excel formula")</f>
        <v/>
      </c>
    </row>
    <row r="14" ht="48" customHeight="1">
      <c r="A14" s="6" t="inlineStr">
        <is>
          <t>Minimum ticket for 150 guests</t>
        </is>
      </c>
      <c r="B14" s="6" t="inlineStr">
        <is>
          <t>Use 150 expected guests, $3,600 fixed cost, and $27 variable cost per guest.</t>
        </is>
      </c>
      <c r="C14" s="6" t="inlineStr">
        <is>
          <t>Minimum break-even ticket price</t>
        </is>
      </c>
      <c r="D14" s="14" t="n"/>
      <c r="E14" s="6" t="inlineStr">
        <is>
          <t>Why does lower attendance require a higher ticket?</t>
        </is>
      </c>
      <c r="F14" s="15">
        <f>IF(ISFORMULA(D14),"Formula present","Build this as an Excel formula")</f>
        <v/>
      </c>
    </row>
    <row r="15" ht="48" customHeight="1">
      <c r="A15" s="6" t="inlineStr">
        <is>
          <t>Minimum ticket for target profit</t>
        </is>
      </c>
      <c r="B15" s="6" t="inlineStr">
        <is>
          <t>Use 150 guests, $3,600 fixed cost, $27 variable cost, and $1,500 target profit.</t>
        </is>
      </c>
      <c r="C15" s="6" t="inlineStr">
        <is>
          <t>Ticket price needed for target profit</t>
        </is>
      </c>
      <c r="D15" s="14" t="n"/>
      <c r="E15" s="6" t="inlineStr">
        <is>
          <t>Why is this higher than break-even price?</t>
        </is>
      </c>
      <c r="F15" s="15">
        <f>IF(ISFORMULA(D15),"Formula present","Build this as an Excel formula")</f>
        <v/>
      </c>
    </row>
    <row r="16" ht="48" customHeight="1">
      <c r="A16" s="6" t="inlineStr">
        <is>
          <t>Markup rate needed for $30 price</t>
        </is>
      </c>
      <c r="B16" s="6" t="inlineStr">
        <is>
          <t>A package costs $18 and Anchor &amp; Oak wants to charge $30.</t>
        </is>
      </c>
      <c r="C16" s="6" t="inlineStr">
        <is>
          <t>Markup rate on cost</t>
        </is>
      </c>
      <c r="D16" s="23" t="n"/>
      <c r="E16" s="6" t="inlineStr">
        <is>
          <t>How does this compare with the 45% slide markup?</t>
        </is>
      </c>
      <c r="F16" s="15">
        <f>IF(ISFORMULA(D16),"Formula present","Build this as an Excel formula")</f>
        <v/>
      </c>
    </row>
    <row r="17" ht="48" customHeight="1">
      <c r="A17" s="6" t="inlineStr">
        <is>
          <t>Markdown dollar amount</t>
        </is>
      </c>
      <c r="B17" s="6" t="inlineStr">
        <is>
          <t>Original price is $52 and sale price after markdown is $41.60.</t>
        </is>
      </c>
      <c r="C17" s="6" t="inlineStr">
        <is>
          <t>Dollar markdown</t>
        </is>
      </c>
      <c r="D17" s="14" t="n"/>
      <c r="E17" s="6" t="inlineStr">
        <is>
          <t>Why should students name the original-price base?</t>
        </is>
      </c>
      <c r="F17" s="15">
        <f>IF(ISFORMULA(D17),"Formula present","Build this as an Excel formula")</f>
        <v/>
      </c>
    </row>
    <row r="18" ht="48" customHeight="1">
      <c r="A18" s="6" t="inlineStr">
        <is>
          <t>Revenue at break-even</t>
        </is>
      </c>
      <c r="B18" s="6" t="inlineStr">
        <is>
          <t>Use $3,600 fixed cost, $48 ticket price, and $27 variable cost.</t>
        </is>
      </c>
      <c r="C18" s="6" t="inlineStr">
        <is>
          <t>Break-even revenue</t>
        </is>
      </c>
      <c r="D18" s="14" t="n"/>
      <c r="E18" s="6" t="inlineStr">
        <is>
          <t>Why is revenue different from profit?</t>
        </is>
      </c>
      <c r="F18" s="15">
        <f>IF(ISFORMULA(D18),"Formula present","Build this as an Excel formula")</f>
        <v/>
      </c>
    </row>
    <row r="19" ht="48" customHeight="1">
      <c r="A19" s="6" t="inlineStr">
        <is>
          <t>Extra guests for target profit</t>
        </is>
      </c>
      <c r="B19" s="6" t="inlineStr">
        <is>
          <t>Use $3,600 fixed cost, $48 ticket price, $27 variable cost, and $1,500 target profit.</t>
        </is>
      </c>
      <c r="C19" s="6" t="inlineStr">
        <is>
          <t>Additional guests beyond break-even</t>
        </is>
      </c>
      <c r="D19" s="20" t="n"/>
      <c r="E19" s="6" t="inlineStr">
        <is>
          <t>What does this say about the target profit?</t>
        </is>
      </c>
      <c r="F19" s="15">
        <f>IF(ISFORMULA(D19),"Formula present","Build this as an Excel formula")</f>
        <v/>
      </c>
    </row>
  </sheetData>
  <mergeCells count="3">
    <mergeCell ref="A3:F3"/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  <col width="34" customWidth="1" min="5" max="5"/>
    <col width="34" customWidth="1" min="6" max="6"/>
  </cols>
  <sheetData>
    <row r="1" ht="31.5" customHeight="1">
      <c r="A1" s="37" t="inlineStr">
        <is>
          <t>Concept</t>
        </is>
      </c>
      <c r="B1" s="37" t="inlineStr">
        <is>
          <t>Excel Pattern</t>
        </is>
      </c>
      <c r="C1" s="37" t="inlineStr">
        <is>
          <t>Plain-English Meaning</t>
        </is>
      </c>
      <c r="D1" s="37" t="inlineStr">
        <is>
          <t>Watch Out For</t>
        </is>
      </c>
    </row>
    <row r="2" ht="31.5" customHeight="1">
      <c r="A2" s="41" t="inlineStr">
        <is>
          <t>Markup on cost</t>
        </is>
      </c>
      <c r="B2" s="43" t="inlineStr">
        <is>
          <t>=Cost*(1+MarkupRate)</t>
        </is>
      </c>
      <c r="C2" s="41" t="inlineStr">
        <is>
          <t>Cost plus a percentage of cost.</t>
        </is>
      </c>
      <c r="D2" s="44" t="inlineStr">
        <is>
          <t>The base is cost, not selling price.</t>
        </is>
      </c>
    </row>
    <row r="3" ht="31.5" customHeight="1">
      <c r="A3" s="41" t="inlineStr">
        <is>
          <t>Markdown</t>
        </is>
      </c>
      <c r="B3" s="43" t="inlineStr">
        <is>
          <t>=OriginalPrice*(1-MarkdownRate)</t>
        </is>
      </c>
      <c r="C3" s="41" t="inlineStr">
        <is>
          <t>Price after a reduction.</t>
        </is>
      </c>
      <c r="D3" s="44" t="inlineStr">
        <is>
          <t>Subtract the markdown rate from 1 first.</t>
        </is>
      </c>
    </row>
    <row r="4" ht="31.5" customHeight="1">
      <c r="A4" s="41" t="inlineStr">
        <is>
          <t>Contribution margin</t>
        </is>
      </c>
      <c r="B4" s="43" t="inlineStr">
        <is>
          <t>=SellingPrice-VariableCost</t>
        </is>
      </c>
      <c r="C4" s="41" t="inlineStr">
        <is>
          <t>Amount each unit contributes before fixed costs.</t>
        </is>
      </c>
      <c r="D4" s="44" t="inlineStr">
        <is>
          <t>Use per-unit values.</t>
        </is>
      </c>
    </row>
    <row r="5" ht="31.5" customHeight="1">
      <c r="A5" s="41" t="inlineStr">
        <is>
          <t>Break-even units</t>
        </is>
      </c>
      <c r="B5" s="43" t="inlineStr">
        <is>
          <t>=ROUNDUP(FixedCosts/ContributionMargin,0)</t>
        </is>
      </c>
      <c r="C5" s="41" t="inlineStr">
        <is>
          <t>Whole units needed to cover fixed costs.</t>
        </is>
      </c>
      <c r="D5" s="44" t="inlineStr">
        <is>
          <t>Round up because partial units do not cover costs.</t>
        </is>
      </c>
    </row>
    <row r="6" ht="31.5" customHeight="1">
      <c r="A6" s="41" t="inlineStr">
        <is>
          <t>Target-profit units</t>
        </is>
      </c>
      <c r="B6" s="43" t="inlineStr">
        <is>
          <t>=ROUNDUP((FixedCosts+TargetProfit)/ContributionMargin,0)</t>
        </is>
      </c>
      <c r="C6" s="41" t="inlineStr">
        <is>
          <t>Whole units needed to cover fixed costs and target profit.</t>
        </is>
      </c>
      <c r="D6" s="44" t="inlineStr">
        <is>
          <t>Add target profit before dividing.</t>
        </is>
      </c>
    </row>
    <row r="7" ht="36" customHeight="1"/>
    <row r="8" ht="36" customHeight="1"/>
    <row r="9" ht="36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