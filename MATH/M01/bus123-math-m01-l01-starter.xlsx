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Whole Numbers Practice" sheetId="2" state="visible" r:id="rId2"/>
    <sheet xmlns:r="http://schemas.openxmlformats.org/officeDocument/2006/relationships" name="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000"/>
    <numFmt numFmtId="166" formatCode="&quot;$&quot;#,##0.00"/>
  </numFmts>
  <fonts count="17">
    <font>
      <name val="Calibri"/>
      <family val="2"/>
      <color theme="1"/>
      <sz val="11"/>
      <scheme val="minor"/>
    </font>
    <font>
      <name val="Calibri"/>
      <b val="1"/>
      <color rgb="00F5E6C8"/>
      <sz val="14"/>
    </font>
    <font>
      <name val="Calibri"/>
      <b val="1"/>
      <color rgb="00FFFFFF"/>
      <sz val="11"/>
    </font>
    <font>
      <name val="Calibri"/>
      <b val="1"/>
      <color rgb="001A1F2C"/>
      <sz val="12"/>
    </font>
    <font>
      <name val="Calibri"/>
      <color rgb="001A1F2C"/>
      <sz val="11"/>
    </font>
    <font>
      <name val="Calibri"/>
      <color rgb="004A5567"/>
      <sz val="11"/>
    </font>
    <font>
      <name val="Calibri"/>
      <b val="1"/>
      <color rgb="00F5E6C8"/>
      <sz val="13"/>
    </font>
    <font>
      <name val="Calibri"/>
      <b val="1"/>
      <color rgb="00FFFFFF"/>
      <sz val="10"/>
    </font>
    <font>
      <name val="Calibri"/>
      <color rgb="001A1F2C"/>
      <sz val="10"/>
    </font>
    <font>
      <name val="Calibri"/>
      <b val="1"/>
      <color rgb="001A1F2C"/>
      <sz val="11"/>
    </font>
    <font>
      <name val="Calibri"/>
      <color rgb="007A8290"/>
      <sz val="9"/>
    </font>
    <font>
      <name val="Calibri"/>
      <i val="1"/>
      <color rgb="002E5C3E"/>
      <sz val="9"/>
    </font>
    <font>
      <name val="Calibri"/>
      <i val="1"/>
      <color rgb="004A5567"/>
      <sz val="10"/>
    </font>
    <font>
      <name val="Calibri"/>
      <b val="1"/>
      <color rgb="001A1F2C"/>
      <sz val="10"/>
    </font>
    <font>
      <name val="Courier New"/>
      <color rgb="001a6b3c"/>
      <sz val="10"/>
    </font>
    <font>
      <name val="Calibri"/>
      <color rgb="004A5567"/>
      <sz val="10"/>
    </font>
    <font>
      <name val="Calibri"/>
      <i val="1"/>
      <color rgb="002E5C3E"/>
      <sz val="10"/>
    </font>
  </fonts>
  <fills count="11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4A7C5E"/>
      </patternFill>
    </fill>
    <fill>
      <patternFill patternType="solid">
        <fgColor rgb="001A1A2E"/>
      </patternFill>
    </fill>
    <fill>
      <patternFill patternType="solid">
        <fgColor rgb="00FAF8F3"/>
      </patternFill>
    </fill>
    <fill>
      <patternFill patternType="solid">
        <fgColor rgb="00FFFFFF"/>
      </patternFill>
    </fill>
    <fill>
      <patternFill patternType="solid">
        <fgColor rgb="00FFD966"/>
      </patternFill>
    </fill>
    <fill>
      <patternFill patternType="solid">
        <fgColor rgb="00B8843D"/>
      </patternFill>
    </fill>
    <fill>
      <patternFill patternType="solid">
        <fgColor rgb="002E5C3E"/>
      </patternFill>
    </fill>
    <fill>
      <patternFill patternType="solid">
        <fgColor rgb="009C4A2B"/>
      </patternFill>
    </fill>
  </fills>
  <borders count="4">
    <border>
      <left/>
      <right/>
      <top/>
      <bottom/>
      <diagonal/>
    </border>
    <border>
      <left style="thin">
        <color rgb="00333355"/>
      </left>
      <right style="thin">
        <color rgb="00333355"/>
      </right>
      <top style="thin">
        <color rgb="00333355"/>
      </top>
      <bottom style="thin">
        <color rgb="00333355"/>
      </bottom>
    </border>
    <border>
      <left style="thin">
        <color rgb="00E5E1D6"/>
      </left>
      <right style="thin">
        <color rgb="00E5E1D6"/>
      </right>
      <top style="thin">
        <color rgb="00E5E1D6"/>
      </top>
      <bottom style="thin">
        <color rgb="00E5E1D6"/>
      </bottom>
    </border>
    <border>
      <left style="medium">
        <color rgb="00F0C040"/>
      </left>
      <right style="medium">
        <color rgb="00F0C040"/>
      </right>
      <top style="medium">
        <color rgb="00F0C040"/>
      </top>
      <bottom style="medium">
        <color rgb="00F0C04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 indent="1"/>
    </xf>
    <xf numFmtId="0" fontId="9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10" fillId="5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1"/>
    </xf>
    <xf numFmtId="0" fontId="9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10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center" vertical="center"/>
    </xf>
    <xf numFmtId="0" fontId="4" fillId="7" borderId="3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5" fontId="4" fillId="7" borderId="3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10" fontId="9" fillId="5" borderId="2" applyAlignment="1" pivotButton="0" quotePrefix="0" xfId="0">
      <alignment horizontal="center" vertical="center"/>
    </xf>
    <xf numFmtId="166" fontId="4" fillId="7" borderId="3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0" fontId="4" fillId="7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2" fillId="8" borderId="0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 indent="1"/>
    </xf>
    <xf numFmtId="0" fontId="14" fillId="5" borderId="2" applyAlignment="1" pivotButton="0" quotePrefix="0" xfId="0">
      <alignment horizontal="left" vertical="center" indent="1"/>
    </xf>
    <xf numFmtId="0" fontId="15" fillId="5" borderId="2" applyAlignment="1" pivotButton="0" quotePrefix="0" xfId="0">
      <alignment horizontal="left" vertical="center" indent="1"/>
    </xf>
    <xf numFmtId="0" fontId="0" fillId="5" borderId="2" applyAlignment="1" pivotButton="0" quotePrefix="0" xfId="0">
      <alignment horizontal="left" vertical="center" indent="1"/>
    </xf>
    <xf numFmtId="0" fontId="13" fillId="6" borderId="2" applyAlignment="1" pivotButton="0" quotePrefix="0" xfId="0">
      <alignment horizontal="left" vertical="center" indent="1"/>
    </xf>
    <xf numFmtId="0" fontId="14" fillId="6" borderId="2" applyAlignment="1" pivotButton="0" quotePrefix="0" xfId="0">
      <alignment horizontal="left" vertical="center" indent="1"/>
    </xf>
    <xf numFmtId="0" fontId="15" fillId="6" borderId="2" applyAlignment="1" pivotButton="0" quotePrefix="0" xfId="0">
      <alignment horizontal="left" vertical="center" indent="1"/>
    </xf>
    <xf numFmtId="0" fontId="0" fillId="6" borderId="2" applyAlignment="1" pivotButton="0" quotePrefix="0" xfId="0">
      <alignment horizontal="left" vertical="center" indent="1"/>
    </xf>
    <xf numFmtId="0" fontId="2" fillId="9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A7C5E"/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56" customHeight="1">
      <c r="A1" s="1" t="inlineStr">
        <is>
          <t>BUS 123  ·  MATH-M01  ·  Basic Math: Whole Numbers, Fractions &amp; Percents</t>
        </is>
      </c>
    </row>
    <row r="2" ht="10" customHeight="1"/>
    <row r="3" ht="30" customHeight="1">
      <c r="A3" s="2" t="inlineStr">
        <is>
          <t>Meridian Advisory Group  —  Student Workbook</t>
        </is>
      </c>
    </row>
    <row r="4" ht="14" customHeight="1"/>
    <row r="5" ht="22" customHeight="1">
      <c r="A5" s="3" t="inlineStr">
        <is>
          <t>How to Use This Workbook</t>
        </is>
      </c>
    </row>
    <row r="6" ht="8" customHeight="1">
      <c r="A6" s="4" t="inlineStr"/>
    </row>
    <row r="7" ht="22" customHeight="1">
      <c r="A7" s="5" t="inlineStr">
        <is>
          <t>1.  Yellow cells are YOUR input cells — type your answers there.</t>
        </is>
      </c>
    </row>
    <row r="8" ht="22" customHeight="1">
      <c r="A8" s="5" t="inlineStr">
        <is>
          <t>2.  Green/red feedback appears automatically when you enter a value.</t>
        </is>
      </c>
    </row>
    <row r="9" ht="22" customHeight="1">
      <c r="A9" s="5" t="inlineStr">
        <is>
          <t>3.  Use Excel formulas (starting with =) wherever possible — not just a number.</t>
        </is>
      </c>
    </row>
    <row r="10" ht="22" customHeight="1">
      <c r="A10" s="5" t="inlineStr">
        <is>
          <t>4.  The FormulaReferenceCard tab has quick reminders for syntax.</t>
        </is>
      </c>
    </row>
    <row r="11" ht="22" customHeight="1">
      <c r="A11" s="5" t="inlineStr">
        <is>
          <t>5.  Do not type in gray cells — they are locked reference data.</t>
        </is>
      </c>
    </row>
    <row r="12" ht="8" customHeight="1">
      <c r="A12" s="4" t="inlineStr"/>
    </row>
    <row r="13" ht="22" customHeight="1">
      <c r="A13" s="3" t="inlineStr">
        <is>
          <t>Learning Objectives (I Can…)</t>
        </is>
      </c>
    </row>
    <row r="14" ht="8" customHeight="1">
      <c r="A14" s="4" t="inlineStr"/>
    </row>
    <row r="15" ht="22" customHeight="1">
      <c r="A15" s="5" t="inlineStr">
        <is>
          <t>✓  Apply the four arithmetic operations to business revenue and staffing problems.</t>
        </is>
      </c>
    </row>
    <row r="16" ht="22" customHeight="1">
      <c r="A16" s="5" t="inlineStr">
        <is>
          <t>✓  Convert fractions to decimals and express part-to-whole ratios in Excel.</t>
        </is>
      </c>
    </row>
    <row r="17" ht="22" customHeight="1">
      <c r="A17" s="5" t="inlineStr">
        <is>
          <t>✓  Calculate percent of a whole, percent change, and ratio-as-percent.</t>
        </is>
      </c>
    </row>
    <row r="18" ht="22" customHeight="1">
      <c r="A18" s="5" t="inlineStr">
        <is>
          <t>✓  Identify and avoid unit-mismatch errors in formulas.</t>
        </is>
      </c>
    </row>
    <row r="19" ht="22" customHeight="1">
      <c r="A19" s="5" t="inlineStr">
        <is>
          <t>✓  Enter all calculations in Excel using cell references — never hardcoded values.</t>
        </is>
      </c>
    </row>
    <row r="20" ht="8" customHeight="1">
      <c r="A20" s="4" t="inlineStr"/>
    </row>
    <row r="21" ht="22" customHeight="1">
      <c r="A21" s="3" t="inlineStr">
        <is>
          <t>Tabs in This Workbook</t>
        </is>
      </c>
    </row>
    <row r="22" ht="8" customHeight="1">
      <c r="A22" s="4" t="inlineStr"/>
    </row>
    <row r="23" ht="22" customHeight="1">
      <c r="A23" s="5" t="inlineStr">
        <is>
          <t xml:space="preserve">   Whole Numbers Practice  — arithmetic operations on Meridian's accounts &amp; fees</t>
        </is>
      </c>
    </row>
    <row r="24" ht="22" customHeight="1">
      <c r="A24" s="5" t="inlineStr">
        <is>
          <t xml:space="preserve">   Challenge               — harder multi-step problems (optional stretch)</t>
        </is>
      </c>
    </row>
    <row r="25" ht="22" customHeight="1">
      <c r="A25" s="5" t="inlineStr">
        <is>
          <t xml:space="preserve">   FormulaReferenceCard    — formula quick reference you can consult any time</t>
        </is>
      </c>
    </row>
  </sheetData>
  <mergeCells count="23">
    <mergeCell ref="A16:F16"/>
    <mergeCell ref="A12:F12"/>
    <mergeCell ref="A18:F18"/>
    <mergeCell ref="A3:F3"/>
    <mergeCell ref="A21:F21"/>
    <mergeCell ref="A14:F14"/>
    <mergeCell ref="A5:F5"/>
    <mergeCell ref="A23:F23"/>
    <mergeCell ref="A8:F8"/>
    <mergeCell ref="A22:F22"/>
    <mergeCell ref="A17:F17"/>
    <mergeCell ref="A20:F20"/>
    <mergeCell ref="A10:F10"/>
    <mergeCell ref="A13:F13"/>
    <mergeCell ref="A19:F19"/>
    <mergeCell ref="A9:F9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C3E"/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22" customWidth="1" min="4" max="4"/>
    <col width="26" customWidth="1" min="5" max="5"/>
    <col width="12" customWidth="1" min="6" max="6"/>
  </cols>
  <sheetData>
    <row r="1" ht="50" customHeight="1">
      <c r="A1" s="6" t="inlineStr">
        <is>
          <t>Whole Numbers Practice  —  Meridian Advisory Group</t>
        </is>
      </c>
    </row>
    <row r="2" ht="8" customHeight="1"/>
    <row r="3" ht="28" customHeight="1">
      <c r="A3" s="2" t="inlineStr">
        <is>
          <t>SECTION A  —  Basic Operations</t>
        </is>
      </c>
    </row>
    <row r="4" ht="8" customHeight="1"/>
    <row r="5" ht="26" customHeight="1">
      <c r="A5" s="7" t="inlineStr">
        <is>
          <t>Description</t>
        </is>
      </c>
      <c r="B5" s="7" t="inlineStr">
        <is>
          <t>Value A</t>
        </is>
      </c>
      <c r="C5" s="7" t="inlineStr">
        <is>
          <t>Value B</t>
        </is>
      </c>
      <c r="D5" s="7" t="inlineStr">
        <is>
          <t>Your Answer</t>
        </is>
      </c>
      <c r="E5" s="7" t="inlineStr">
        <is>
          <t>Excel Formula Used</t>
        </is>
      </c>
    </row>
    <row r="6" ht="24" customHeight="1">
      <c r="A6" s="8" t="inlineStr">
        <is>
          <t>A1  Meridian opens Q3 with X accounts</t>
        </is>
      </c>
      <c r="B6" s="9" t="n">
        <v>48</v>
      </c>
      <c r="D6" s="10" t="n"/>
      <c r="E6" s="11" t="inlineStr">
        <is>
          <t>Opening accounts</t>
        </is>
      </c>
    </row>
    <row r="7" ht="24" customHeight="1">
      <c r="A7" s="12" t="inlineStr">
        <is>
          <t>A2  New clients added this quarter</t>
        </is>
      </c>
      <c r="B7" s="13" t="n">
        <v>12</v>
      </c>
      <c r="D7" s="14" t="n"/>
      <c r="E7" s="15" t="inlineStr">
        <is>
          <t>Added</t>
        </is>
      </c>
    </row>
    <row r="8" ht="24" customHeight="1">
      <c r="A8" s="8" t="inlineStr">
        <is>
          <t>A3  Clients lost this quarter</t>
        </is>
      </c>
      <c r="B8" s="9" t="n">
        <v>3</v>
      </c>
      <c r="D8" s="10" t="n"/>
      <c r="E8" s="11" t="inlineStr">
        <is>
          <t>Lost</t>
        </is>
      </c>
    </row>
    <row r="9" ht="24" customHeight="1">
      <c r="A9" s="12" t="inlineStr">
        <is>
          <t>A4  Quarter-end account total (A1 + A2 - A3)</t>
        </is>
      </c>
      <c r="B9" s="16" t="n"/>
      <c r="D9" s="17" t="n"/>
      <c r="E9" s="15" t="inlineStr">
        <is>
          <t>← your formula</t>
        </is>
      </c>
    </row>
    <row r="10" ht="24" customHeight="1">
      <c r="A10" s="8" t="inlineStr">
        <is>
          <t>A5  Management fee per account (quarterly)</t>
        </is>
      </c>
      <c r="B10" s="18" t="n">
        <v>4200</v>
      </c>
      <c r="D10" s="10" t="n"/>
      <c r="E10" s="11" t="inlineStr">
        <is>
          <t>Fee/account</t>
        </is>
      </c>
    </row>
    <row r="11" ht="24" customHeight="1">
      <c r="A11" s="12" t="inlineStr">
        <is>
          <t>A6  Total quarterly fee revenue (A4 × A5)</t>
        </is>
      </c>
      <c r="B11" s="16" t="n"/>
      <c r="D11" s="17" t="n"/>
      <c r="E11" s="15" t="inlineStr">
        <is>
          <t>← your formula</t>
        </is>
      </c>
    </row>
    <row r="12" ht="24" customHeight="1">
      <c r="A12" s="8" t="inlineStr">
        <is>
          <t>A7  Fee revenue target was</t>
        </is>
      </c>
      <c r="B12" s="18" t="n">
        <v>250000</v>
      </c>
      <c r="D12" s="10" t="n"/>
      <c r="E12" s="11" t="inlineStr">
        <is>
          <t>Target</t>
        </is>
      </c>
    </row>
    <row r="13" ht="24" customHeight="1">
      <c r="A13" s="12" t="inlineStr">
        <is>
          <t>A8  Shortfall / surplus (A6 - A7)</t>
        </is>
      </c>
      <c r="B13" s="16" t="n"/>
      <c r="D13" s="17" t="n"/>
      <c r="E13" s="15" t="inlineStr">
        <is>
          <t>← your formula</t>
        </is>
      </c>
    </row>
    <row r="14" ht="12" customHeight="1"/>
    <row r="15" ht="28" customHeight="1">
      <c r="A15" s="2" t="inlineStr">
        <is>
          <t>SECTION B  —  Fractions &amp; Ratios</t>
        </is>
      </c>
    </row>
    <row r="16" ht="8" customHeight="1"/>
    <row r="17" ht="26" customHeight="1">
      <c r="A17" s="7" t="inlineStr">
        <is>
          <t>Description</t>
        </is>
      </c>
      <c r="B17" s="7" t="inlineStr">
        <is>
          <t>Numerator</t>
        </is>
      </c>
      <c r="C17" s="7" t="inlineStr">
        <is>
          <t>Denominator</t>
        </is>
      </c>
      <c r="D17" s="7" t="inlineStr">
        <is>
          <t>Decimal / %</t>
        </is>
      </c>
      <c r="E17" s="7" t="inlineStr">
        <is>
          <t>Notes</t>
        </is>
      </c>
    </row>
    <row r="18" ht="24" customHeight="1">
      <c r="A18" s="8" t="inlineStr">
        <is>
          <t>B1  Tax advisors out of 6 total at start</t>
        </is>
      </c>
      <c r="B18" s="9" t="n">
        <v>2</v>
      </c>
      <c r="C18" s="9" t="n">
        <v>6</v>
      </c>
      <c r="D18" s="19" t="n"/>
      <c r="E18" s="11">
        <f>numerator/denominator</f>
        <v/>
      </c>
    </row>
    <row r="19" ht="24" customHeight="1">
      <c r="A19" s="12" t="inlineStr">
        <is>
          <t>B2  Estate advisors out of 6 total at start</t>
        </is>
      </c>
      <c r="B19" s="13" t="n">
        <v>2</v>
      </c>
      <c r="C19" s="13" t="n">
        <v>6</v>
      </c>
      <c r="D19" s="19" t="n"/>
      <c r="E19" s="15">
        <f>numerator/denominator</f>
        <v/>
      </c>
    </row>
    <row r="20" ht="24" customHeight="1">
      <c r="A20" s="8" t="inlineStr">
        <is>
          <t>B3  Investment advisors out of 6 total</t>
        </is>
      </c>
      <c r="B20" s="9" t="n">
        <v>2</v>
      </c>
      <c r="C20" s="9" t="n">
        <v>6</v>
      </c>
      <c r="D20" s="19" t="n"/>
      <c r="E20" s="11">
        <f>numerator/denominator</f>
        <v/>
      </c>
    </row>
    <row r="21" ht="24" customHeight="1">
      <c r="A21" s="12" t="inlineStr">
        <is>
          <t>B4  Tax advisors after hiring 3 more (5 of 9)</t>
        </is>
      </c>
      <c r="B21" s="13" t="n">
        <v>5</v>
      </c>
      <c r="C21" s="13" t="n">
        <v>9</v>
      </c>
      <c r="D21" s="19" t="n"/>
      <c r="E21" s="15">
        <f>numerator/denominator</f>
        <v/>
      </c>
    </row>
    <row r="22" ht="24" customHeight="1">
      <c r="A22" s="8" t="inlineStr">
        <is>
          <t>B5  What decimal does B4 equal?</t>
        </is>
      </c>
      <c r="B22" s="20" t="n"/>
      <c r="C22" s="20" t="n"/>
      <c r="D22" s="19" t="n"/>
      <c r="E22" s="11">
        <f>B21/C21</f>
        <v/>
      </c>
    </row>
    <row r="23" ht="12" customHeight="1"/>
    <row r="24" ht="28" customHeight="1">
      <c r="A24" s="2" t="inlineStr">
        <is>
          <t>SECTION C  —  Percent Calculations</t>
        </is>
      </c>
    </row>
    <row r="25" ht="8" customHeight="1"/>
    <row r="26" ht="26" customHeight="1">
      <c r="A26" s="7" t="inlineStr">
        <is>
          <t>Description</t>
        </is>
      </c>
      <c r="B26" s="7" t="inlineStr">
        <is>
          <t>Input 1</t>
        </is>
      </c>
      <c r="C26" s="7" t="inlineStr">
        <is>
          <t>Input 2</t>
        </is>
      </c>
      <c r="D26" s="7" t="inlineStr">
        <is>
          <t>Your Answer</t>
        </is>
      </c>
      <c r="E26" s="7" t="inlineStr">
        <is>
          <t>Case Type</t>
        </is>
      </c>
    </row>
    <row r="27" ht="24" customHeight="1">
      <c r="A27" s="8" t="inlineStr">
        <is>
          <t>C1  15% of Meridian's $239,400 in quarterly fees</t>
        </is>
      </c>
      <c r="B27" s="18" t="n">
        <v>239400</v>
      </c>
      <c r="C27" s="21" t="n">
        <v>0.15</v>
      </c>
      <c r="D27" s="22" t="n"/>
      <c r="E27" s="11" t="inlineStr">
        <is>
          <t>Case 1: % of whole</t>
        </is>
      </c>
    </row>
    <row r="28" ht="24" customHeight="1">
      <c r="A28" s="12" t="inlineStr">
        <is>
          <t>C2  Fees grew from $1,200,000 to $1,255,000 — % change?</t>
        </is>
      </c>
      <c r="B28" s="23" t="n">
        <v>1200000</v>
      </c>
      <c r="C28" s="23" t="n">
        <v>1255000</v>
      </c>
      <c r="D28" s="24" t="n"/>
      <c r="E28" s="15" t="inlineStr">
        <is>
          <t>Case 2: % change</t>
        </is>
      </c>
    </row>
    <row r="29" ht="24" customHeight="1">
      <c r="A29" s="8" t="inlineStr">
        <is>
          <t>C3  4 of 25 clients renewed — what rate?</t>
        </is>
      </c>
      <c r="B29" s="9" t="n">
        <v>4</v>
      </c>
      <c r="C29" s="9" t="n">
        <v>25</v>
      </c>
      <c r="D29" s="24" t="n"/>
      <c r="E29" s="11" t="inlineStr">
        <is>
          <t>Case 3: ratio as %</t>
        </is>
      </c>
    </row>
    <row r="30" ht="24" customHeight="1">
      <c r="A30" s="12" t="inlineStr">
        <is>
          <t>C4  Target: 12% increase on $239,400 — new total?</t>
        </is>
      </c>
      <c r="B30" s="23" t="n">
        <v>239400</v>
      </c>
      <c r="C30" s="13" t="n">
        <v>1.12</v>
      </c>
      <c r="D30" s="24" t="n"/>
      <c r="E30" s="15" t="inlineStr">
        <is>
          <t>Case 1 variant</t>
        </is>
      </c>
    </row>
    <row r="31" ht="24" customHeight="1">
      <c r="A31" s="8" t="inlineStr">
        <is>
          <t>C5  Actual Q-end fees: $268,200 — actual % change?</t>
        </is>
      </c>
      <c r="B31" s="18" t="n">
        <v>239400</v>
      </c>
      <c r="C31" s="18" t="n">
        <v>268200</v>
      </c>
      <c r="D31" s="24" t="n"/>
      <c r="E31" s="11" t="inlineStr">
        <is>
          <t>Case 2 variant</t>
        </is>
      </c>
    </row>
    <row r="32" ht="10" customHeight="1"/>
    <row r="33" ht="22" customHeight="1">
      <c r="A33" s="25" t="inlineStr">
        <is>
          <t>💡  Remember: yellow cells expect Excel formulas, not typed numbers. Use cell references whenever possible.</t>
        </is>
      </c>
    </row>
  </sheetData>
  <mergeCells count="5">
    <mergeCell ref="A24:E24"/>
    <mergeCell ref="A15:E15"/>
    <mergeCell ref="A33:E33"/>
    <mergeCell ref="A1:E1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C4A2B"/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50" customHeight="1">
      <c r="A1" s="6" t="inlineStr">
        <is>
          <t>Challenge  —  Multi-Step Problems  ·  Meridian Advisory Group</t>
        </is>
      </c>
    </row>
    <row r="2" ht="8" customHeight="1"/>
    <row r="3" ht="22" customHeight="1">
      <c r="A3" s="26" t="inlineStr">
        <is>
          <t>These problems combine multiple operations. Work step by step. Show every formula — no lone numbers in yellow cells.</t>
        </is>
      </c>
    </row>
    <row r="4" ht="8" customHeight="1"/>
    <row r="5" ht="28" customHeight="1">
      <c r="A5" s="2" t="inlineStr">
        <is>
          <t>CHALLENGE 1  —  Quarterly Revenue Model</t>
        </is>
      </c>
    </row>
    <row r="6" ht="8" customHeight="1"/>
    <row r="7" ht="24" customHeight="1">
      <c r="A7" s="7" t="inlineStr">
        <is>
          <t>Step</t>
        </is>
      </c>
      <c r="B7" s="7" t="inlineStr">
        <is>
          <t>Given</t>
        </is>
      </c>
      <c r="C7" s="7" t="inlineStr">
        <is>
          <t>Computed</t>
        </is>
      </c>
      <c r="D7" s="7" t="inlineStr">
        <is>
          <t>Your Answer</t>
        </is>
      </c>
      <c r="E7" s="7" t="inlineStr">
        <is>
          <t>Notes</t>
        </is>
      </c>
    </row>
    <row r="8" ht="24" customHeight="1">
      <c r="A8" s="8" t="inlineStr">
        <is>
          <t>1.  Meridian starts Q1 with 48 accounts at $4,200/quarter.</t>
        </is>
      </c>
      <c r="B8" s="10" t="n"/>
      <c r="C8" s="10" t="n"/>
      <c r="D8" s="17" t="n"/>
      <c r="E8" s="10" t="n"/>
    </row>
    <row r="9" ht="24" customHeight="1">
      <c r="A9" s="12" t="inlineStr">
        <is>
          <t>2.  Q1: Add 12, lose 3. Compute Q1-end accounts.</t>
        </is>
      </c>
      <c r="B9" s="14" t="n"/>
      <c r="C9" s="14" t="n"/>
      <c r="D9" s="17" t="n"/>
      <c r="E9" s="14" t="n"/>
    </row>
    <row r="10" ht="24" customHeight="1">
      <c r="A10" s="8" t="inlineStr">
        <is>
          <t>3.  Q2: Add 7, lose 2. Compute Q2-end accounts.</t>
        </is>
      </c>
      <c r="B10" s="10" t="n"/>
      <c r="C10" s="10" t="n"/>
      <c r="D10" s="17" t="n"/>
      <c r="E10" s="10" t="n"/>
    </row>
    <row r="11" ht="24" customHeight="1">
      <c r="A11" s="12" t="inlineStr">
        <is>
          <t>4.  Q3: Add 5, lose 1. Compute Q3-end accounts.</t>
        </is>
      </c>
      <c r="B11" s="14" t="n"/>
      <c r="C11" s="14" t="n"/>
      <c r="D11" s="17" t="n"/>
      <c r="E11" s="14" t="n"/>
    </row>
    <row r="12" ht="24" customHeight="1">
      <c r="A12" s="8" t="inlineStr">
        <is>
          <t>5.  Q1 total fee revenue (Q1 accts × $4,200)</t>
        </is>
      </c>
      <c r="B12" s="10" t="n"/>
      <c r="C12" s="10" t="n"/>
      <c r="D12" s="17" t="n"/>
      <c r="E12" s="10" t="n"/>
    </row>
    <row r="13" ht="24" customHeight="1">
      <c r="A13" s="12" t="inlineStr">
        <is>
          <t>6.  Q2 total fee revenue (Q2 accts × $4,200)</t>
        </is>
      </c>
      <c r="B13" s="14" t="n"/>
      <c r="C13" s="14" t="n"/>
      <c r="D13" s="17" t="n"/>
      <c r="E13" s="14" t="n"/>
    </row>
    <row r="14" ht="24" customHeight="1">
      <c r="A14" s="8" t="inlineStr">
        <is>
          <t>7.  Q3 total fee revenue (Q3 accts × $4,200)</t>
        </is>
      </c>
      <c r="B14" s="10" t="n"/>
      <c r="C14" s="10" t="n"/>
      <c r="D14" s="17" t="n"/>
      <c r="E14" s="10" t="n"/>
    </row>
    <row r="15" ht="24" customHeight="1">
      <c r="A15" s="12" t="inlineStr">
        <is>
          <t>8.  3-quarter cumulative fee revenue</t>
        </is>
      </c>
      <c r="B15" s="14" t="n"/>
      <c r="C15" s="14" t="n"/>
      <c r="D15" s="17" t="n"/>
      <c r="E15" s="14" t="n"/>
    </row>
    <row r="16" ht="24" customHeight="1">
      <c r="A16" s="8" t="inlineStr">
        <is>
          <t>9.  % change: Q1 fees to Q3 fees</t>
        </is>
      </c>
      <c r="B16" s="10" t="n"/>
      <c r="C16" s="10" t="n"/>
      <c r="D16" s="17" t="n"/>
      <c r="E16" s="10" t="n"/>
    </row>
    <row r="17" ht="14" customHeight="1"/>
    <row r="18" ht="28" customHeight="1">
      <c r="A18" s="27" t="inlineStr">
        <is>
          <t>CHALLENGE 2  —  Service Line Analysis</t>
        </is>
      </c>
    </row>
    <row r="19" ht="8" customHeight="1"/>
    <row r="20" ht="24" customHeight="1">
      <c r="A20" s="7" t="inlineStr">
        <is>
          <t>Step</t>
        </is>
      </c>
      <c r="B20" s="7" t="inlineStr">
        <is>
          <t>Given</t>
        </is>
      </c>
      <c r="C20" s="7" t="inlineStr">
        <is>
          <t>Computed</t>
        </is>
      </c>
      <c r="D20" s="7" t="inlineStr">
        <is>
          <t>Your Answer</t>
        </is>
      </c>
      <c r="E20" s="7" t="inlineStr">
        <is>
          <t>Notes</t>
        </is>
      </c>
    </row>
    <row r="21" ht="24" customHeight="1">
      <c r="A21" s="8" t="inlineStr">
        <is>
          <t>1.  Total Meridian clients: 57</t>
        </is>
      </c>
      <c r="B21" s="10" t="n"/>
      <c r="C21" s="10" t="n"/>
      <c r="D21" s="17" t="n"/>
      <c r="E21" s="10" t="n"/>
    </row>
    <row r="22" ht="24" customHeight="1">
      <c r="A22" s="12" t="inlineStr">
        <is>
          <t>2.  Tax clients: 22</t>
        </is>
      </c>
      <c r="B22" s="14" t="n"/>
      <c r="C22" s="14" t="n"/>
      <c r="D22" s="17" t="n"/>
      <c r="E22" s="14" t="n"/>
    </row>
    <row r="23" ht="24" customHeight="1">
      <c r="A23" s="8" t="inlineStr">
        <is>
          <t>3.  Estate clients: 18</t>
        </is>
      </c>
      <c r="B23" s="10" t="n"/>
      <c r="C23" s="10" t="n"/>
      <c r="D23" s="17" t="n"/>
      <c r="E23" s="10" t="n"/>
    </row>
    <row r="24" ht="24" customHeight="1">
      <c r="A24" s="12" t="inlineStr">
        <is>
          <t>4.  Investment clients: 17</t>
        </is>
      </c>
      <c r="B24" s="14" t="n"/>
      <c r="C24" s="14" t="n"/>
      <c r="D24" s="17" t="n"/>
      <c r="E24" s="14" t="n"/>
    </row>
    <row r="25" ht="24" customHeight="1">
      <c r="A25" s="8" t="inlineStr">
        <is>
          <t>5.  Tax as a fraction of total (decimal)</t>
        </is>
      </c>
      <c r="B25" s="10" t="n"/>
      <c r="C25" s="10" t="n"/>
      <c r="D25" s="17" t="n"/>
      <c r="E25" s="10" t="n"/>
    </row>
    <row r="26" ht="24" customHeight="1">
      <c r="A26" s="12" t="inlineStr">
        <is>
          <t>6.  Estate as % of total (format as %)</t>
        </is>
      </c>
      <c r="B26" s="14" t="n"/>
      <c r="C26" s="14" t="n"/>
      <c r="D26" s="17" t="n"/>
      <c r="E26" s="14" t="n"/>
    </row>
    <row r="27" ht="24" customHeight="1">
      <c r="A27" s="8" t="inlineStr">
        <is>
          <t>7.  Tax + Estate combined — % of total</t>
        </is>
      </c>
      <c r="B27" s="10" t="n"/>
      <c r="C27" s="10" t="n"/>
      <c r="D27" s="17" t="n"/>
      <c r="E27" s="10" t="n"/>
    </row>
    <row r="28" ht="24" customHeight="1">
      <c r="A28" s="12" t="inlineStr">
        <is>
          <t>8.  If Investments grows by 30%, new investment count</t>
        </is>
      </c>
      <c r="B28" s="14" t="n"/>
      <c r="C28" s="14" t="n"/>
      <c r="D28" s="17" t="n"/>
      <c r="E28" s="14" t="n"/>
    </row>
    <row r="29" ht="24" customHeight="1">
      <c r="A29" s="8" t="inlineStr">
        <is>
          <t>9.  New total clients after Investments growth</t>
        </is>
      </c>
      <c r="B29" s="10" t="n"/>
      <c r="C29" s="10" t="n"/>
      <c r="D29" s="17" t="n"/>
      <c r="E29" s="10" t="n"/>
    </row>
    <row r="30" ht="24" customHeight="1">
      <c r="A30" s="12" t="inlineStr">
        <is>
          <t>10.  New Investment % of new total</t>
        </is>
      </c>
      <c r="B30" s="14" t="n"/>
      <c r="C30" s="14" t="n"/>
      <c r="D30" s="17" t="n"/>
      <c r="E30" s="14" t="n"/>
    </row>
    <row r="31" ht="14" customHeight="1"/>
  </sheetData>
  <mergeCells count="4">
    <mergeCell ref="A1:E1"/>
    <mergeCell ref="A18:E18"/>
    <mergeCell ref="A5:E5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843D"/>
    <outlinePr summaryBelow="1" summaryRight="1"/>
    <pageSetUpPr/>
  </sheetPr>
  <dimension ref="A1:D3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28" customWidth="1" min="3" max="3"/>
    <col width="26" customWidth="1" min="4" max="4"/>
  </cols>
  <sheetData>
    <row r="1" ht="50" customHeight="1">
      <c r="A1" s="6" t="inlineStr">
        <is>
          <t>Formula Reference Card  —  BUS 123 · MATH-M01</t>
        </is>
      </c>
    </row>
    <row r="2" ht="8" customHeight="1"/>
    <row r="3" ht="28" customHeight="1">
      <c r="A3" s="2" t="inlineStr">
        <is>
          <t>ARITHMETIC OPERATIONS</t>
        </is>
      </c>
    </row>
    <row r="4" ht="24" customHeight="1">
      <c r="A4" s="7" t="inlineStr">
        <is>
          <t>Operation / Concept</t>
        </is>
      </c>
      <c r="B4" s="7" t="inlineStr">
        <is>
          <t>Excel Formula</t>
        </is>
      </c>
      <c r="C4" s="7" t="inlineStr">
        <is>
          <t>Example / Notes</t>
        </is>
      </c>
      <c r="D4" s="7" t="inlineStr">
        <is>
          <t>Watch Out For</t>
        </is>
      </c>
    </row>
    <row r="5" ht="24" customHeight="1">
      <c r="A5" s="28" t="inlineStr">
        <is>
          <t>Addition</t>
        </is>
      </c>
      <c r="B5" s="29">
        <f>SUM(B2:B10)  or  =B2+B3</f>
        <v/>
      </c>
      <c r="C5" s="30" t="inlineStr">
        <is>
          <t>Sum a range or add cells</t>
        </is>
      </c>
      <c r="D5" s="31" t="n"/>
    </row>
    <row r="6" ht="24" customHeight="1">
      <c r="A6" s="32" t="inlineStr">
        <is>
          <t>Subtraction</t>
        </is>
      </c>
      <c r="B6" s="33">
        <f>B5 - C5</f>
        <v/>
      </c>
      <c r="C6" s="34" t="inlineStr">
        <is>
          <t>Difference between two cells</t>
        </is>
      </c>
      <c r="D6" s="35" t="n"/>
    </row>
    <row r="7" ht="24" customHeight="1">
      <c r="A7" s="28" t="inlineStr">
        <is>
          <t>Multiplication</t>
        </is>
      </c>
      <c r="B7" s="29">
        <f>B3 * C3</f>
        <v/>
      </c>
      <c r="C7" s="30" t="inlineStr">
        <is>
          <t>Quantity × price per unit</t>
        </is>
      </c>
      <c r="D7" s="31" t="n"/>
    </row>
    <row r="8" ht="24" customHeight="1">
      <c r="A8" s="32" t="inlineStr">
        <is>
          <t>Division</t>
        </is>
      </c>
      <c r="B8" s="33">
        <f>B7 / C7</f>
        <v/>
      </c>
      <c r="C8" s="34" t="inlineStr">
        <is>
          <t>Total ÷ count = per-unit figure</t>
        </is>
      </c>
      <c r="D8" s="35" t="n"/>
    </row>
    <row r="9" ht="10" customHeight="1"/>
    <row r="10" ht="28" customHeight="1">
      <c r="A10" s="36" t="inlineStr">
        <is>
          <t>FRACTIONS &amp; DECIMALS</t>
        </is>
      </c>
    </row>
    <row r="11" ht="24" customHeight="1">
      <c r="A11" s="7" t="inlineStr">
        <is>
          <t>Operation / Concept</t>
        </is>
      </c>
      <c r="B11" s="7" t="inlineStr">
        <is>
          <t>Excel Formula</t>
        </is>
      </c>
      <c r="C11" s="7" t="inlineStr">
        <is>
          <t>Example / Notes</t>
        </is>
      </c>
      <c r="D11" s="7" t="inlineStr">
        <is>
          <t>Watch Out For</t>
        </is>
      </c>
    </row>
    <row r="12" ht="24" customHeight="1">
      <c r="A12" s="28" t="inlineStr">
        <is>
          <t>Fraction → Decimal</t>
        </is>
      </c>
      <c r="B12" s="29">
        <f>B2/C2</f>
        <v/>
      </c>
      <c r="C12" s="30" t="inlineStr">
        <is>
          <t>Numerator ÷ Denominator</t>
        </is>
      </c>
      <c r="D12" s="31" t="n"/>
    </row>
    <row r="13" ht="24" customHeight="1">
      <c r="A13" s="32" t="inlineStr">
        <is>
          <t>Fraction as %</t>
        </is>
      </c>
      <c r="B13" s="33">
        <f>B2/C2  (format: %)</f>
        <v/>
      </c>
      <c r="C13" s="34" t="inlineStr">
        <is>
          <t>Same formula — change cell format</t>
        </is>
      </c>
      <c r="D13" s="35" t="n"/>
    </row>
    <row r="14" ht="24" customHeight="1">
      <c r="A14" s="28" t="inlineStr">
        <is>
          <t>Part of total</t>
        </is>
      </c>
      <c r="B14" s="29">
        <f>part/whole</f>
        <v/>
      </c>
      <c r="C14" s="30" t="inlineStr">
        <is>
          <t>Denominator must be the full universe</t>
        </is>
      </c>
      <c r="D14" s="31" t="n"/>
    </row>
    <row r="15" ht="10" customHeight="1"/>
    <row r="16" ht="28" customHeight="1">
      <c r="A16" s="37" t="inlineStr">
        <is>
          <t>PERCENT CALCULATIONS</t>
        </is>
      </c>
    </row>
    <row r="17" ht="24" customHeight="1">
      <c r="A17" s="7" t="inlineStr">
        <is>
          <t>Operation / Concept</t>
        </is>
      </c>
      <c r="B17" s="7" t="inlineStr">
        <is>
          <t>Excel Formula</t>
        </is>
      </c>
      <c r="C17" s="7" t="inlineStr">
        <is>
          <t>Example / Notes</t>
        </is>
      </c>
      <c r="D17" s="7" t="inlineStr">
        <is>
          <t>Watch Out For</t>
        </is>
      </c>
    </row>
    <row r="18" ht="24" customHeight="1">
      <c r="A18" s="28" t="inlineStr">
        <is>
          <t>% of a Whole</t>
        </is>
      </c>
      <c r="B18" s="29">
        <f>whole * rate</f>
        <v/>
      </c>
      <c r="C18" s="30" t="inlineStr">
        <is>
          <t>e.g. =B4 * 0.15</t>
        </is>
      </c>
      <c r="D18" s="31" t="n"/>
    </row>
    <row r="19" ht="24" customHeight="1">
      <c r="A19" s="32" t="inlineStr">
        <is>
          <t>% Change</t>
        </is>
      </c>
      <c r="B19" s="33">
        <f>(new - old) / old</f>
        <v/>
      </c>
      <c r="C19" s="34" t="inlineStr">
        <is>
          <t>Base is always the older number</t>
        </is>
      </c>
      <c r="D19" s="35" t="n"/>
    </row>
    <row r="20" ht="24" customHeight="1">
      <c r="A20" s="28" t="inlineStr">
        <is>
          <t>Ratio as %</t>
        </is>
      </c>
      <c r="B20" s="29">
        <f>part / whole</f>
        <v/>
      </c>
      <c r="C20" s="30" t="inlineStr">
        <is>
          <t>Format result cell as Percentage</t>
        </is>
      </c>
      <c r="D20" s="31" t="n"/>
    </row>
    <row r="21" ht="24" customHeight="1">
      <c r="A21" s="32" t="inlineStr">
        <is>
          <t>Grow by X%</t>
        </is>
      </c>
      <c r="B21" s="33">
        <f>B4 * (1 + rate)</f>
        <v/>
      </c>
      <c r="C21" s="34" t="inlineStr">
        <is>
          <t>e.g. =B4*(1+0.075)</t>
        </is>
      </c>
      <c r="D21" s="35" t="n"/>
    </row>
    <row r="22" ht="24" customHeight="1">
      <c r="A22" s="28" t="inlineStr">
        <is>
          <t>Back-calculate %</t>
        </is>
      </c>
      <c r="B22" s="29">
        <f>(actual - target)/target</f>
        <v/>
      </c>
      <c r="C22" s="30" t="inlineStr">
        <is>
          <t>How far off from plan?</t>
        </is>
      </c>
      <c r="D22" s="31" t="n"/>
    </row>
    <row r="23" ht="10" customHeight="1"/>
    <row r="24" ht="28" customHeight="1">
      <c r="A24" s="27" t="inlineStr">
        <is>
          <t>COMMON MISTAKES</t>
        </is>
      </c>
    </row>
    <row r="25" ht="24" customHeight="1">
      <c r="A25" s="7" t="inlineStr">
        <is>
          <t>Operation / Concept</t>
        </is>
      </c>
      <c r="B25" s="7" t="inlineStr">
        <is>
          <t>Excel Formula</t>
        </is>
      </c>
      <c r="C25" s="7" t="inlineStr">
        <is>
          <t>Example / Notes</t>
        </is>
      </c>
      <c r="D25" s="7" t="inlineStr">
        <is>
          <t>Watch Out For</t>
        </is>
      </c>
    </row>
    <row r="26" ht="24" customHeight="1">
      <c r="A26" s="28" t="inlineStr">
        <is>
          <t>Unit mismatch</t>
        </is>
      </c>
      <c r="B26" s="29" t="inlineStr">
        <is>
          <t>Label units in headers</t>
        </is>
      </c>
      <c r="C26" s="30" t="inlineStr">
        <is>
          <t>Annual vs quarterly, hours vs minutes</t>
        </is>
      </c>
      <c r="D26" s="31" t="n"/>
    </row>
    <row r="27" ht="24" customHeight="1">
      <c r="A27" s="32" t="inlineStr">
        <is>
          <t>Wrong base</t>
        </is>
      </c>
      <c r="B27" s="33" t="inlineStr">
        <is>
          <t>(new−old)/old  NOT old/new</t>
        </is>
      </c>
      <c r="C27" s="34" t="inlineStr">
        <is>
          <t>% change denominator = starting value</t>
        </is>
      </c>
      <c r="D27" s="35" t="n"/>
    </row>
    <row r="28" ht="24" customHeight="1">
      <c r="A28" s="28" t="inlineStr">
        <is>
          <t>Wrong formula</t>
        </is>
      </c>
      <c r="B28" s="29" t="inlineStr">
        <is>
          <t>Change ≠ Ratio</t>
        </is>
      </c>
      <c r="C28" s="30" t="inlineStr">
        <is>
          <t>Ask: change over time or share of total?</t>
        </is>
      </c>
      <c r="D28" s="31" t="n"/>
    </row>
    <row r="29" ht="24" customHeight="1">
      <c r="A29" s="32" t="inlineStr">
        <is>
          <t>Hardcoded values</t>
        </is>
      </c>
      <c r="B29" s="33">
        <f>B2*C2  NOT =48*4200</f>
        <v/>
      </c>
      <c r="C29" s="34" t="inlineStr">
        <is>
          <t>Always use cell references</t>
        </is>
      </c>
      <c r="D29" s="35" t="n"/>
    </row>
    <row r="30" ht="10" customHeight="1"/>
    <row r="31" ht="22" customHeight="1">
      <c r="A31" s="38" t="inlineStr">
        <is>
          <t>Tip: Format percent result cells as Percentage (Home → Number → %) — do not multiply by 100 manually.</t>
        </is>
      </c>
    </row>
  </sheetData>
  <mergeCells count="6">
    <mergeCell ref="A1:D1"/>
    <mergeCell ref="A31:D31"/>
    <mergeCell ref="A3:D3"/>
    <mergeCell ref="A24:D24"/>
    <mergeCell ref="A16:D16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2026-05-25T18:22:06Z</dcterms:created>
  <dcterms:modified xmlns:dcterms="http://purl.org/dc/terms/" xmlns:xsi="http://www.w3.org/2001/XMLSchema-instance" xsi:type="dcterms:W3CDTF">2026-05-25T18:22:06Z</dcterms:modified>
</cp:coreProperties>
</file>