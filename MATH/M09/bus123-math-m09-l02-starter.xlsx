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44059cb6c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abae20d36d34a75"/>
    <x:sheet xmlns:r="http://schemas.openxmlformats.org/officeDocument/2006/relationships" name="Live You Try It" sheetId="2" r:id="Rb5db8f38f1804fc3"/>
    <x:sheet xmlns:r="http://schemas.openxmlformats.org/officeDocument/2006/relationships" name="Class Challenge" sheetId="3" r:id="Ree4243c242f04866"/>
    <x:sheet xmlns:r="http://schemas.openxmlformats.org/officeDocument/2006/relationships" name="FormulaReferenceCard" sheetId="4" r:id="R327f4bb83b83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$#,##0.00"/>
    <x:numFmt numFmtId="200" formatCode="@"/>
    <x:numFmt numFmtId="201" formatCode="0.00%"/>
  </x:numFmts>
  <x:fonts count="19">
    <x:font>
      <x:sz val="11"/>
      <x:color theme="1"/>
      <x:name val="Calibri"/>
    </x:font>
    <x:font>
      <x:b/>
      <x:sz val="16"/>
      <x:color rgb="FFFFFFFF"/>
    </x:font>
    <x:font>
      <x:sz val="10"/>
      <x:color rgb="FF4A5567"/>
    </x:font>
    <x:font>
      <x:b/>
      <x:color rgb="FFFFFFFF"/>
    </x:font>
    <x:font>
      <x:b/>
      <x:sz val="16"/>
      <x:color rgb="FFFFFFFF"/>
      <x:name val="DM Sans"/>
    </x:font>
    <x:font>
      <x:sz val="11"/>
      <x:color theme="1"/>
      <x:name val="DM Sans"/>
    </x:font>
    <x:font>
      <x:sz val="10"/>
      <x:color rgb="FF4A5567"/>
      <x:name val="DM Sans"/>
    </x:font>
    <x:font>
      <x:b/>
      <x:color rgb="FFFFFFFF"/>
      <x:name val="DM Sans"/>
    </x:font>
    <x:font>
      <x:sz val="10"/>
      <x:color rgb="FF355773"/>
      <x:name val="Courier New"/>
    </x:font>
    <x:font>
      <x:sz val="10"/>
      <x:color rgb="FF355773"/>
      <x:name val="DM Sans"/>
    </x:font>
    <x:font>
      <x:sz val="11"/>
      <x:color rgb="FF1A1F2C"/>
      <x:name val="DM Sans"/>
    </x:font>
    <x:font>
      <x:b/>
      <x:color rgb="FF1A1F2C"/>
      <x:name val="DM Sans"/>
    </x:font>
    <x:font>
      <x:sz val="11"/>
      <x:color rgb="FF1A1F2C"/>
      <x:name val="Calibri"/>
    </x:font>
    <x:font>
      <x:sz val="11"/>
      <x:color rgb="FF355773"/>
      <x:name val="DM Sans"/>
    </x:font>
    <x:font>
      <x:b/>
      <x:sz val="11"/>
      <x:color rgb="FF1A1F2C"/>
      <x:name val="DM Sans"/>
    </x:font>
    <x:font>
      <x:b/>
      <x:sz val="11"/>
      <x:color rgb="FFFFFFFF"/>
      <x:name val="DM Sans"/>
    </x:font>
    <x:font>
      <x:b/>
      <x:sz val="10"/>
      <x:color rgb="FFFFFFFF"/>
      <x:name val="DM Sans"/>
    </x:font>
    <x:font>
      <x:b/>
      <x:sz val="11"/>
      <x:color rgb="FF355773"/>
      <x:name val="DM Sans"/>
    </x:font>
    <x:font>
      <x:sz val="10"/>
      <x:color rgb="FF1A1F2C"/>
      <x:name val="DM Sans"/>
    </x:font>
  </x:fonts>
  <x:fills count="24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4A7C5E"/>
      </x:patternFill>
    </x:fill>
    <x:fill>
      <x:patternFill patternType="solid">
        <x:fgColor rgb="FFB8843D"/>
      </x:patternFill>
    </x:fill>
    <x:fill>
      <x:patternFill patternType="solid">
        <x:fgColor rgb="FF9C4A2B"/>
      </x:patternFill>
    </x:fill>
    <x:fill>
      <x:patternFill patternType="solid">
        <x:fgColor rgb="FFFFD966"/>
      </x:patternFill>
    </x:fill>
    <x:fill>
      <x:patternFill patternType="solid">
        <x:fgColor rgb="FFDDEBF7"/>
      </x:patternFill>
    </x:fill>
    <x:fill>
      <x:patternFill patternType="solid">
        <x:fgColor rgb="FFEAF3EC"/>
      </x:patternFill>
    </x:fill>
    <x:fill>
      <x:patternFill patternType="solid">
        <x:fgColor rgb="FFEAF3EC"/>
      </x:patternFill>
    </x:fill>
    <x:fill>
      <x:patternFill patternType="solid">
        <x:fgColor rgb="FFFFD966"/>
      </x:patternFill>
    </x:fill>
    <x:fill>
      <x:patternFill patternType="solid">
        <x:fgColor rgb="FFDDEBF7"/>
      </x:patternFill>
    </x:fill>
    <x:fill>
      <x:patternFill patternType="solid">
        <x:fgColor rgb="FF4A7C5E"/>
      </x:patternFill>
    </x:fill>
    <x:fill>
      <x:patternFill patternType="solid">
        <x:fgColor rgb="FFEAF3EC"/>
      </x:patternFill>
    </x:fill>
    <x:fill>
      <x:patternFill patternType="solid">
        <x:fgColor rgb="FFFFD966"/>
      </x:patternFill>
    </x:fill>
    <x:fill>
      <x:patternFill patternType="solid">
        <x:fgColor rgb="FFDDEBF7"/>
      </x:patternFill>
    </x:fill>
    <x:fill>
      <x:patternFill patternType="solid">
        <x:fgColor rgb="FF4A7C5E"/>
      </x:patternFill>
    </x:fill>
    <x:fill>
      <x:patternFill patternType="solid">
        <x:fgColor rgb="FFEAF3EC"/>
      </x:patternFill>
    </x:fill>
    <x:fill>
      <x:patternFill patternType="solid">
        <x:fgColor rgb="FFFFD966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4A7C5E"/>
      </x:patternFill>
    </x:fill>
    <x:fill>
      <x:patternFill patternType="solid">
        <x:fgColor rgb="FFEAF3EC"/>
      </x:patternFill>
    </x:fill>
  </x:fills>
  <x:borders count="16">
    <x:border/>
    <x:border>
      <x:bottom style="thin">
        <x:color rgb="FFD9E2D0"/>
      </x:bottom>
    </x:border>
    <x:border>
      <x:bottom style="thin">
        <x:color rgb="FFD9E2D0"/>
      </x:bottom>
    </x:border>
    <x:border>
      <x:bottom style="thin">
        <x:color rgb="FFD9E2D0"/>
      </x:bottom>
    </x:border>
    <x:border>
      <x:right style="thin">
        <x:color rgb="FFE5E1D6"/>
      </x:right>
      <x:bottom style="thin">
        <x:color rgb="FFE5E1D6"/>
      </x:bottom>
    </x:border>
    <x:border>
      <x:left style="thin">
        <x:color rgb="FFE5E1D6"/>
      </x:left>
      <x:right style="thin">
        <x:color rgb="FFE5E1D6"/>
      </x:right>
      <x:bottom style="thin">
        <x:color rgb="FFE5E1D6"/>
      </x:bottom>
    </x:border>
    <x:border>
      <x:left style="thin">
        <x:color rgb="FFE5E1D6"/>
      </x:left>
      <x:bottom style="thin">
        <x:color rgb="FFE5E1D6"/>
      </x:bottom>
    </x:border>
    <x:border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E5E1D6"/>
      </x:left>
      <x:top style="thin">
        <x:color rgb="FFE5E1D6"/>
      </x:top>
      <x:bottom style="thin">
        <x:color rgb="FFE5E1D6"/>
      </x:bottom>
    </x:border>
    <x:border>
      <x:right style="thin">
        <x:color rgb="FFE5E1D6"/>
      </x:right>
      <x:top style="thin">
        <x:color rgb="FFE5E1D6"/>
      </x:top>
      <x:bottom style="thin">
        <x:color rgb="FFD9E2D0"/>
      </x:bottom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D9E2D0"/>
      </x:bottom>
    </x:border>
    <x:border>
      <x:left style="thin">
        <x:color rgb="FFE5E1D6"/>
      </x:left>
      <x:top style="thin">
        <x:color rgb="FFE5E1D6"/>
      </x:top>
      <x:bottom style="thin">
        <x:color rgb="FFD9E2D0"/>
      </x:bottom>
    </x:border>
    <x:border>
      <x:left style="medium">
        <x:color rgb="FF355773"/>
      </x:left>
      <x:right style="medium">
        <x:color rgb="FF355773"/>
      </x:right>
      <x:top style="medium">
        <x:color rgb="FF355773"/>
      </x:top>
      <x:bottom style="thin">
        <x:color rgb="FFD9E2D0"/>
      </x:bottom>
    </x:border>
    <x:border>
      <x:left style="medium">
        <x:color rgb="FF355773"/>
      </x:left>
      <x:right style="medium">
        <x:color rgb="FF355773"/>
      </x:right>
      <x:bottom style="thin">
        <x:color rgb="FFD9E2D0"/>
      </x:bottom>
    </x:border>
    <x:border>
      <x:left style="medium">
        <x:color rgb="FF355773"/>
      </x:left>
      <x:right style="medium">
        <x:color rgb="FF355773"/>
      </x:right>
      <x:bottom style="medium">
        <x:color rgb="FF355773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4" fillId="2" borderId="1" xfId="0" applyAlignment="1">
      <x:alignment vertical="top" wrapText="1"/>
    </x:xf>
    <x:xf numFmtId="0" fontId="5" fillId="0" borderId="1" xfId="0" applyAlignment="1">
      <x:alignment vertical="top" wrapText="1"/>
    </x:xf>
    <x:xf numFmtId="0" fontId="6" fillId="3" borderId="1" xfId="0" applyAlignment="1">
      <x:alignment vertical="top" wrapText="1"/>
    </x:xf>
    <x:xf numFmtId="0" fontId="7" fillId="4" borderId="1" xfId="0" applyAlignment="1">
      <x:alignment vertical="top" wrapText="1"/>
    </x:xf>
    <x:xf numFmtId="0" fontId="7" fillId="5" borderId="1" xfId="0" applyAlignment="1">
      <x:alignment vertical="top" wrapText="1"/>
    </x:xf>
    <x:xf numFmtId="0" fontId="7" fillId="6" borderId="1" xfId="0" applyAlignment="1">
      <x:alignment vertical="top" wrapText="1"/>
    </x:xf>
    <x:xf numFmtId="0" fontId="7" fillId="2" borderId="1" xfId="0" applyAlignment="1">
      <x:alignment vertical="top" wrapText="1"/>
    </x:xf>
    <x:xf numFmtId="0" fontId="5" fillId="7" borderId="1" xfId="0" applyAlignment="1">
      <x:alignment vertical="top" wrapText="1"/>
    </x:xf>
    <x:xf numFmtId="164" fontId="5" fillId="8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5" fillId="9" borderId="1" xfId="0" applyAlignment="1">
      <x:alignment vertical="top" wrapText="1"/>
    </x:xf>
    <x:xf numFmtId="0" fontId="9" fillId="0" borderId="1" xfId="0" applyAlignment="1">
      <x:alignment vertical="top" wrapText="1"/>
    </x:xf>
    <x:xf numFmtId="10" fontId="5" fillId="8" borderId="1" xfId="0" applyAlignment="1">
      <x:alignment vertical="top" wrapText="1"/>
    </x:xf>
    <x:xf numFmtId="0" fontId="9" fillId="9" borderId="1" xfId="0" applyAlignment="1">
      <x:alignment vertical="top" wrapText="1"/>
    </x:xf>
    <x:xf numFmtId="0" fontId="0" fillId="0" borderId="2" xfId="0"/>
    <x:xf numFmtId="0" fontId="4" fillId="2" borderId="3" xfId="0" applyAlignment="1">
      <x:alignment vertical="top" wrapText="1"/>
    </x:xf>
    <x:xf numFmtId="0" fontId="6" fillId="3" borderId="3" xfId="0" applyAlignment="1">
      <x:alignment vertical="top" wrapText="1"/>
    </x:xf>
    <x:xf numFmtId="0" fontId="7" fillId="4" borderId="3" xfId="0" applyAlignment="1">
      <x:alignment vertical="top" wrapText="1"/>
    </x:xf>
    <x:xf numFmtId="0" fontId="7" fillId="5" borderId="3" xfId="0" applyAlignment="1">
      <x:alignment vertical="top" wrapText="1"/>
    </x:xf>
    <x:xf numFmtId="0" fontId="7" fillId="6" borderId="3" xfId="0" applyAlignment="1">
      <x:alignment vertical="top" wrapText="1"/>
    </x:xf>
    <x:xf numFmtId="0" fontId="5" fillId="0" borderId="1" xfId="0" applyAlignment="1">
      <x:alignment horizontal="center" vertical="center" wrapText="1"/>
    </x:xf>
    <x:xf numFmtId="0" fontId="5" fillId="0" borderId="1" xfId="0" applyAlignment="1">
      <x:alignment horizontal="left" vertical="center" wrapText="1"/>
    </x:xf>
    <x:xf numFmtId="0" fontId="5" fillId="7" borderId="1" xfId="0" applyAlignment="1">
      <x:alignment horizontal="center" vertical="center" wrapText="1"/>
    </x:xf>
    <x:xf numFmtId="164" fontId="5" fillId="8" borderId="1" xfId="0" applyAlignment="1">
      <x:alignment horizontal="center" vertical="center" wrapText="1"/>
    </x:xf>
    <x:xf numFmtId="10" fontId="5" fillId="8" borderId="1" xfId="0" applyAlignment="1">
      <x:alignment horizontal="center" vertical="center" wrapText="1"/>
    </x:xf>
    <x:xf numFmtId="200" fontId="9" fillId="9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/>
    <x:xf numFmtId="0" fontId="10" fillId="10" borderId="1" xfId="0" applyNumberFormat="1" applyFont="1" applyFill="1" applyBorder="1" applyAlignment="1">
      <x:alignment vertical="top" wrapText="1"/>
    </x:xf>
    <x:xf numFmtId="0" fontId="11" fillId="10" borderId="1" xfId="0" applyNumberFormat="1" applyFont="1" applyFill="1" applyBorder="1" applyAlignment="1">
      <x:alignment vertical="top" wrapText="1"/>
    </x:xf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164" fontId="5" fillId="7" borderId="1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  <x:xf numFmtId="164" fontId="5" fillId="8" borderId="1" xfId="0" applyNumberFormat="1" applyFont="1" applyFill="1" applyBorder="1" applyAlignment="1">
      <x:alignment vertical="top" wrapText="1"/>
    </x:xf>
    <x:xf numFmtId="164" fontId="5" fillId="11" borderId="1" xfId="0" applyNumberFormat="1" applyFont="1" applyFill="1" applyBorder="1" applyAlignment="1">
      <x:alignment vertical="top" wrapText="1"/>
    </x:xf>
    <x:xf numFmtId="201" fontId="5" fillId="11" borderId="1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164" fontId="10" fillId="11" borderId="1" xfId="0" applyNumberFormat="1" applyFont="1" applyFill="1" applyBorder="1" applyAlignment="1">
      <x:alignment vertical="top" wrapText="1"/>
    </x:xf>
    <x:xf numFmtId="201" fontId="10" fillId="11" borderId="1" xfId="0" applyNumberFormat="1" applyFont="1" applyFill="1" applyBorder="1" applyAlignment="1">
      <x:alignment vertical="top" wrapText="1"/>
    </x:xf>
    <x:xf numFmtId="0" fontId="10" fillId="11" borderId="1" xfId="0" applyNumberFormat="1" applyFont="1" applyFill="1" applyBorder="1" applyAlignment="1">
      <x:alignment vertical="top" wrapText="1"/>
    </x:xf>
    <x:xf numFmtId="164" fontId="10" fillId="11" borderId="4" xfId="0" applyNumberFormat="1" applyFont="1" applyFill="1" applyBorder="1" applyAlignment="1">
      <x:alignment vertical="top" wrapText="1"/>
    </x:xf>
    <x:xf numFmtId="201" fontId="10" fillId="11" borderId="5" xfId="0" applyNumberFormat="1" applyFont="1" applyFill="1" applyBorder="1" applyAlignment="1">
      <x:alignment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0" fillId="11" borderId="6" xfId="0" applyNumberFormat="1" applyFont="1" applyFill="1" applyBorder="1" applyAlignment="1">
      <x:alignment vertical="top" wrapText="1"/>
    </x:xf>
    <x:xf numFmtId="164" fontId="10" fillId="11" borderId="7" xfId="0" applyNumberFormat="1" applyFont="1" applyFill="1" applyBorder="1" applyAlignment="1">
      <x:alignment vertical="top" wrapText="1"/>
    </x:xf>
    <x:xf numFmtId="201" fontId="10" fillId="11" borderId="8" xfId="0" applyNumberFormat="1" applyFont="1" applyFill="1" applyBorder="1" applyAlignment="1">
      <x:alignment vertical="top" wrapText="1"/>
    </x:xf>
    <x:xf numFmtId="0" fontId="10" fillId="11" borderId="8" xfId="0" applyNumberFormat="1" applyFont="1" applyFill="1" applyBorder="1" applyAlignment="1">
      <x:alignment vertical="top" wrapText="1"/>
    </x:xf>
    <x:xf numFmtId="0" fontId="10" fillId="11" borderId="9" xfId="0" applyNumberFormat="1" applyFont="1" applyFill="1" applyBorder="1" applyAlignment="1">
      <x:alignment vertical="top" wrapText="1"/>
    </x:xf>
    <x:xf numFmtId="164" fontId="10" fillId="11" borderId="10" xfId="0" applyNumberFormat="1" applyFont="1" applyFill="1" applyBorder="1" applyAlignment="1">
      <x:alignment vertical="top" wrapText="1"/>
    </x:xf>
    <x:xf numFmtId="201" fontId="10" fillId="11" borderId="11" xfId="0" applyNumberFormat="1" applyFont="1" applyFill="1" applyBorder="1" applyAlignment="1">
      <x:alignment vertical="top" wrapText="1"/>
    </x:xf>
    <x:xf numFmtId="0" fontId="10" fillId="11" borderId="11" xfId="0" applyNumberFormat="1" applyFont="1" applyFill="1" applyBorder="1" applyAlignment="1">
      <x:alignment vertical="top" wrapText="1"/>
    </x:xf>
    <x:xf numFmtId="0" fontId="10" fillId="11" borderId="12" xfId="0" applyNumberFormat="1" applyFont="1" applyFill="1" applyBorder="1" applyAlignment="1">
      <x:alignment vertical="top" wrapText="1"/>
    </x:xf>
    <x:xf numFmtId="164" fontId="5" fillId="12" borderId="1" xfId="0" applyNumberFormat="1" applyFont="1" applyFill="1" applyBorder="1" applyAlignment="1">
      <x:alignment vertical="top" wrapText="1"/>
    </x:xf>
    <x:xf numFmtId="164" fontId="13" fillId="12" borderId="1" xfId="0" applyNumberFormat="1" applyFont="1" applyFill="1" applyBorder="1" applyAlignment="1">
      <x:alignment vertical="top" wrapText="1"/>
    </x:xf>
    <x:xf numFmtId="164" fontId="13" fillId="12" borderId="13" xfId="0" applyNumberFormat="1" applyFont="1" applyFill="1" applyBorder="1" applyAlignment="1">
      <x:alignment vertical="top" wrapText="1"/>
    </x:xf>
    <x:xf numFmtId="164" fontId="13" fillId="12" borderId="14" xfId="0" applyNumberFormat="1" applyFont="1" applyFill="1" applyBorder="1" applyAlignment="1">
      <x:alignment vertical="top" wrapText="1"/>
    </x:xf>
    <x:xf numFmtId="164" fontId="13" fillId="12" borderId="15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5" fillId="13" borderId="1" xfId="0" applyNumberFormat="1" applyFont="1" applyFill="1" applyBorder="1" applyAlignment="1">
      <x:alignment horizontal="center" vertical="center" wrapText="1"/>
    </x:xf>
    <x:xf numFmtId="0" fontId="5" fillId="13" borderId="1" xfId="0" applyNumberFormat="1" applyFont="1" applyFill="1" applyBorder="1" applyAlignment="1">
      <x:alignment horizontal="left" vertical="center" wrapText="1"/>
    </x:xf>
    <x:xf numFmtId="164" fontId="5" fillId="13" borderId="1" xfId="0" applyNumberFormat="1" applyFont="1" applyFill="1" applyBorder="1" applyAlignment="1">
      <x:alignment horizontal="center" vertical="center" wrapText="1"/>
    </x:xf>
    <x:xf numFmtId="0" fontId="6" fillId="13" borderId="1" xfId="0" applyNumberFormat="1" applyFont="1" applyFill="1" applyBorder="1" applyAlignment="1">
      <x:alignment vertical="top" wrapText="1"/>
    </x:xf>
    <x:xf numFmtId="0" fontId="9" fillId="13" borderId="1" xfId="0" applyNumberFormat="1" applyFont="1" applyFill="1" applyBorder="1" applyAlignment="1">
      <x:alignment vertical="top" wrapText="1"/>
    </x:xf>
    <x:xf numFmtId="0" fontId="15" fillId="13" borderId="1" xfId="0" applyNumberFormat="1" applyFont="1" applyFill="1" applyBorder="1" applyAlignment="1">
      <x:alignment horizontal="center" vertical="center" wrapText="1"/>
    </x:xf>
    <x:xf numFmtId="0" fontId="15" fillId="13" borderId="1" xfId="0" applyNumberFormat="1" applyFont="1" applyFill="1" applyBorder="1" applyAlignment="1">
      <x:alignment horizontal="left" vertical="center" wrapText="1"/>
    </x:xf>
    <x:xf numFmtId="164" fontId="15" fillId="13" borderId="1" xfId="0" applyNumberFormat="1" applyFont="1" applyFill="1" applyBorder="1" applyAlignment="1">
      <x:alignment horizontal="center" vertical="center" wrapText="1"/>
    </x:xf>
    <x:xf numFmtId="0" fontId="16" fillId="13" borderId="1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10" fillId="11" borderId="1" xfId="0" applyNumberFormat="1" applyFont="1" applyFill="1" applyBorder="1" applyAlignment="1">
      <x:alignment horizontal="center" vertical="center" wrapText="1"/>
    </x:xf>
    <x:xf numFmtId="164" fontId="5" fillId="12" borderId="1" xfId="0" applyNumberFormat="1" applyFont="1" applyFill="1" applyBorder="1" applyAlignment="1">
      <x:alignment horizontal="center" vertical="center" wrapText="1"/>
    </x:xf>
    <x:xf numFmtId="10" fontId="5" fillId="12" borderId="1" xfId="0" applyNumberFormat="1" applyFont="1" applyFill="1" applyBorder="1" applyAlignment="1">
      <x:alignment horizontal="center" vertical="center" wrapText="1"/>
    </x:xf>
    <x:xf numFmtId="164" fontId="15" fillId="12" borderId="1" xfId="0" applyNumberFormat="1" applyFont="1" applyFill="1" applyBorder="1" applyAlignment="1">
      <x:alignment horizontal="center" vertical="center" wrapText="1"/>
    </x:xf>
    <x:xf numFmtId="164" fontId="13" fillId="12" borderId="1" xfId="0" applyNumberFormat="1" applyFont="1" applyFill="1" applyBorder="1" applyAlignment="1">
      <x:alignment horizontal="center" vertical="center" wrapText="1"/>
    </x:xf>
    <x:xf numFmtId="10" fontId="13" fillId="12" borderId="1" xfId="0" applyNumberFormat="1" applyFont="1" applyFill="1" applyBorder="1" applyAlignment="1">
      <x:alignment horizontal="center" vertical="center" wrapText="1"/>
    </x:xf>
    <x:xf numFmtId="164" fontId="17" fillId="12" borderId="1" xfId="0" applyNumberFormat="1" applyFont="1" applyFill="1" applyBorder="1" applyAlignment="1">
      <x:alignment horizontal="center" vertical="center" wrapText="1"/>
    </x:xf>
    <x:xf numFmtId="164" fontId="10" fillId="11" borderId="1" xfId="0" applyNumberFormat="1" applyFont="1" applyFill="1" applyBorder="1" applyAlignment="1">
      <x:alignment horizontal="center" vertical="center" wrapText="1"/>
    </x:xf>
    <x:xf numFmtId="201" fontId="10" fillId="11" borderId="1" xfId="0" applyNumberFormat="1" applyFont="1" applyFill="1" applyBorder="1" applyAlignment="1">
      <x:alignment horizontal="center" vertical="center" wrapText="1"/>
    </x:xf>
    <x:xf numFmtId="0" fontId="10" fillId="14" borderId="1" xfId="0" applyNumberFormat="1" applyFont="1" applyFill="1" applyBorder="1" applyAlignment="1">
      <x:alignment vertical="top" wrapText="1"/>
    </x:xf>
    <x:xf numFmtId="0" fontId="11" fillId="14" borderId="1" xfId="0" applyNumberFormat="1" applyFont="1" applyFill="1" applyBorder="1" applyAlignment="1">
      <x:alignment vertical="top" wrapText="1"/>
    </x:xf>
    <x:xf numFmtId="0" fontId="12" fillId="14" borderId="1" xfId="0" applyNumberFormat="1" applyFont="1" applyFill="1" applyBorder="1" applyAlignment="1">
      <x:alignment wrapText="1"/>
    </x:xf>
    <x:xf numFmtId="164" fontId="10" fillId="7" borderId="4" xfId="0" applyNumberFormat="1" applyFont="1" applyFill="1" applyBorder="1" applyAlignment="1">
      <x:alignment vertical="top" wrapText="1"/>
    </x:xf>
    <x:xf numFmtId="164" fontId="10" fillId="7" borderId="7" xfId="0" applyNumberFormat="1" applyFont="1" applyFill="1" applyBorder="1" applyAlignment="1">
      <x:alignment vertical="top" wrapText="1"/>
    </x:xf>
    <x:xf numFmtId="164" fontId="10" fillId="7" borderId="10" xfId="0" applyNumberFormat="1" applyFont="1" applyFill="1" applyBorder="1" applyAlignment="1">
      <x:alignment vertical="top" wrapText="1"/>
    </x:xf>
    <x:xf numFmtId="201" fontId="10" fillId="7" borderId="5" xfId="0" applyNumberFormat="1" applyFont="1" applyFill="1" applyBorder="1" applyAlignment="1">
      <x:alignment vertical="top" wrapText="1"/>
    </x:xf>
    <x:xf numFmtId="201" fontId="10" fillId="7" borderId="8" xfId="0" applyNumberFormat="1" applyFont="1" applyFill="1" applyBorder="1" applyAlignment="1">
      <x:alignment vertical="top" wrapText="1"/>
    </x:xf>
    <x:xf numFmtId="201" fontId="10" fillId="7" borderId="11" xfId="0" applyNumberFormat="1" applyFont="1" applyFill="1" applyBorder="1" applyAlignment="1">
      <x:alignment vertical="top" wrapText="1"/>
    </x:xf>
    <x:xf numFmtId="164" fontId="13" fillId="8" borderId="13" xfId="0" applyNumberFormat="1" applyFont="1" applyFill="1" applyBorder="1" applyAlignment="1">
      <x:alignment vertical="top" wrapText="1"/>
    </x:xf>
    <x:xf numFmtId="164" fontId="13" fillId="8" borderId="14" xfId="0" applyNumberFormat="1" applyFont="1" applyFill="1" applyBorder="1" applyAlignment="1">
      <x:alignment vertical="top" wrapText="1"/>
    </x:xf>
    <x:xf numFmtId="164" fontId="13" fillId="8" borderId="15" xfId="0" applyNumberFormat="1" applyFont="1" applyFill="1" applyBorder="1" applyAlignment="1">
      <x:alignment vertical="top" wrapText="1"/>
    </x:xf>
    <x:xf numFmtId="164" fontId="10" fillId="15" borderId="4" xfId="0" applyNumberFormat="1" applyFont="1" applyFill="1" applyBorder="1" applyAlignment="1">
      <x:alignment vertical="top" wrapText="1"/>
    </x:xf>
    <x:xf numFmtId="201" fontId="10" fillId="15" borderId="5" xfId="0" applyNumberFormat="1" applyFont="1" applyFill="1" applyBorder="1" applyAlignment="1">
      <x:alignment vertical="top" wrapText="1"/>
    </x:xf>
    <x:xf numFmtId="0" fontId="10" fillId="15" borderId="5" xfId="0" applyNumberFormat="1" applyFont="1" applyFill="1" applyBorder="1" applyAlignment="1">
      <x:alignment vertical="top" wrapText="1"/>
    </x:xf>
    <x:xf numFmtId="0" fontId="10" fillId="15" borderId="6" xfId="0" applyNumberFormat="1" applyFont="1" applyFill="1" applyBorder="1" applyAlignment="1">
      <x:alignment vertical="top" wrapText="1"/>
    </x:xf>
    <x:xf numFmtId="164" fontId="10" fillId="15" borderId="7" xfId="0" applyNumberFormat="1" applyFont="1" applyFill="1" applyBorder="1" applyAlignment="1">
      <x:alignment vertical="top" wrapText="1"/>
    </x:xf>
    <x:xf numFmtId="201" fontId="10" fillId="15" borderId="8" xfId="0" applyNumberFormat="1" applyFont="1" applyFill="1" applyBorder="1" applyAlignment="1">
      <x:alignment vertical="top" wrapText="1"/>
    </x:xf>
    <x:xf numFmtId="0" fontId="10" fillId="15" borderId="8" xfId="0" applyNumberFormat="1" applyFont="1" applyFill="1" applyBorder="1" applyAlignment="1">
      <x:alignment vertical="top" wrapText="1"/>
    </x:xf>
    <x:xf numFmtId="0" fontId="10" fillId="15" borderId="9" xfId="0" applyNumberFormat="1" applyFont="1" applyFill="1" applyBorder="1" applyAlignment="1">
      <x:alignment vertical="top" wrapText="1"/>
    </x:xf>
    <x:xf numFmtId="164" fontId="10" fillId="15" borderId="10" xfId="0" applyNumberFormat="1" applyFont="1" applyFill="1" applyBorder="1" applyAlignment="1">
      <x:alignment vertical="top" wrapText="1"/>
    </x:xf>
    <x:xf numFmtId="201" fontId="10" fillId="15" borderId="11" xfId="0" applyNumberFormat="1" applyFont="1" applyFill="1" applyBorder="1" applyAlignment="1">
      <x:alignment vertical="top" wrapText="1"/>
    </x:xf>
    <x:xf numFmtId="0" fontId="10" fillId="15" borderId="11" xfId="0" applyNumberFormat="1" applyFont="1" applyFill="1" applyBorder="1" applyAlignment="1">
      <x:alignment vertical="top" wrapText="1"/>
    </x:xf>
    <x:xf numFmtId="0" fontId="10" fillId="15" borderId="12" xfId="0" applyNumberFormat="1" applyFont="1" applyFill="1" applyBorder="1" applyAlignment="1">
      <x:alignment vertical="top" wrapText="1"/>
    </x:xf>
    <x:xf numFmtId="164" fontId="13" fillId="16" borderId="13" xfId="0" applyNumberFormat="1" applyFont="1" applyFill="1" applyBorder="1" applyAlignment="1">
      <x:alignment vertical="top" wrapText="1"/>
    </x:xf>
    <x:xf numFmtId="164" fontId="13" fillId="16" borderId="14" xfId="0" applyNumberFormat="1" applyFont="1" applyFill="1" applyBorder="1" applyAlignment="1">
      <x:alignment vertical="top" wrapText="1"/>
    </x:xf>
    <x:xf numFmtId="164" fontId="13" fillId="16" borderId="15" xfId="0" applyNumberFormat="1" applyFont="1" applyFill="1" applyBorder="1" applyAlignment="1">
      <x:alignment vertical="top" wrapText="1"/>
    </x:xf>
    <x:xf numFmtId="0" fontId="14" fillId="14" borderId="1" xfId="0" applyNumberFormat="1" applyFont="1" applyFill="1" applyBorder="1" applyAlignment="1">
      <x:alignment vertical="top" wrapText="1"/>
    </x:xf>
    <x:xf numFmtId="0" fontId="15" fillId="17" borderId="1" xfId="0" applyNumberFormat="1" applyFont="1" applyFill="1" applyBorder="1" applyAlignment="1">
      <x:alignment horizontal="center" vertical="center" wrapText="1"/>
    </x:xf>
    <x:xf numFmtId="0" fontId="15" fillId="17" borderId="1" xfId="0" applyNumberFormat="1" applyFont="1" applyFill="1" applyBorder="1" applyAlignment="1">
      <x:alignment horizontal="left" vertical="center" wrapText="1"/>
    </x:xf>
    <x:xf numFmtId="164" fontId="17" fillId="17" borderId="1" xfId="0" applyNumberFormat="1" applyFont="1" applyFill="1" applyBorder="1" applyAlignment="1">
      <x:alignment horizontal="center" vertical="center" wrapText="1"/>
    </x:xf>
    <x:xf numFmtId="0" fontId="16" fillId="17" borderId="1" xfId="0" applyNumberFormat="1" applyFont="1" applyFill="1" applyBorder="1" applyAlignment="1">
      <x:alignment vertical="top" wrapText="1"/>
    </x:xf>
    <x:xf numFmtId="164" fontId="15" fillId="17" borderId="1" xfId="0" applyNumberFormat="1" applyFont="1" applyFill="1" applyBorder="1" applyAlignment="1">
      <x:alignment horizontal="center" vertical="center" wrapText="1"/>
    </x:xf>
    <x:xf numFmtId="164" fontId="10" fillId="15" borderId="1" xfId="0" applyNumberFormat="1" applyFont="1" applyFill="1" applyBorder="1" applyAlignment="1">
      <x:alignment horizontal="center" vertical="center" wrapText="1"/>
    </x:xf>
    <x:xf numFmtId="201" fontId="10" fillId="15" borderId="1" xfId="0" applyNumberFormat="1" applyFont="1" applyFill="1" applyBorder="1" applyAlignment="1">
      <x:alignment horizontal="center" vertical="center" wrapText="1"/>
    </x:xf>
    <x:xf numFmtId="0" fontId="10" fillId="15" borderId="1" xfId="0" applyNumberFormat="1" applyFont="1" applyFill="1" applyBorder="1" applyAlignment="1">
      <x:alignment horizontal="center" vertical="center" wrapText="1"/>
    </x:xf>
    <x:xf numFmtId="164" fontId="13" fillId="16" borderId="1" xfId="0" applyNumberFormat="1" applyFont="1" applyFill="1" applyBorder="1" applyAlignment="1">
      <x:alignment horizontal="center" vertical="center" wrapText="1"/>
    </x:xf>
    <x:xf numFmtId="164" fontId="15" fillId="16" borderId="1" xfId="0" applyNumberFormat="1" applyFont="1" applyFill="1" applyBorder="1" applyAlignment="1">
      <x:alignment horizontal="center" vertical="center" wrapText="1"/>
    </x:xf>
    <x:xf numFmtId="164" fontId="17" fillId="16" borderId="1" xfId="0" applyNumberFormat="1" applyFont="1" applyFill="1" applyBorder="1" applyAlignment="1">
      <x:alignment horizontal="center" vertical="center" wrapText="1"/>
    </x:xf>
    <x:xf numFmtId="0" fontId="10" fillId="18" borderId="1" xfId="0" applyNumberFormat="1" applyFont="1" applyFill="1" applyBorder="1" applyAlignment="1">
      <x:alignment vertical="top" wrapText="1"/>
    </x:xf>
    <x:xf numFmtId="0" fontId="11" fillId="18" borderId="1" xfId="0" applyNumberFormat="1" applyFont="1" applyFill="1" applyBorder="1" applyAlignment="1">
      <x:alignment vertical="top" wrapText="1"/>
    </x:xf>
    <x:xf numFmtId="0" fontId="12" fillId="18" borderId="1" xfId="0" applyNumberFormat="1" applyFont="1" applyFill="1" applyBorder="1" applyAlignment="1">
      <x:alignment wrapText="1"/>
    </x:xf>
    <x:xf numFmtId="164" fontId="10" fillId="19" borderId="4" xfId="0" applyNumberFormat="1" applyFont="1" applyFill="1" applyBorder="1" applyAlignment="1">
      <x:alignment vertical="top" wrapText="1"/>
    </x:xf>
    <x:xf numFmtId="201" fontId="10" fillId="19" borderId="5" xfId="0" applyNumberFormat="1" applyFont="1" applyFill="1" applyBorder="1" applyAlignment="1">
      <x:alignment vertical="top" wrapText="1"/>
    </x:xf>
    <x:xf numFmtId="0" fontId="10" fillId="19" borderId="5" xfId="0" applyNumberFormat="1" applyFont="1" applyFill="1" applyBorder="1" applyAlignment="1">
      <x:alignment vertical="top" wrapText="1"/>
    </x:xf>
    <x:xf numFmtId="164" fontId="10" fillId="19" borderId="7" xfId="0" applyNumberFormat="1" applyFont="1" applyFill="1" applyBorder="1" applyAlignment="1">
      <x:alignment vertical="top" wrapText="1"/>
    </x:xf>
    <x:xf numFmtId="201" fontId="10" fillId="19" borderId="8" xfId="0" applyNumberFormat="1" applyFont="1" applyFill="1" applyBorder="1" applyAlignment="1">
      <x:alignment vertical="top" wrapText="1"/>
    </x:xf>
    <x:xf numFmtId="0" fontId="10" fillId="19" borderId="8" xfId="0" applyNumberFormat="1" applyFont="1" applyFill="1" applyBorder="1" applyAlignment="1">
      <x:alignment vertical="top" wrapText="1"/>
    </x:xf>
    <x:xf numFmtId="164" fontId="13" fillId="20" borderId="13" xfId="0" applyNumberFormat="1" applyFont="1" applyFill="1" applyBorder="1" applyAlignment="1">
      <x:alignment vertical="top" wrapText="1"/>
    </x:xf>
    <x:xf numFmtId="164" fontId="13" fillId="20" borderId="14" xfId="0" applyNumberFormat="1" applyFont="1" applyFill="1" applyBorder="1" applyAlignment="1">
      <x:alignment vertical="top" wrapText="1"/>
    </x:xf>
    <x:xf numFmtId="164" fontId="13" fillId="20" borderId="15" xfId="0" applyNumberFormat="1" applyFont="1" applyFill="1" applyBorder="1" applyAlignment="1">
      <x:alignment vertical="top" wrapText="1"/>
    </x:xf>
    <x:xf numFmtId="0" fontId="14" fillId="18" borderId="1" xfId="0" applyNumberFormat="1" applyFont="1" applyFill="1" applyBorder="1" applyAlignment="1">
      <x:alignment vertical="top" wrapText="1"/>
    </x:xf>
    <x:xf numFmtId="0" fontId="5" fillId="21" borderId="1" xfId="0" applyNumberFormat="1" applyFont="1" applyFill="1" applyBorder="1" applyAlignment="1">
      <x:alignment horizontal="center" vertical="center" wrapText="1"/>
    </x:xf>
    <x:xf numFmtId="0" fontId="5" fillId="21" borderId="1" xfId="0" applyNumberFormat="1" applyFont="1" applyFill="1" applyBorder="1" applyAlignment="1">
      <x:alignment horizontal="left" vertical="center" wrapText="1"/>
    </x:xf>
    <x:xf numFmtId="164" fontId="5" fillId="21" borderId="1" xfId="0" applyNumberFormat="1" applyFont="1" applyFill="1" applyBorder="1" applyAlignment="1">
      <x:alignment horizontal="center" vertical="center" wrapText="1"/>
    </x:xf>
    <x:xf numFmtId="0" fontId="6" fillId="21" borderId="1" xfId="0" applyNumberFormat="1" applyFont="1" applyFill="1" applyBorder="1" applyAlignment="1">
      <x:alignment vertical="top" wrapText="1"/>
    </x:xf>
    <x:xf numFmtId="0" fontId="9" fillId="21" borderId="1" xfId="0" applyNumberFormat="1" applyFont="1" applyFill="1" applyBorder="1" applyAlignment="1">
      <x:alignment vertical="top" wrapText="1"/>
    </x:xf>
    <x:xf numFmtId="0" fontId="10" fillId="21" borderId="1" xfId="0" applyNumberFormat="1" applyFont="1" applyFill="1" applyBorder="1" applyAlignment="1">
      <x:alignment horizontal="center" vertical="center" wrapText="1"/>
    </x:xf>
    <x:xf numFmtId="0" fontId="10" fillId="21" borderId="1" xfId="0" applyNumberFormat="1" applyFont="1" applyFill="1" applyBorder="1" applyAlignment="1">
      <x:alignment horizontal="left" vertical="center" wrapText="1"/>
    </x:xf>
    <x:xf numFmtId="164" fontId="10" fillId="21" borderId="1" xfId="0" applyNumberFormat="1" applyFont="1" applyFill="1" applyBorder="1" applyAlignment="1">
      <x:alignment horizontal="center" vertical="center" wrapText="1"/>
    </x:xf>
    <x:xf numFmtId="0" fontId="18" fillId="21" borderId="1" xfId="0" applyNumberFormat="1" applyFont="1" applyFill="1" applyBorder="1" applyAlignment="1">
      <x:alignment vertical="top" wrapText="1"/>
    </x:xf>
    <x:xf numFmtId="0" fontId="15" fillId="22" borderId="1" xfId="0" applyNumberFormat="1" applyFont="1" applyFill="1" applyBorder="1" applyAlignment="1">
      <x:alignment horizontal="center" vertical="center" wrapText="1"/>
    </x:xf>
    <x:xf numFmtId="0" fontId="15" fillId="22" borderId="1" xfId="0" applyNumberFormat="1" applyFont="1" applyFill="1" applyBorder="1" applyAlignment="1">
      <x:alignment horizontal="left" vertical="center" wrapText="1"/>
    </x:xf>
    <x:xf numFmtId="164" fontId="17" fillId="22" borderId="1" xfId="0" applyNumberFormat="1" applyFont="1" applyFill="1" applyBorder="1" applyAlignment="1">
      <x:alignment horizontal="center" vertical="center" wrapText="1"/>
    </x:xf>
    <x:xf numFmtId="0" fontId="16" fillId="22" borderId="1" xfId="0" applyNumberFormat="1" applyFont="1" applyFill="1" applyBorder="1" applyAlignment="1">
      <x:alignment vertical="top" wrapText="1"/>
    </x:xf>
    <x:xf numFmtId="164" fontId="15" fillId="22" borderId="1" xfId="0" applyNumberFormat="1" applyFont="1" applyFill="1" applyBorder="1" applyAlignment="1">
      <x:alignment horizontal="center" vertical="center" wrapText="1"/>
    </x:xf>
    <x:xf numFmtId="164" fontId="10" fillId="19" borderId="1" xfId="0" applyNumberFormat="1" applyFont="1" applyFill="1" applyBorder="1" applyAlignment="1">
      <x:alignment horizontal="center" vertical="center" wrapText="1"/>
    </x:xf>
    <x:xf numFmtId="201" fontId="10" fillId="19" borderId="1" xfId="0" applyNumberFormat="1" applyFont="1" applyFill="1" applyBorder="1" applyAlignment="1">
      <x:alignment horizontal="center" vertical="center" wrapText="1"/>
    </x:xf>
    <x:xf numFmtId="0" fontId="10" fillId="19" borderId="1" xfId="0" applyNumberFormat="1" applyFont="1" applyFill="1" applyBorder="1" applyAlignment="1">
      <x:alignment horizontal="center" vertical="center" wrapText="1"/>
    </x:xf>
    <x:xf numFmtId="164" fontId="13" fillId="20" borderId="1" xfId="0" applyNumberFormat="1" applyFont="1" applyFill="1" applyBorder="1" applyAlignment="1">
      <x:alignment horizontal="center" vertical="center" wrapText="1"/>
    </x:xf>
    <x:xf numFmtId="164" fontId="15" fillId="20" borderId="1" xfId="0" applyNumberFormat="1" applyFont="1" applyFill="1" applyBorder="1" applyAlignment="1">
      <x:alignment horizontal="center" vertical="center" wrapText="1"/>
    </x:xf>
    <x:xf numFmtId="164" fontId="17" fillId="20" borderId="1" xfId="0" applyNumberFormat="1" applyFont="1" applyFill="1" applyBorder="1" applyAlignment="1">
      <x:alignment horizontal="center" vertical="center" wrapText="1"/>
    </x:xf>
    <x:xf numFmtId="0" fontId="5" fillId="21" borderId="1" xfId="0" applyNumberFormat="1" applyFont="1" applyFill="1" applyBorder="1" applyAlignment="1">
      <x:alignment vertical="top" wrapText="1"/>
    </x:xf>
    <x:xf numFmtId="0" fontId="10" fillId="21" borderId="1" xfId="0" applyNumberFormat="1" applyFont="1" applyFill="1" applyBorder="1" applyAlignment="1">
      <x:alignment vertical="top" wrapText="1"/>
    </x:xf>
    <x:xf numFmtId="0" fontId="11" fillId="23" borderId="1" xfId="0" applyNumberFormat="1" applyFont="1" applyFill="1" applyBorder="1" applyAlignment="1">
      <x:alignment vertical="top" wrapText="1"/>
    </x:xf>
    <x:xf numFmtId="0" fontId="12" fillId="23" borderId="1" xfId="0" applyNumberFormat="1" applyFont="1" applyFill="1" applyBorder="1" applyAlignment="1">
      <x:alignment wrapText="1"/>
    </x:xf>
    <x:xf numFmtId="0" fontId="0" fillId="23" borderId="1" xfId="0" applyNumberFormat="1" applyFont="1" applyFill="1" applyBorder="1"/>
    <x:xf numFmtId="0" fontId="12" fillId="2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1A6B3C"/>
      </x:font>
      <x:fill>
        <x:patternFill>
          <x:bgColor rgb="FFE2F0D9"/>
        </x:patternFill>
      </x:fill>
    </x:dxf>
    <x:dxf>
      <x:font>
        <x:b/>
        <x:color rgb="FF9C4A2B"/>
      </x:font>
      <x:fill>
        <x:patternFill>
          <x:bgColor rgb="FFFCE4D6"/>
        </x:patternFill>
      </x:fill>
    </x:dxf>
    <x:dxf>
      <x:font>
        <x:b/>
        <x:color rgb="FF1A6B3C"/>
      </x:font>
      <x:fill>
        <x:patternFill>
          <x:bgColor rgb="FFE2F0D9"/>
        </x:patternFill>
      </x:fill>
    </x:dxf>
    <x:dxf>
      <x:font>
        <x:b/>
        <x:color rgb="FF9C4A2B"/>
      </x:font>
      <x:fill>
        <x:patternFill>
          <x:bgColor rgb="FFFCE4D6"/>
        </x:patternFill>
      </x:fill>
    </x:dxf>
    <x:dxf>
      <x:font>
        <x:b/>
        <x:color rgb="FF1A6B3C"/>
      </x:font>
      <x:fill>
        <x:patternFill>
          <x:bgColor rgb="FFE2F0D9"/>
        </x:patternFill>
      </x:fill>
    </x:dxf>
    <x:dxf>
      <x:font>
        <x:b/>
        <x:color rgb="FF9C4A2B"/>
      </x:font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17abdee7942b4" /><Relationship Type="http://schemas.openxmlformats.org/officeDocument/2006/relationships/theme" Target="/xl/theme/theme1.xml" Id="R1fc3793f79164c04" /><Relationship Type="http://schemas.openxmlformats.org/officeDocument/2006/relationships/sharedStrings" Target="/xl/sharedStrings.xml" Id="Rcac2803af18e4e63" /><Relationship Type="http://schemas.openxmlformats.org/officeDocument/2006/relationships/worksheet" Target="/xl/worksheets/sheet1.xml" Id="R6abae20d36d34a75" /><Relationship Type="http://schemas.openxmlformats.org/officeDocument/2006/relationships/worksheet" Target="/xl/worksheets/sheet2.xml" Id="Rb5db8f38f1804fc3" /><Relationship Type="http://schemas.openxmlformats.org/officeDocument/2006/relationships/worksheet" Target="/xl/worksheets/sheet3.xml" Id="Ree4243c242f04866" /><Relationship Type="http://schemas.openxmlformats.org/officeDocument/2006/relationships/worksheet" Target="/xl/worksheets/sheet4.xml" Id="R327f4bb83b834f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70" customWidth="1"/>
    <x:col min="3" max="3" width="20" customWidth="1"/>
    <x:col min="4" max="4" width="16" customWidth="1"/>
    <x:col min="5" max="5" width="16" customWidth="1"/>
    <x:col min="6" max="6" width="16" customWidth="1"/>
  </x:cols>
  <x:sheetData>
    <x:row r="1" ht="26" customHeight="1">
      <x:c r="A1" s="16" t="inlineStr">
        <x:is>
          <x:t xml:space="preserve">BUS123 - MATH-M09-L02</x:t>
        </x:is>
      </x:c>
      <x:c r="B1" s="15" t="n"/>
      <x:c r="C1" s="15" t="n"/>
      <x:c r="D1" s="15" t="n"/>
      <x:c r="E1" s="15" t="n"/>
      <x:c r="F1" s="15" t="n"/>
    </x:row>
    <x:row r="2" ht="32" customHeight="1">
      <x:c r="A2" s="17" t="inlineStr">
        <x:is>
          <x:t xml:space="preserve">PMT Function and Annuities</x:t>
        </x:is>
      </x:c>
      <x:c r="B2" s="15" t="n"/>
      <x:c r="C2" s="15" t="n"/>
      <x:c r="D2" s="15" t="n"/>
      <x:c r="E2" s="15" t="n"/>
      <x:c r="F2" s="15" t="n"/>
    </x:row>
    <x:row r="3">
      <x:c r="A3" s="2" t="n"/>
      <x:c r="B3" s="2" t="n"/>
      <x:c r="C3" s="2" t="n"/>
      <x:c r="D3" s="2" t="n"/>
      <x:c r="E3" s="2" t="n"/>
      <x:c r="F3" s="2" t="n"/>
    </x:row>
    <x:row r="4" ht="22" customHeight="1">
      <x:c r="A4" s="18" t="inlineStr">
        <x:is>
          <x:t xml:space="preserve">How to Use This Workbook</x:t>
        </x:is>
      </x:c>
      <x:c r="B4" s="15" t="n"/>
      <x:c r="C4" s="15" t="n"/>
      <x:c r="D4" s="15" t="n"/>
      <x:c r="E4" s="15" t="n"/>
      <x:c r="F4" s="15" t="n"/>
    </x:row>
    <x:row r="5">
      <x:c r="A5" s="2" t="inlineStr">
        <x:is>
          <x:t xml:space="preserve">1</x:t>
        </x:is>
      </x:c>
      <x:c r="B5" s="2" t="str">
        <x:v>Open the slide deck and workbook before class; use the slide number in Live You Try It to find each pause.</x:v>
      </x:c>
      <x:c r="C5" s="2" t="n"/>
      <x:c r="D5" s="2" t="n"/>
      <x:c r="E5" s="2" t="n"/>
      <x:c r="F5" s="2" t="n"/>
    </x:row>
    <x:row r="6">
      <x:c r="A6" s="2" t="inlineStr">
        <x:is>
          <x:t xml:space="preserve">2</x:t>
        </x:is>
      </x:c>
      <x:c r="B6" s="2" t="str">
        <x:v>Cells labeled INPUT use yellow fill. Enter the scenario givens there before building a formula.</x:v>
      </x:c>
      <x:c r="C6" s="2" t="n"/>
      <x:c r="D6" s="2" t="n"/>
      <x:c r="E6" s="2" t="n"/>
      <x:c r="F6" s="2" t="n"/>
    </x:row>
    <x:row r="7">
      <x:c r="A7" s="2" t="inlineStr">
        <x:is>
          <x:t xml:space="preserve">3</x:t>
        </x:is>
      </x:c>
      <x:c r="B7" s="2" t="str">
        <x:v>Cells labeled FORMULA / RESULT use blue fill. Build formulas with cell references; do not type the answer as a constant.</x:v>
      </x:c>
      <x:c r="C7" s="2" t="n"/>
      <x:c r="D7" s="2" t="n"/>
      <x:c r="E7" s="2" t="n"/>
      <x:c r="F7" s="2" t="n"/>
    </x:row>
    <x:row r="8">
      <x:c r="A8" s="2" t="inlineStr">
        <x:is>
          <x:t xml:space="preserve">4</x:t>
        </x:is>
      </x:c>
      <x:c r="B8" s="2" t="str">
        <x:v>Feedback checks the formula, required references, and value. A hardcoded value does not count as complete.</x:v>
      </x:c>
      <x:c r="C8" s="2" t="n"/>
      <x:c r="D8" s="2" t="n"/>
      <x:c r="E8" s="2" t="n"/>
      <x:c r="F8" s="2" t="n"/>
    </x:row>
    <x:row r="9">
      <x:c r="A9" s="2" t="inlineStr">
        <x:is>
          <x:t xml:space="preserve">5</x:t>
        </x:is>
      </x:c>
      <x:c r="B9" s="2" t="str">
        <x:v>Class Challenge deliverable: loan-term evidence, equal-contribution transfer formulas, and two written recommendations.</x:v>
      </x:c>
      <x:c r="C9" s="2" t="n"/>
      <x:c r="D9" s="2" t="n"/>
      <x:c r="E9" s="2" t="n"/>
      <x:c r="F9" s="2" t="n"/>
    </x:row>
    <x:row r="10">
      <x:c r="A10" s="2" t="n"/>
      <x:c r="B10" s="2" t="n"/>
      <x:c r="C10" s="2" t="n"/>
      <x:c r="D10" s="2" t="n"/>
      <x:c r="E10" s="2" t="n"/>
      <x:c r="F10" s="2" t="n"/>
    </x:row>
    <x:row r="11" ht="22" customHeight="1">
      <x:c r="A11" s="19" t="inlineStr">
        <x:is>
          <x:t xml:space="preserve">Required Public Tabs</x:t>
        </x:is>
      </x:c>
      <x:c r="B11" s="15" t="n"/>
      <x:c r="C11" s="15" t="n"/>
      <x:c r="D11" s="15" t="n"/>
      <x:c r="E11" s="15" t="n"/>
      <x:c r="F11" s="15" t="n"/>
    </x:row>
    <x:row r="12">
      <x:c r="A12" s="2" t="inlineStr">
        <x:is>
          <x:t xml:space="preserve">Live You Try It</x:t>
        </x:is>
      </x:c>
      <x:c r="B12" s="2" t="inlineStr">
        <x:is>
          <x:t xml:space="preserve">Self-graded practice with hints and feedback; not part of the private rubric.</x:t>
        </x:is>
      </x:c>
      <x:c r="C12" s="2" t="n"/>
      <x:c r="D12" s="2" t="n"/>
      <x:c r="E12" s="2" t="n"/>
      <x:c r="F12" s="2" t="n"/>
    </x:row>
    <x:row r="13">
      <x:c r="A13" s="2" t="inlineStr">
        <x:is>
          <x:t xml:space="preserve">Class Challenge</x:t>
        </x:is>
      </x:c>
      <x:c r="B13" s="2" t="inlineStr">
        <x:is>
          <x:t xml:space="preserve">The only graded/next-level activity tab.</x:t>
        </x:is>
      </x:c>
      <x:c r="C13" s="2" t="n"/>
      <x:c r="D13" s="2" t="n"/>
      <x:c r="E13" s="2" t="n"/>
      <x:c r="F13" s="2" t="n"/>
    </x:row>
    <x:row r="14">
      <x:c r="A14" s="2" t="inlineStr">
        <x:is>
          <x:t xml:space="preserve">FormulaReferenceCard</x:t>
        </x:is>
      </x:c>
      <x:c r="B14" s="2" t="inlineStr">
        <x:is>
          <x:t xml:space="preserve">Formula syntax reminders for this lesson.</x:t>
        </x:is>
      </x:c>
      <x:c r="C14" s="2" t="n"/>
      <x:c r="D14" s="2" t="n"/>
      <x:c r="E14" s="2" t="n"/>
      <x:c r="F14" s="2" t="n"/>
    </x:row>
    <x:row r="15">
      <x:c r="A15" s="2" t="n"/>
      <x:c r="B15" s="2" t="n"/>
      <x:c r="C15" s="2" t="n"/>
      <x:c r="D15" s="2" t="n"/>
      <x:c r="E15" s="2" t="n"/>
      <x:c r="F15" s="2" t="n"/>
    </x:row>
    <x:row r="16">
      <x:c r="A16" s="119" t="str">
        <x:v>Accessibility cue</x:v>
      </x:c>
      <x:c r="B16" s="119" t="str">
        <x:v>INPUT, FORMULA / RESULT, and FEEDBACK labels carry the meaning even if color is unavailable.</x:v>
      </x:c>
      <x:c r="C16" s="2" t="n"/>
      <x:c r="D16" s="2" t="n"/>
      <x:c r="E16" s="2" t="n"/>
      <x:c r="F16" s="2" t="n"/>
    </x:row>
    <x:row r="17" ht="32" customHeight="1">
      <x:c r="A17" s="154" t="str">
        <x:v>Model boundary</x:v>
      </x:c>
      <x:c r="B17" s="155" t="str">
        <x:v>Loan models use financed principal, a fixed nominal rate, level payments, and exclude taxes, insurance, fees, and prepayment.</x:v>
      </x:c>
      <x:c r="C17" s="155" t="n"/>
      <x:c r="D17" s="155" t="n"/>
      <x:c r="E17" s="155" t="n"/>
      <x:c r="F17" s="155" t="n"/>
    </x:row>
    <x:row r="18">
      <x:c r="A18" s="2" t="n">
        <x:v>1</x:v>
      </x:c>
      <x:c r="B18" s="2" t="inlineStr">
        <x:is>
          <x:t xml:space="preserve">Calculate loan payments with =PMT().</x:t>
        </x:is>
      </x:c>
      <x:c r="C18" s="2" t="n"/>
      <x:c r="D18" s="2" t="n"/>
      <x:c r="E18" s="2" t="n"/>
      <x:c r="F18" s="2" t="n"/>
    </x:row>
    <x:row r="19">
      <x:c r="A19" s="2" t="n">
        <x:v>2</x:v>
      </x:c>
      <x:c r="B19" s="2" t="inlineStr">
        <x:is>
          <x:t xml:space="preserve">Calculate total paid and total interest for a loan.</x:t>
        </x:is>
      </x:c>
      <x:c r="C19" s="2" t="n"/>
      <x:c r="D19" s="2" t="n"/>
      <x:c r="E19" s="2" t="n"/>
      <x:c r="F19" s="2" t="n"/>
    </x:row>
    <x:row r="20">
      <x:c r="A20" s="2" t="n">
        <x:v>3</x:v>
      </x:c>
      <x:c r="B20" s="2" t="inlineStr">
        <x:is>
          <x:t xml:space="preserve">Project savings balances using =FV() with payments.</x:t>
        </x:is>
      </x:c>
      <x:c r="C20" s="2" t="n"/>
      <x:c r="D20" s="2" t="n"/>
      <x:c r="E20" s="2" t="n"/>
      <x:c r="F20" s="2" t="n"/>
    </x:row>
    <x:row r="21">
      <x:c r="A21" s="2" t="n">
        <x:v>4</x:v>
      </x:c>
      <x:c r="B21" s="2" t="inlineStr">
        <x:is>
          <x:t xml:space="preserve">Value payment streams using =PV() with payments.</x:t>
        </x:is>
      </x:c>
      <x:c r="C21" s="2" t="n"/>
      <x:c r="D21" s="2" t="n"/>
      <x:c r="E21" s="2" t="n"/>
      <x:c r="F21" s="2" t="n"/>
    </x:row>
    <x:row r="22">
      <x:c r="A22" s="2" t="n"/>
      <x:c r="B22" s="2" t="n"/>
      <x:c r="C22" s="2" t="n"/>
      <x:c r="D22" s="2" t="n"/>
      <x:c r="E22" s="2" t="n"/>
      <x:c r="F22" s="2" t="n"/>
    </x:row>
  </x:sheetData>
  <x:mergeCells>
    <x:mergeCell ref="A2:F2"/>
    <x:mergeCell ref="A11:F11"/>
    <x:mergeCell ref="A1:F1"/>
    <x:mergeCell ref="A4:F4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38" customWidth="1"/>
    <x:col min="4" max="4" width="14" customWidth="1"/>
    <x:col min="5" max="5" width="14" customWidth="1"/>
    <x:col min="6" max="6" width="14" customWidth="1"/>
    <x:col min="7" max="7" width="14" customWidth="1"/>
    <x:col min="8" max="8" width="20" customWidth="1"/>
    <x:col min="9" max="9" width="34" customWidth="1"/>
    <x:col min="10" max="10" width="28" customWidth="1"/>
  </x:cols>
  <x:sheetData>
    <x:row r="1" ht="26" customHeight="1">
      <x:c r="A1" s="16" t="inlineStr">
        <x:is>
          <x:t xml:space="preserve">MATH-M09-L02 - Live You Try It</x:t>
        </x:is>
      </x:c>
      <x:c r="B1" s="15" t="n"/>
      <x:c r="C1" s="15" t="n"/>
      <x:c r="D1" s="15" t="n"/>
      <x:c r="E1" s="15" t="n"/>
      <x:c r="F1" s="15" t="n"/>
      <x:c r="G1" s="15" t="n"/>
      <x:c r="H1" s="15" t="n"/>
      <x:c r="I1" s="15" t="n"/>
      <x:c r="J1" s="15" t="n"/>
    </x:row>
    <x:row r="2" ht="32" customHeight="1">
      <x:c r="A2" s="17" t="inlineStr">
        <x:is>
          <x:t xml:space="preserve">Self-graded Excel pauses. Enter slide givens into yellow cells, then build formulas with cell references.</x:t>
        </x:is>
      </x:c>
      <x:c r="B2" s="15" t="n"/>
      <x:c r="C2" s="15" t="n"/>
      <x:c r="D2" s="15" t="n"/>
      <x:c r="E2" s="15" t="n"/>
      <x:c r="F2" s="15" t="n"/>
      <x:c r="G2" s="15" t="n"/>
      <x:c r="H2" s="15" t="n"/>
      <x:c r="I2" s="15" t="n"/>
      <x:c r="J2" s="15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</x:row>
    <x:row r="4" ht="22" customHeight="1">
      <x:c r="A4" s="18" t="inlineStr">
        <x:is>
          <x:t xml:space="preserve">Practice Rows</x:t>
        </x:is>
      </x:c>
      <x:c r="B4" s="15" t="n"/>
      <x:c r="C4" s="15" t="n"/>
      <x:c r="D4" s="15" t="n"/>
      <x:c r="E4" s="15" t="n"/>
      <x:c r="F4" s="15" t="n"/>
      <x:c r="G4" s="15" t="n"/>
      <x:c r="H4" s="15" t="n"/>
      <x:c r="I4" s="15" t="n"/>
      <x:c r="J4" s="15" t="n"/>
    </x:row>
    <x:row r="5" ht="32" customHeight="1">
      <x:c r="A5" s="7" t="str">
        <x:v>Pause</x:v>
      </x:c>
      <x:c r="B5" s="7" t="str">
        <x:v>Slide</x:v>
      </x:c>
      <x:c r="C5" s="7" t="str">
        <x:v>Build This</x:v>
      </x:c>
      <x:c r="D5" s="7" t="str">
        <x:v>Amount / Payment</x:v>
      </x:c>
      <x:c r="E5" s="7" t="str">
        <x:v>Annual Rate</x:v>
      </x:c>
      <x:c r="F5" s="7" t="str">
        <x:v>Years</x:v>
      </x:c>
      <x:c r="G5" s="7" t="str">
        <x:v>Periods / Year</x:v>
      </x:c>
      <x:c r="H5" s="7" t="str">
        <x:v>FORMULA / RESULT</x:v>
      </x:c>
      <x:c r="I5" s="7" t="str">
        <x:v>Formula Hint</x:v>
      </x:c>
      <x:c r="J5" s="7" t="str">
        <x:v>FEEDBACK</x:v>
      </x:c>
    </x:row>
    <x:row r="6">
      <x:c r="A6" s="2" t="str">
        <x:v>Mortgage</x:v>
      </x:c>
      <x:c r="B6" s="2" t="str">
        <x:v>10</x:v>
      </x:c>
      <x:c r="C6" s="2" t="str">
        <x:v>Calculate the monthly payment for the instructor model.</x:v>
      </x:c>
      <x:c r="D6" s="122" t="n">
        <x:v>320000</x:v>
      </x:c>
      <x:c r="E6" s="123" t="n">
        <x:v>0.065</x:v>
      </x:c>
      <x:c r="F6" s="124" t="n">
        <x:v>30</x:v>
      </x:c>
      <x:c r="G6" s="124" t="n">
        <x:v>12</x:v>
      </x:c>
      <x:c r="H6" s="128"/>
      <x:c r="I6" s="10" t="str">
        <x:v>Use monthly rate and total months in PMT.</x:v>
      </x:c>
      <x:c r="J6" s="11" t="str">
        <x:f>IF(H6="","Enter the PMT formula.",IF(NOT(ISFORMULA(H6)),"Correct values must be built with a formula.",IF(AND(ABS(H6-(-2022.617675))&lt;0.02,ISNUMBER(SEARCH("D6",FORMULATEXT(H6))),ISNUMBER(SEARCH("E6",FORMULATEXT(H6))),ISNUMBER(SEARCH("F6",FORMULATEXT(H6))),ISNUMBER(SEARCH("G6",FORMULATEXT(H6)))),"Correct formula, references, and value.","Check D6:G6, monthly timing, and borrower-perspective signs.")))</x:f>
        <x:v>Enter the PMT formula.</x:v>
      </x:c>
    </x:row>
    <x:row r="7">
      <x:c r="A7" s="2" t="str">
        <x:v>Mortgage</x:v>
      </x:c>
      <x:c r="B7" s="2" t="str">
        <x:v>11</x:v>
      </x:c>
      <x:c r="C7" s="2" t="str">
        <x:v>Calculate total paid over the loan.</x:v>
      </x:c>
      <x:c r="D7" s="125" t="n">
        <x:v>320000</x:v>
      </x:c>
      <x:c r="E7" s="126" t="n">
        <x:v>0.065</x:v>
      </x:c>
      <x:c r="F7" s="127" t="n">
        <x:v>30</x:v>
      </x:c>
      <x:c r="G7" s="127" t="n">
        <x:v>12</x:v>
      </x:c>
      <x:c r="H7" s="129"/>
      <x:c r="I7" s="10" t="str">
        <x:v>Use the payment cell and the period inputs.</x:v>
      </x:c>
      <x:c r="J7" s="11" t="str">
        <x:f>IF(H7="","Enter the total-paid formula.",IF(NOT(ISFORMULA(H7)),"Correct values must be built with a formula.",IF(AND(ABS(H7-(728142.363))&lt;0.02,ISNUMBER(SEARCH("H6",FORMULATEXT(H7))),ISNUMBER(SEARCH("F7",FORMULATEXT(H7))),ISNUMBER(SEARCH("G7",FORMULATEXT(H7)))),"Correct formula, references, and value.","Reference H6 and the period inputs; keep the unrounded payment.")))</x:f>
        <x:v>Enter the total-paid formula.</x:v>
      </x:c>
    </x:row>
    <x:row r="8">
      <x:c r="A8" s="2" t="str">
        <x:v>Mortgage</x:v>
      </x:c>
      <x:c r="B8" s="2" t="str">
        <x:v>11</x:v>
      </x:c>
      <x:c r="C8" s="2" t="str">
        <x:v>Calculate total interest.</x:v>
      </x:c>
      <x:c r="D8" s="125" t="n">
        <x:v>320000</x:v>
      </x:c>
      <x:c r="E8" s="126" t="n">
        <x:v>0.065</x:v>
      </x:c>
      <x:c r="F8" s="127" t="n">
        <x:v>30</x:v>
      </x:c>
      <x:c r="G8" s="127" t="n">
        <x:v>12</x:v>
      </x:c>
      <x:c r="H8" s="129"/>
      <x:c r="I8" s="10" t="str">
        <x:v>Reference total paid and principal.</x:v>
      </x:c>
      <x:c r="J8" s="11" t="str">
        <x:f>IF(H8="","Enter the total-interest formula.",IF(NOT(ISFORMULA(H8)),"Correct values must be built with a formula.",IF(AND(ABS(H8-(408142.363))&lt;0.02,ISNUMBER(SEARCH("H7",FORMULATEXT(H8))),ISNUMBER(SEARCH("D8",FORMULATEXT(H8)))),"Correct formula, references, and value.","Subtract the principal in D8 from total paid in H7.")))</x:f>
        <x:v>Enter the total-interest formula.</x:v>
      </x:c>
    </x:row>
    <x:row r="9">
      <x:c r="A9" s="2" t="str">
        <x:v>Savings</x:v>
      </x:c>
      <x:c r="B9" s="2" t="str">
        <x:v>15</x:v>
      </x:c>
      <x:c r="C9" s="2" t="str">
        <x:v>Project retirement value from monthly deposits.</x:v>
      </x:c>
      <x:c r="D9" s="125" t="n">
        <x:v>500</x:v>
      </x:c>
      <x:c r="E9" s="126" t="n">
        <x:v>0.07</x:v>
      </x:c>
      <x:c r="F9" s="127" t="n">
        <x:v>30</x:v>
      </x:c>
      <x:c r="G9" s="127" t="n">
        <x:v>12</x:v>
      </x:c>
      <x:c r="H9" s="129"/>
      <x:c r="I9" s="10" t="str">
        <x:v>Monthly contribution is an outflow in FV.</x:v>
      </x:c>
      <x:c r="J9" s="11" t="str">
        <x:f>IF(H9="","Enter the FV formula.",IF(NOT(ISFORMULA(H9)),"Correct values must be built with a formula.",IF(AND(ABS(H9-(609985.5))&lt;0.02,ISNUMBER(SEARCH("D9",FORMULATEXT(H9))),ISNUMBER(SEARCH("E9",FORMULATEXT(H9))),ISNUMBER(SEARCH("F9",FORMULATEXT(H9))),ISNUMBER(SEARCH("G9",FORMULATEXT(H9)))),"Correct formula, references, and value.","Use D9:G9 and treat the monthly contribution as an outflow.")))</x:f>
        <x:v>Enter the FV formula.</x:v>
      </x:c>
    </x:row>
    <x:row r="10">
      <x:c r="A10" s="2" t="str">
        <x:v>Savings</x:v>
      </x:c>
      <x:c r="B10" s="2" t="str">
        <x:v>15</x:v>
      </x:c>
      <x:c r="C10" s="2" t="str">
        <x:v>Calculate total contributed.</x:v>
      </x:c>
      <x:c r="D10" s="125" t="n">
        <x:v>500</x:v>
      </x:c>
      <x:c r="E10" s="126" t="n">
        <x:v>0.07</x:v>
      </x:c>
      <x:c r="F10" s="127" t="n">
        <x:v>30</x:v>
      </x:c>
      <x:c r="G10" s="127" t="n">
        <x:v>12</x:v>
      </x:c>
      <x:c r="H10" s="129"/>
      <x:c r="I10" s="10" t="str">
        <x:v>Monthly deposit times total months.</x:v>
      </x:c>
      <x:c r="J10" s="11" t="str">
        <x:f>IF(H10="","Enter total contributed.",IF(NOT(ISFORMULA(H10)),"Correct values must be built with a formula.",IF(AND(ABS(H10-(180000))&lt;0.02,ISNUMBER(SEARCH("D10",FORMULATEXT(H10))),ISNUMBER(SEARCH("F10",FORMULATEXT(H10))),ISNUMBER(SEARCH("G10",FORMULATEXT(H10)))),"Correct formula, references, and value.","Multiply the contribution by years and periods per year.")))</x:f>
        <x:v>Enter total contributed.</x:v>
      </x:c>
    </x:row>
    <x:row r="11">
      <x:c r="A11" s="2" t="str">
        <x:v>Payment Stream</x:v>
      </x:c>
      <x:c r="B11" s="2" t="str">
        <x:v>16</x:v>
      </x:c>
      <x:c r="C11" s="2" t="str">
        <x:v>Value the $1,500 monthly payment stream.</x:v>
      </x:c>
      <x:c r="D11" s="125" t="n">
        <x:v>1500</x:v>
      </x:c>
      <x:c r="E11" s="126" t="n">
        <x:v>0.05</x:v>
      </x:c>
      <x:c r="F11" s="127" t="n">
        <x:v>10</x:v>
      </x:c>
      <x:c r="G11" s="127" t="n">
        <x:v>12</x:v>
      </x:c>
      <x:c r="H11" s="129"/>
      <x:c r="I11" s="10" t="str">
        <x:v>Payment received is positive; interpret the PV sign by perspective.</x:v>
      </x:c>
      <x:c r="J11" s="11" t="str">
        <x:f>IF(H11="","Enter the PV formula.",IF(NOT(ISFORMULA(H11)),"Correct values must be built with a formula.",IF(AND(ABS(H11-(-141422.03))&lt;0.02,ISNUMBER(SEARCH("D11",FORMULATEXT(H11))),ISNUMBER(SEARCH("E11",FORMULATEXT(H11))),ISNUMBER(SEARCH("F11",FORMULATEXT(H11))),ISNUMBER(SEARCH("G11",FORMULATEXT(H11)))),"Correct formula, references, and value.","Use the received payment as positive and interpret the negative PV by perspective.")))</x:f>
        <x:v>Enter the PV formula.</x:v>
      </x:c>
    </x:row>
    <x:row r="12">
      <x:c r="A12" s="2" t="str">
        <x:v>Timing</x:v>
      </x:c>
      <x:c r="B12" s="2" t="str">
        <x:v>6</x:v>
      </x:c>
      <x:c r="C12" s="2" t="str">
        <x:v>Ordinary annuity payment for $25,000 at 6% over 60 months.</x:v>
      </x:c>
      <x:c r="D12" s="125" t="n">
        <x:v>25000</x:v>
      </x:c>
      <x:c r="E12" s="126" t="n">
        <x:v>0.06</x:v>
      </x:c>
      <x:c r="F12" s="127" t="n">
        <x:v>5</x:v>
      </x:c>
      <x:c r="G12" s="127" t="n">
        <x:v>12</x:v>
      </x:c>
      <x:c r="H12" s="129"/>
      <x:c r="I12" s="10" t="str">
        <x:v>Use type=0 for end-of-period payments.</x:v>
      </x:c>
      <x:c r="J12" s="11" t="str">
        <x:f>IF(H12="","Enter the ordinary-annuity PMT.",IF(NOT(ISFORMULA(H12)),"Correct values must be built with a formula.",IF(AND(ABS(H12-(-483.32))&lt;0.02,ISNUMBER(SEARCH("D12",FORMULATEXT(H12))),ISNUMBER(SEARCH("E12",FORMULATEXT(H12))),ISNUMBER(SEARCH("F12",FORMULATEXT(H12))),ISNUMBER(SEARCH("G12",FORMULATEXT(H12)))),"Correct formula, references, and value.","Use D12:G12 and type=0.")))</x:f>
        <x:v>Enter the ordinary-annuity PMT.</x:v>
      </x:c>
    </x:row>
    <x:row r="13">
      <x:c r="A13" s="2" t="str">
        <x:v>Timing</x:v>
      </x:c>
      <x:c r="B13" s="2" t="str">
        <x:v>6</x:v>
      </x:c>
      <x:c r="C13" s="2" t="str">
        <x:v>Annuity-due payment for the same loan.</x:v>
      </x:c>
      <x:c r="D13" s="125" t="n">
        <x:v>25000</x:v>
      </x:c>
      <x:c r="E13" s="126" t="n">
        <x:v>0.06</x:v>
      </x:c>
      <x:c r="F13" s="127" t="n">
        <x:v>5</x:v>
      </x:c>
      <x:c r="G13" s="127" t="n">
        <x:v>12</x:v>
      </x:c>
      <x:c r="H13" s="130"/>
      <x:c r="I13" s="10" t="str">
        <x:v>Use type=1 for beginning-of-period payments.</x:v>
      </x:c>
      <x:c r="J13" s="11" t="str">
        <x:f>IF(H13="","Enter the annuity-due PMT.",IF(NOT(ISFORMULA(H13)),"Correct values must be built with a formula.",IF(AND(ABS(H13-(-480.92))&lt;0.02,ISNUMBER(SEARCH("D13",FORMULATEXT(H13))),ISNUMBER(SEARCH("E13",FORMULATEXT(H13))),ISNUMBER(SEARCH("F13",FORMULATEXT(H13))),ISNUMBER(SEARCH("G13",FORMULATEXT(H13)))),"Correct formula, references, and value.","Use D13:G13 and type=1.")))</x:f>
        <x:v>Enter the annuity-due PMT.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131" t="str">
        <x:v>Self-check score</x:v>
      </x:c>
      <x:c r="B15" s="131" t="str">
        <x:f>COUNTIF(J6:J13,"Correct formula*")&amp;" of 8 complete"</x:f>
        <x:v>0 of 8 complete</x:v>
      </x:c>
      <x:c r="C15" s="2"/>
      <x:c r="D15" s="2"/>
      <x:c r="E15" s="2"/>
      <x:c r="F15" s="2"/>
      <x:c r="G15" s="2"/>
      <x:c r="H15" s="2"/>
      <x:c r="I15" s="2"/>
      <x:c r="J15" s="2"/>
    </x:row>
  </x:sheetData>
  <x:mergeCells>
    <x:mergeCell ref="A1:J1"/>
    <x:mergeCell ref="A4:J4"/>
    <x:mergeCell ref="A2:J2"/>
  </x:mergeCells>
  <x:conditionalFormatting sqref="J6:J13">
    <x:cfRule type="containsText" dxfId="4" priority="1" operator="containsText" text="Correct formula"/>
    <x:cfRule type="containsText" dxfId="5" priority="2" operator="containsText" text="Che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58" customWidth="1"/>
    <x:col min="3" max="3" width="12" customWidth="1"/>
    <x:col min="4" max="4" width="12" customWidth="1"/>
    <x:col min="5" max="5" width="12" customWidth="1"/>
    <x:col min="6" max="6" width="12" customWidth="1"/>
    <x:col min="7" max="7" width="18" customWidth="1"/>
    <x:col min="8" max="8" width="34" customWidth="1"/>
    <x:col min="9" max="9" width="34" hidden="1" customWidth="1"/>
  </x:cols>
  <x:sheetData>
    <x:row r="1" ht="26" customHeight="1">
      <x:c r="A1" s="16" t="inlineStr">
        <x:is>
          <x:t xml:space="preserve">MATH-M09-L02 - Class Challenge</x:t>
        </x:is>
      </x:c>
      <x:c r="B1" s="15" t="n"/>
      <x:c r="C1" s="15" t="n"/>
      <x:c r="D1" s="15" t="n"/>
      <x:c r="E1" s="15" t="n"/>
      <x:c r="F1" s="15" t="n"/>
      <x:c r="G1" s="15" t="n"/>
      <x:c r="H1" s="15" t="n"/>
      <x:c r="I1" s="15" t="n"/>
    </x:row>
    <x:row r="2" ht="42" customHeight="1">
      <x:c r="A2" s="17" t="str">
        <x:v>Complete two decision cases. Case 1: pairs, 8 minutes, loan-term evidence plus recommendation. Case 2: individual, 8 minutes, equal total contributions plus recommendation. Debrief by formula-bar audit and evidence share.</x:v>
      </x:c>
      <x:c r="B2" s="15" t="n"/>
      <x:c r="C2" s="15" t="n"/>
      <x:c r="D2" s="15" t="n"/>
      <x:c r="E2" s="15" t="n"/>
      <x:c r="F2" s="15" t="n"/>
      <x:c r="G2" s="15" t="n"/>
      <x:c r="H2" s="15" t="n"/>
      <x:c r="I2" s="15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</x:row>
    <x:row r="4" ht="22" customHeight="1">
      <x:c r="A4" s="20" t="inlineStr">
        <x:is>
          <x:t xml:space="preserve">Graded / Next-Level Activity</x:t>
        </x:is>
      </x:c>
      <x:c r="B4" s="15" t="n"/>
      <x:c r="C4" s="15" t="n"/>
      <x:c r="D4" s="15" t="n"/>
      <x:c r="E4" s="15" t="n"/>
      <x:c r="F4" s="15" t="n"/>
      <x:c r="G4" s="15" t="n"/>
      <x:c r="H4" s="15" t="n"/>
      <x:c r="I4" s="15" t="n"/>
    </x:row>
    <x:row r="5" ht="32" customHeight="1">
      <x:c r="A5" s="7" t="str">
        <x:v>#</x:v>
      </x:c>
      <x:c r="B5" s="7" t="str">
        <x:v>Scenario</x:v>
      </x:c>
      <x:c r="C5" s="7" t="str">
        <x:v>Amount / Payment</x:v>
      </x:c>
      <x:c r="D5" s="7" t="str">
        <x:v>Annual Rate</x:v>
      </x:c>
      <x:c r="E5" s="7" t="str">
        <x:v>Years</x:v>
      </x:c>
      <x:c r="F5" s="7" t="str">
        <x:v>Periods / Year</x:v>
      </x:c>
      <x:c r="G5" s="7" t="str">
        <x:v>FORMULA / RESULT</x:v>
      </x:c>
      <x:c r="H5" s="7" t="str">
        <x:v>Decision Evidence / Hint</x:v>
      </x:c>
      <x:c r="I5" s="7" t="str">
        <x:v>Instructor use - leave blank</x:v>
      </x:c>
    </x:row>
    <x:row r="6" ht="48" customHeight="1">
      <x:c r="A6" s="21" t="n">
        <x:v>1</x:v>
      </x:c>
      <x:c r="B6" s="22" t="str">
        <x:v>30-year option: calculate the monthly mortgage payment.</x:v>
      </x:c>
      <x:c r="C6" s="146" t="n">
        <x:v>320000</x:v>
      </x:c>
      <x:c r="D6" s="147" t="n">
        <x:v>0.065</x:v>
      </x:c>
      <x:c r="E6" s="148" t="n">
        <x:v>30</x:v>
      </x:c>
      <x:c r="F6" s="148" t="n">
        <x:v>12</x:v>
      </x:c>
      <x:c r="G6" s="149"/>
      <x:c r="H6" s="10" t="str">
        <x:v>Use PMT with monthly timing; report the Excel cash-flow sign.</x:v>
      </x:c>
      <x:c r="I6" s="12"/>
    </x:row>
    <x:row r="7" ht="48" customHeight="1">
      <x:c r="A7" s="21" t="n">
        <x:v>2</x:v>
      </x:c>
      <x:c r="B7" s="22" t="str">
        <x:v>30-year option: calculate total interest.</x:v>
      </x:c>
      <x:c r="C7" s="146" t="n">
        <x:v>320000</x:v>
      </x:c>
      <x:c r="D7" s="147" t="n">
        <x:v>0.065</x:v>
      </x:c>
      <x:c r="E7" s="148" t="n">
        <x:v>30</x:v>
      </x:c>
      <x:c r="F7" s="148" t="n">
        <x:v>12</x:v>
      </x:c>
      <x:c r="G7" s="149"/>
      <x:c r="H7" s="10" t="str">
        <x:v>Reference the payment result and principal.</x:v>
      </x:c>
      <x:c r="I7" s="12"/>
    </x:row>
    <x:row r="8" ht="48" customHeight="1">
      <x:c r="A8" s="21" t="n">
        <x:v>3</x:v>
      </x:c>
      <x:c r="B8" s="22" t="str">
        <x:v>10-year option: calculate the monthly mortgage payment.</x:v>
      </x:c>
      <x:c r="C8" s="146" t="n">
        <x:v>320000</x:v>
      </x:c>
      <x:c r="D8" s="147" t="n">
        <x:v>0.065</x:v>
      </x:c>
      <x:c r="E8" s="148" t="n">
        <x:v>10</x:v>
      </x:c>
      <x:c r="F8" s="148" t="n">
        <x:v>12</x:v>
      </x:c>
      <x:c r="G8" s="149"/>
      <x:c r="H8" s="10" t="str">
        <x:v>Use the same principal and rate with a shorter term.</x:v>
      </x:c>
      <x:c r="I8" s="12"/>
    </x:row>
    <x:row r="9" ht="34" customHeight="1">
      <x:c r="A9" s="21" t="n">
        <x:v>4</x:v>
      </x:c>
      <x:c r="B9" s="22" t="str">
        <x:v>10-year option: calculate total interest.</x:v>
      </x:c>
      <x:c r="C9" s="146" t="n">
        <x:v>320000</x:v>
      </x:c>
      <x:c r="D9" s="147" t="n">
        <x:v>0.065</x:v>
      </x:c>
      <x:c r="E9" s="148" t="n">
        <x:v>10</x:v>
      </x:c>
      <x:c r="F9" s="148" t="n">
        <x:v>12</x:v>
      </x:c>
      <x:c r="G9" s="149"/>
      <x:c r="H9" s="10" t="str">
        <x:v>Reference the 10-year payment result and principal.</x:v>
      </x:c>
      <x:c r="I9" s="12"/>
    </x:row>
    <x:row r="10" ht="62" customHeight="1">
      <x:c r="A10" s="21" t="n">
        <x:v>5</x:v>
      </x:c>
      <x:c r="B10" s="22" t="str">
        <x:v>Calculate interest saved by choosing 10 years instead of 30 years.</x:v>
      </x:c>
      <x:c r="C10" s="23"/>
      <x:c r="D10" s="23"/>
      <x:c r="E10" s="23"/>
      <x:c r="F10" s="23"/>
      <x:c r="G10" s="149"/>
      <x:c r="H10" s="10" t="str">
        <x:v>Reference the two total-interest cells.</x:v>
      </x:c>
      <x:c r="I10" s="12"/>
    </x:row>
    <x:row r="11" ht="48" customHeight="1">
      <x:c r="A11" s="21" t="n">
        <x:v>6</x:v>
      </x:c>
      <x:c r="B11" s="22" t="str">
        <x:v>Recommendation: which term fits a client prioritizing monthly flexibility? Which fits minimizing lifetime cost?</x:v>
      </x:c>
      <x:c r="C11" s="23"/>
      <x:c r="D11" s="23"/>
      <x:c r="E11" s="23"/>
      <x:c r="F11" s="23"/>
      <x:c r="G11" s="149"/>
      <x:c r="H11" s="10" t="str">
        <x:v>Write two complete sentences using payment and interest evidence.</x:v>
      </x:c>
      <x:c r="I11" s="12"/>
    </x:row>
    <x:row r="12" ht="62" customHeight="1">
      <x:c r="A12" s="141" t="str">
        <x:v>Independent transfer - same $50,000 total contribution, different timing</x:v>
      </x:c>
      <x:c r="B12" s="142"/>
      <x:c r="C12" s="141"/>
      <x:c r="D12" s="141"/>
      <x:c r="E12" s="141"/>
      <x:c r="F12" s="141"/>
      <x:c r="G12" s="151"/>
      <x:c r="H12" s="144"/>
      <x:c r="I12" s="144"/>
    </x:row>
    <x:row r="13" ht="34" customHeight="1">
      <x:c r="A13" s="21" t="n">
        <x:v>7</x:v>
      </x:c>
      <x:c r="B13" s="22" t="str">
        <x:v>Invest $50,000 today at 6% compounded monthly for 10 years.</x:v>
      </x:c>
      <x:c r="C13" s="146" t="n">
        <x:v>50000</x:v>
      </x:c>
      <x:c r="D13" s="147" t="n">
        <x:v>0.06</x:v>
      </x:c>
      <x:c r="E13" s="148" t="n">
        <x:v>10</x:v>
      </x:c>
      <x:c r="F13" s="148" t="n">
        <x:v>12</x:v>
      </x:c>
      <x:c r="G13" s="149"/>
      <x:c r="H13" s="10" t="str">
        <x:v>Use FV with a lump-sum present value.</x:v>
      </x:c>
      <x:c r="I13" s="12"/>
    </x:row>
    <x:row r="14" ht="48" customHeight="1">
      <x:c r="A14" s="21" t="n">
        <x:v>8</x:v>
      </x:c>
      <x:c r="B14" s="22" t="str">
        <x:v>Invest $416.6667 at each month-end for 10 years at 6%, monthly compounding.</x:v>
      </x:c>
      <x:c r="C14" s="146" t="n">
        <x:v>416.6666667</x:v>
      </x:c>
      <x:c r="D14" s="147" t="n">
        <x:v>0.06</x:v>
      </x:c>
      <x:c r="E14" s="148" t="n">
        <x:v>10</x:v>
      </x:c>
      <x:c r="F14" s="148" t="n">
        <x:v>12</x:v>
      </x:c>
      <x:c r="G14" s="149"/>
      <x:c r="H14" s="10" t="str">
        <x:v>Use FV with a recurring payment; total nominal contributions equal $50,000.</x:v>
      </x:c>
      <x:c r="I14" s="12"/>
    </x:row>
    <x:row r="15" ht="48" customHeight="1">
      <x:c r="A15" s="21" t="n">
        <x:v>9</x:v>
      </x:c>
      <x:c r="B15" s="22" t="str">
        <x:v>Calculate the ending-balance difference caused by timing.</x:v>
      </x:c>
      <x:c r="C15" s="23"/>
      <x:c r="D15" s="23"/>
      <x:c r="E15" s="23"/>
      <x:c r="F15" s="23"/>
      <x:c r="G15" s="149"/>
      <x:c r="H15" s="10" t="str">
        <x:v>Reference the two result cells.</x:v>
      </x:c>
      <x:c r="I15" s="12"/>
    </x:row>
    <x:row r="16" ht="48" customHeight="1">
      <x:c r="A16" s="21" t="n">
        <x:v>10</x:v>
      </x:c>
      <x:c r="B16" s="22" t="str">
        <x:v>Recommendation: explain why equal contributions produce different ending balances.</x:v>
      </x:c>
      <x:c r="C16" s="23"/>
      <x:c r="D16" s="23"/>
      <x:c r="E16" s="23"/>
      <x:c r="F16" s="23"/>
      <x:c r="G16" s="149"/>
      <x:c r="H16" s="10" t="str">
        <x:v>Write two complete sentences using timing and dollar evidence.</x:v>
      </x:c>
      <x:c r="I16" s="12"/>
    </x:row>
    <x:row r="17" ht="34" customHeight="1">
      <x:c r="A17" s="137"/>
      <x:c r="B17" s="138"/>
      <x:c r="C17" s="137"/>
      <x:c r="D17" s="137"/>
      <x:c r="E17" s="137"/>
      <x:c r="F17" s="137"/>
      <x:c r="G17" s="139"/>
      <x:c r="H17" s="140"/>
      <x:c r="I17" s="140"/>
    </x:row>
    <x:row r="18" ht="48" customHeight="1">
      <x:c r="A18" s="137"/>
      <x:c r="B18" s="138"/>
      <x:c r="C18" s="137"/>
      <x:c r="D18" s="137"/>
      <x:c r="E18" s="137"/>
      <x:c r="F18" s="137"/>
      <x:c r="G18" s="139"/>
      <x:c r="H18" s="140"/>
      <x:c r="I18" s="140"/>
    </x:row>
    <x:row r="19" ht="34" customHeight="1">
      <x:c r="A19" s="137"/>
      <x:c r="B19" s="138"/>
      <x:c r="C19" s="137"/>
      <x:c r="D19" s="137"/>
      <x:c r="E19" s="137"/>
      <x:c r="F19" s="137"/>
      <x:c r="G19" s="139"/>
      <x:c r="H19" s="140"/>
      <x:c r="I19" s="140"/>
    </x:row>
    <x:row r="20" ht="34" customHeight="1">
      <x:c r="A20" s="137"/>
      <x:c r="B20" s="138"/>
      <x:c r="C20" s="137"/>
      <x:c r="D20" s="137"/>
      <x:c r="E20" s="137"/>
      <x:c r="F20" s="137"/>
      <x:c r="G20" s="139"/>
      <x:c r="H20" s="140"/>
      <x:c r="I20" s="140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  <x:c r="I21" s="2" t="n"/>
    </x:row>
  </x:sheetData>
  <x:mergeCells>
    <x:mergeCell ref="A1:I1"/>
    <x:mergeCell ref="A4:I4"/>
    <x:mergeCell ref="A2:I2"/>
    <x:mergeCell ref="A12:I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5" customWidth="1"/>
    <x:col min="3" max="3" width="42" customWidth="1"/>
    <x:col min="4" max="4" width="38" customWidth="1"/>
  </x:cols>
  <x:sheetData>
    <x:row r="1" ht="26" customHeight="1">
      <x:c r="A1" s="16" t="inlineStr">
        <x:is>
          <x:t xml:space="preserve">MATH-M09-L02 - Formula Reference Card</x:t>
        </x:is>
      </x:c>
      <x:c r="B1" s="15" t="n"/>
      <x:c r="C1" s="15" t="n"/>
      <x:c r="D1" s="15" t="n"/>
    </x:row>
    <x:row r="2" ht="32" customHeight="1">
      <x:c r="A2" s="17" t="inlineStr">
        <x:is>
          <x:t xml:space="preserve">Syntax reminders. Decide which formula fits before using the card.</x:t>
        </x:is>
      </x:c>
      <x:c r="B2" s="15" t="n"/>
      <x:c r="C2" s="15" t="n"/>
      <x:c r="D2" s="15" t="n"/>
    </x:row>
    <x:row r="3">
      <x:c r="A3" s="2" t="n"/>
      <x:c r="B3" s="2" t="n"/>
      <x:c r="C3" s="2" t="n"/>
      <x:c r="D3" s="2" t="n"/>
    </x:row>
    <x:row r="4" ht="32" customHeight="1">
      <x:c r="A4" s="7" t="inlineStr">
        <x:is>
          <x:t xml:space="preserve">Concept</x:t>
        </x:is>
      </x:c>
      <x:c r="B4" s="7" t="inlineStr">
        <x:is>
          <x:t xml:space="preserve">Excel Pattern</x:t>
        </x:is>
      </x:c>
      <x:c r="C4" s="7" t="inlineStr">
        <x:is>
          <x:t xml:space="preserve">Plain-English Meaning</x:t>
        </x:is>
      </x:c>
      <x:c r="D4" s="7" t="inlineStr">
        <x:is>
          <x:t xml:space="preserve">Watch Out For</x:t>
        </x:is>
      </x:c>
    </x:row>
    <x:row r="5">
      <x:c r="A5" s="2" t="inlineStr">
        <x:is>
          <x:t xml:space="preserve">Monthly loan payment</x:t>
        </x:is>
      </x:c>
      <x:c r="B5" s="26" t="str">
        <x:v>=PMT(rate/12,years*12,pv,0)</x:v>
      </x:c>
      <x:c r="C5" s="2" t="inlineStr">
        <x:is>
          <x:t xml:space="preserve">Calculates the required monthly loan payment.</x:t>
        </x:is>
      </x:c>
      <x:c r="D5" s="2" t="str">
        <x:v>The sign depends on perspective; a borrower-perspective payment is normally negative.</x:v>
      </x:c>
    </x:row>
    <x:row r="6">
      <x:c r="A6" s="2" t="inlineStr">
        <x:is>
          <x:t xml:space="preserve">Total paid</x:t>
        </x:is>
      </x:c>
      <x:c r="B6" s="26" t="str">
        <x:v>=ABS(PMT)*Nper</x:v>
      </x:c>
      <x:c r="C6" s="2" t="inlineStr">
        <x:is>
          <x:t xml:space="preserve">Multiplies payment by the number of periods.</x:t>
        </x:is>
      </x:c>
      <x:c r="D6" s="2" t="inlineStr">
        <x:is>
          <x:t xml:space="preserve">Use ABS so the comparison is positive.</x:t>
        </x:is>
      </x:c>
    </x:row>
    <x:row r="7">
      <x:c r="A7" s="2" t="inlineStr">
        <x:is>
          <x:t xml:space="preserve">Total interest</x:t>
        </x:is>
      </x:c>
      <x:c r="B7" s="26" t="str">
        <x:v>=TotalPaid-PV</x:v>
      </x:c>
      <x:c r="C7" s="2" t="inlineStr">
        <x:is>
          <x:t xml:space="preserve">Shows borrowing cost above the original loan amount.</x:t>
        </x:is>
      </x:c>
      <x:c r="D7" s="2" t="inlineStr">
        <x:is>
          <x:t xml:space="preserve">Use the original PV, not the future balance.</x:t>
        </x:is>
      </x:c>
    </x:row>
    <x:row r="8">
      <x:c r="A8" s="2" t="inlineStr">
        <x:is>
          <x:t xml:space="preserve">Savings required payment</x:t>
        </x:is>
      </x:c>
      <x:c r="B8" s="26" t="str">
        <x:v>=PMT(rate/12,years*12,0,fv)</x:v>
      </x:c>
      <x:c r="C8" s="2" t="inlineStr">
        <x:is>
          <x:t xml:space="preserve">Finds the monthly deposit needed to reach a goal.</x:t>
        </x:is>
      </x:c>
      <x:c r="D8" s="2" t="inlineStr">
        <x:is>
          <x:t xml:space="preserve">Use fv as the goal and pv as zero if starting from zero.</x:t>
        </x:is>
      </x:c>
    </x:row>
    <x:row r="9">
      <x:c r="A9" s="2" t="inlineStr">
        <x:is>
          <x:t xml:space="preserve">Future value with payments</x:t>
        </x:is>
      </x:c>
      <x:c r="B9" s="26" t="str">
        <x:v>=FV(rate/12,years*12,-pmt,-pv)</x:v>
      </x:c>
      <x:c r="C9" s="2" t="inlineStr">
        <x:is>
          <x:t xml:space="preserve">Projects savings with repeated deposits.</x:t>
        </x:is>
      </x:c>
      <x:c r="D9" s="2" t="inlineStr">
        <x:is>
          <x:t xml:space="preserve">Payments and starting balance are outflows.</x:t>
        </x:is>
      </x:c>
    </x:row>
    <x:row r="10">
      <x:c r="A10" s="2" t="str">
        <x:v>Annuity present value</x:v>
      </x:c>
      <x:c r="B10" s="26" t="str">
        <x:v>=PV(rate/12,years*12,pmt,0)</x:v>
      </x:c>
      <x:c r="C10" s="2" t="str">
        <x:v>Values a stream of equal payments today.</x:v>
      </x:c>
      <x:c r="D10" s="2" t="str">
        <x:v>Use the sign convention consistently from one perspective.</x:v>
      </x:c>
    </x:row>
    <x:row r="11">
      <x:c r="A11" s="153" t="str">
        <x:v>Cash-flow perspective</x:v>
      </x:c>
      <x:c r="B11" s="153" t="str">
        <x:v>Opposite signs across pv, pmt, and fv</x:v>
      </x:c>
      <x:c r="C11" s="153" t="str">
        <x:v>Shows what is paid out versus received from one stated viewpoint.</x:v>
      </x:c>
      <x:c r="D11" s="153" t="str">
        <x:v>Do not describe a sign as universal without naming the perspective.</x:v>
      </x:c>
    </x:row>
  </x:sheetData>
  <x:mergeCells>
    <x:mergeCell ref="A1:D1"/>
    <x:mergeCell ref="A2:D2"/>
  </x:mergeCells>
  <x:pageMargins left="0.7" right="0.7" top="0.75" bottom="0.75" header="0.3" footer="0.3"/>
</x:worksheet>
</file>