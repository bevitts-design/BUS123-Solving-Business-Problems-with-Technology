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5300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0.0%"/>
    <numFmt numFmtId="166" formatCode="$#,##0.00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0E1116"/>
      <sz val="14"/>
    </font>
    <font>
      <name val="Arial"/>
      <family val="2"/>
      <b val="1"/>
      <color rgb="FF4A7C5E"/>
      <sz val="12"/>
    </font>
    <font>
      <name val="Arial"/>
      <family val="2"/>
      <color rgb="FF000000"/>
      <sz val="11"/>
    </font>
    <font>
      <name val="Arial"/>
      <family val="2"/>
      <color rgb="FF0A3D6B"/>
      <sz val="11"/>
    </font>
    <font>
      <name val="Arial"/>
      <family val="2"/>
      <color rgb="FF1A6B3C"/>
      <sz val="11"/>
    </font>
    <font>
      <name val="Arial"/>
      <family val="2"/>
      <i val="1"/>
      <color rgb="FF7A829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B8843D"/>
      <sz val="10"/>
    </font>
    <font>
      <name val="Arial"/>
      <family val="2"/>
      <b val="1"/>
      <color rgb="FF000000"/>
      <sz val="11"/>
    </font>
    <font>
      <name val="Consolas"/>
      <family val="2"/>
      <color rgb="FF0E1116"/>
      <sz val="11"/>
    </font>
    <font>
      <name val="Arial"/>
      <family val="2"/>
      <color rgb="FF4A5567"/>
      <sz val="11"/>
    </font>
    <font>
      <name val="Aptos Display"/>
      <b val="1"/>
      <color rgb="00FFFFFF"/>
      <sz val="18"/>
    </font>
    <font>
      <name val="Aptos"/>
      <i val="1"/>
      <color rgb="00355773"/>
      <sz val="12"/>
    </font>
    <font>
      <name val="Aptos"/>
      <b val="1"/>
      <color rgb="001A1F2C"/>
      <sz val="11"/>
    </font>
    <font>
      <name val="Aptos"/>
      <b val="1"/>
      <color rgb="00FFFFFF"/>
      <sz val="11"/>
    </font>
    <font>
      <name val="Aptos"/>
      <i val="1"/>
      <color rgb="004A5567"/>
      <sz val="10"/>
    </font>
  </fonts>
  <fills count="13">
    <fill>
      <patternFill/>
    </fill>
    <fill>
      <patternFill patternType="gray125"/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000E1116"/>
      </patternFill>
    </fill>
    <fill>
      <patternFill patternType="solid">
        <fgColor rgb="00EAF3EC"/>
      </patternFill>
    </fill>
    <fill>
      <patternFill patternType="solid">
        <fgColor rgb="00F2EEE5"/>
      </patternFill>
    </fill>
    <fill>
      <patternFill patternType="solid">
        <fgColor rgb="00355773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00D9E2D9"/>
      </left>
      <right style="thin">
        <color rgb="00D9E2D9"/>
      </right>
      <top style="thin">
        <color rgb="00D9E2D9"/>
      </top>
      <bottom style="thin">
        <color rgb="00D9E2D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5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49" fontId="3" fillId="0" borderId="0" pivotButton="0" quotePrefix="0" xfId="0"/>
    <xf numFmtId="49" fontId="10" fillId="5" borderId="1" applyAlignment="1" pivotButton="0" quotePrefix="0" xfId="0">
      <alignment horizontal="left" vertical="center" wrapText="1"/>
    </xf>
    <xf numFmtId="49" fontId="10" fillId="6" borderId="1" applyAlignment="1" pivotButton="0" quotePrefix="0" xfId="0">
      <alignment horizontal="left" vertical="center" wrapText="1"/>
    </xf>
    <xf numFmtId="49" fontId="11" fillId="5" borderId="1" applyAlignment="1" pivotButton="0" quotePrefix="0" xfId="0">
      <alignment horizontal="left" vertical="center" wrapText="1"/>
    </xf>
    <xf numFmtId="49" fontId="11" fillId="6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 wrapText="1"/>
    </xf>
    <xf numFmtId="0" fontId="14" fillId="9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5" fillId="1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5" fontId="0" fillId="11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166" fontId="0" fillId="11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12" fillId="7" borderId="0" pivotButton="0" quotePrefix="0" xfId="0"/>
    <xf numFmtId="0" fontId="13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2" customWidth="1" style="20" min="1" max="1"/>
    <col width="36" customWidth="1" style="20" min="2" max="2"/>
    <col width="18" customWidth="1" style="20" min="3" max="3"/>
    <col width="18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</cols>
  <sheetData>
    <row r="1" ht="30" customHeight="1" s="20">
      <c r="A1" s="28" t="inlineStr">
        <is>
          <t>BUS123 · MATH M03 · L01</t>
        </is>
      </c>
    </row>
    <row r="2" ht="38" customHeight="1" s="20">
      <c r="A2" s="29" t="inlineStr">
        <is>
          <t>Discounts: Trade and Cash | Tidal Goods Co. slide-to-Excel workbook</t>
        </is>
      </c>
    </row>
    <row r="4">
      <c r="A4" s="30" t="inlineStr">
        <is>
          <t>Learning Objectives</t>
        </is>
      </c>
      <c r="B4" s="31" t="n"/>
      <c r="C4" s="31" t="n"/>
      <c r="D4" s="31" t="n"/>
      <c r="E4" s="31" t="n"/>
      <c r="F4" s="31" t="n"/>
      <c r="G4" s="31" t="n"/>
      <c r="H4" s="31" t="n"/>
    </row>
    <row r="5">
      <c r="A5" s="31" t="inlineStr">
        <is>
          <t>1</t>
        </is>
      </c>
      <c r="B5" s="31" t="inlineStr">
        <is>
          <t>Calculate a net price from a list price and a single trade discount.</t>
        </is>
      </c>
      <c r="C5" s="31" t="n"/>
      <c r="D5" s="31" t="n"/>
      <c r="E5" s="31" t="n"/>
      <c r="F5" s="31" t="n"/>
      <c r="G5" s="31" t="n"/>
      <c r="H5" s="31" t="n"/>
    </row>
    <row r="6">
      <c r="A6" s="31" t="inlineStr">
        <is>
          <t>2</t>
        </is>
      </c>
      <c r="B6" s="31" t="inlineStr">
        <is>
          <t>Apply chain discounts in sequence instead of adding rates.</t>
        </is>
      </c>
      <c r="C6" s="31" t="n"/>
      <c r="D6" s="31" t="n"/>
      <c r="E6" s="31" t="n"/>
      <c r="F6" s="31" t="n"/>
      <c r="G6" s="31" t="n"/>
      <c r="H6" s="31" t="n"/>
    </row>
    <row r="7">
      <c r="A7" s="31" t="inlineStr">
        <is>
          <t>3</t>
        </is>
      </c>
      <c r="B7" s="31" t="inlineStr">
        <is>
          <t>Interpret cash discount terms such as 2/10 net 30 and calculate early payment.</t>
        </is>
      </c>
      <c r="C7" s="31" t="n"/>
      <c r="D7" s="31" t="n"/>
      <c r="E7" s="31" t="n"/>
      <c r="F7" s="31" t="n"/>
      <c r="G7" s="31" t="n"/>
      <c r="H7" s="31" t="n"/>
    </row>
    <row r="8">
      <c r="A8" s="31" t="inlineStr">
        <is>
          <t>4</t>
        </is>
      </c>
      <c r="B8" s="31" t="inlineStr">
        <is>
          <t>Use Excel formulas with cell references to model discount decisions.</t>
        </is>
      </c>
      <c r="C8" s="31" t="n"/>
      <c r="D8" s="31" t="n"/>
      <c r="E8" s="31" t="n"/>
      <c r="F8" s="31" t="n"/>
      <c r="G8" s="31" t="n"/>
      <c r="H8" s="31" t="n"/>
    </row>
    <row r="9">
      <c r="A9" s="30" t="inlineStr">
        <is>
          <t>How to Use This Workbook</t>
        </is>
      </c>
      <c r="B9" s="31" t="n"/>
      <c r="C9" s="31" t="n"/>
      <c r="D9" s="31" t="n"/>
      <c r="E9" s="31" t="n"/>
      <c r="F9" s="31" t="n"/>
      <c r="G9" s="31" t="n"/>
      <c r="H9" s="31" t="n"/>
    </row>
    <row r="10">
      <c r="A10" s="31" t="inlineStr">
        <is>
          <t>1</t>
        </is>
      </c>
      <c r="B10" s="31" t="inlineStr">
        <is>
          <t>During the deck, use the Live You Try It tab for short self-graded Excel pauses.</t>
        </is>
      </c>
      <c r="C10" s="31" t="n"/>
      <c r="D10" s="31" t="n"/>
      <c r="E10" s="31" t="n"/>
      <c r="F10" s="31" t="n"/>
      <c r="G10" s="31" t="n"/>
      <c r="H10" s="31" t="n"/>
    </row>
    <row r="11">
      <c r="A11" s="31" t="inlineStr">
        <is>
          <t>2</t>
        </is>
      </c>
      <c r="B11" s="31" t="inlineStr">
        <is>
          <t>The Live You Try It tab uses the exact numbers from slides 8, 13, and 17.</t>
        </is>
      </c>
      <c r="C11" s="31" t="n"/>
      <c r="D11" s="31" t="n"/>
      <c r="E11" s="31" t="n"/>
      <c r="F11" s="31" t="n"/>
      <c r="G11" s="31" t="n"/>
      <c r="H11" s="31" t="n"/>
    </row>
    <row r="12">
      <c r="A12" s="31" t="inlineStr">
        <is>
          <t>3</t>
        </is>
      </c>
      <c r="B12" s="31" t="inlineStr">
        <is>
          <t>Yellow cells are yours. Type formulas whenever possible instead of hardcoding answers.</t>
        </is>
      </c>
      <c r="C12" s="31" t="n"/>
      <c r="D12" s="31" t="n"/>
      <c r="E12" s="31" t="n"/>
      <c r="F12" s="31" t="n"/>
      <c r="G12" s="31" t="n"/>
      <c r="H12" s="31" t="n"/>
    </row>
    <row r="13">
      <c r="A13" s="31" t="inlineStr">
        <is>
          <t>4</t>
        </is>
      </c>
      <c r="B13" s="31" t="inlineStr">
        <is>
          <t>Feedback on Live You Try It is for practice and revision, not grading.</t>
        </is>
      </c>
      <c r="C13" s="31" t="n"/>
      <c r="D13" s="31" t="n"/>
      <c r="E13" s="31" t="n"/>
      <c r="F13" s="31" t="n"/>
      <c r="G13" s="31" t="n"/>
      <c r="H13" s="31" t="n"/>
    </row>
    <row r="14">
      <c r="A14" s="31" t="inlineStr">
        <is>
          <t>5</t>
        </is>
      </c>
      <c r="B14" s="31" t="inlineStr">
        <is>
          <t>The Class Challenge tab is harder and is the graded or next-level activity.</t>
        </is>
      </c>
      <c r="C14" s="31" t="n"/>
      <c r="D14" s="31" t="n"/>
      <c r="E14" s="31" t="n"/>
      <c r="F14" s="31" t="n"/>
      <c r="G14" s="31" t="n"/>
      <c r="H14" s="31" t="n"/>
    </row>
    <row r="15">
      <c r="A15" s="30" t="inlineStr">
        <is>
          <t>Color Key</t>
        </is>
      </c>
      <c r="B15" s="31" t="n"/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Yellow cells</t>
        </is>
      </c>
      <c r="B16" s="31" t="inlineStr">
        <is>
          <t>Your formula or answer input.</t>
        </is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Green feedback</t>
        </is>
      </c>
      <c r="B17" s="31" t="inlineStr">
        <is>
          <t>Self-checking hints and feedback for Live You Try It.</t>
        </is>
      </c>
      <c r="C17" s="31" t="n"/>
      <c r="D17" s="31" t="n"/>
      <c r="E17" s="31" t="n"/>
      <c r="F17" s="31" t="n"/>
      <c r="G17" s="31" t="n"/>
      <c r="H17" s="31" t="n"/>
    </row>
  </sheetData>
  <mergeCells count="16">
    <mergeCell ref="A9:H9"/>
    <mergeCell ref="A4:H4"/>
    <mergeCell ref="B8:H8"/>
    <mergeCell ref="B14:H14"/>
    <mergeCell ref="B17:H17"/>
    <mergeCell ref="A15:H15"/>
    <mergeCell ref="B13:H13"/>
    <mergeCell ref="A2:H2"/>
    <mergeCell ref="B12:H12"/>
    <mergeCell ref="B6:H6"/>
    <mergeCell ref="B16:H1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0" customWidth="1" style="20" min="1" max="1"/>
    <col width="34" customWidth="1" style="20" min="2" max="2"/>
    <col width="14" customWidth="1" style="20" min="3" max="3"/>
    <col width="14" customWidth="1" style="20" min="4" max="4"/>
    <col width="16" customWidth="1" style="20" min="5" max="5"/>
    <col width="20" customWidth="1" style="20" min="6" max="6"/>
    <col width="32" customWidth="1" style="20" min="7" max="7"/>
    <col width="36" customWidth="1" style="20" min="8" max="8"/>
  </cols>
  <sheetData>
    <row r="1" ht="30" customHeight="1" s="20">
      <c r="A1" s="28" t="inlineStr">
        <is>
          <t>M03 · L01 — Live You Try It</t>
        </is>
      </c>
    </row>
    <row r="2" ht="38" customHeight="1" s="20">
      <c r="A2" s="29" t="inlineStr">
        <is>
          <t>Self-graded Excel pauses using the exact numbers from slides 8, 13, and 17.</t>
        </is>
      </c>
    </row>
    <row r="4">
      <c r="A4" s="32" t="inlineStr">
        <is>
          <t>Slide</t>
        </is>
      </c>
      <c r="B4" s="32" t="inlineStr">
        <is>
          <t>Scenario</t>
        </is>
      </c>
      <c r="C4" s="32" t="inlineStr">
        <is>
          <t>Input A</t>
        </is>
      </c>
      <c r="D4" s="32" t="inlineStr">
        <is>
          <t>Input B</t>
        </is>
      </c>
      <c r="E4" s="32" t="inlineStr">
        <is>
          <t>Input C</t>
        </is>
      </c>
      <c r="F4" s="32" t="inlineStr">
        <is>
          <t>Your Formula / Answer</t>
        </is>
      </c>
      <c r="G4" s="32" t="inlineStr">
        <is>
          <t>Formula Hint</t>
        </is>
      </c>
      <c r="H4" s="32" t="inlineStr">
        <is>
          <t>Feedback</t>
        </is>
      </c>
    </row>
    <row r="5" ht="36" customHeight="1" s="20">
      <c r="A5" s="31" t="n">
        <v>8</v>
      </c>
      <c r="B5" s="31" t="inlineStr">
        <is>
          <t>Trade complement for wetsuit</t>
        </is>
      </c>
      <c r="C5" s="33" t="n">
        <v>189.99</v>
      </c>
      <c r="D5" s="34" t="n">
        <v>0.3</v>
      </c>
      <c r="E5" s="31" t="inlineStr"/>
      <c r="F5" s="35" t="inlineStr"/>
      <c r="G5" s="36" t="inlineStr">
        <is>
          <t>'=1 - discount rate</t>
        </is>
      </c>
      <c r="H5" s="37">
        <f>IF(F5="","Hint: "&amp;G5,IF(ROUND(F5,4)=ROUND(1-D5,4),"Correct - self-check complete","Try again - use 1 minus the discount rate"))</f>
        <v/>
      </c>
    </row>
    <row r="6" ht="36" customHeight="1" s="20">
      <c r="A6" s="31" t="n">
        <v>8</v>
      </c>
      <c r="B6" s="31" t="inlineStr">
        <is>
          <t>Trade discount amount</t>
        </is>
      </c>
      <c r="C6" s="33" t="n">
        <v>189.99</v>
      </c>
      <c r="D6" s="34" t="n">
        <v>0.3</v>
      </c>
      <c r="E6" s="31" t="inlineStr"/>
      <c r="F6" s="38" t="inlineStr"/>
      <c r="G6" s="36" t="inlineStr">
        <is>
          <t>'=list price * discount rate</t>
        </is>
      </c>
      <c r="H6" s="37">
        <f>IF(F6="","Hint: "&amp;G6,IF(ROUND(F6,2)=ROUND(C6*D6,2),"Correct - self-check complete","Try again - this finds the dollars saved"))</f>
        <v/>
      </c>
    </row>
    <row r="7" ht="36" customHeight="1" s="20">
      <c r="A7" s="31" t="n">
        <v>8</v>
      </c>
      <c r="B7" s="31" t="inlineStr">
        <is>
          <t>Trade net price</t>
        </is>
      </c>
      <c r="C7" s="33" t="n">
        <v>189.99</v>
      </c>
      <c r="D7" s="34" t="n">
        <v>0.3</v>
      </c>
      <c r="E7" s="31" t="inlineStr"/>
      <c r="F7" s="38" t="inlineStr"/>
      <c r="G7" s="36" t="inlineStr">
        <is>
          <t>'=list price * complement</t>
        </is>
      </c>
      <c r="H7" s="37">
        <f>IF(F7="","Hint: "&amp;G7,IF(ROUND(F7,2)=ROUND(C7*(1-D7),2),"Correct - self-check complete","Try again - net price is what Tidal Goods pays"))</f>
        <v/>
      </c>
    </row>
    <row r="8" ht="36" customHeight="1" s="20">
      <c r="A8" s="39" t="inlineStr"/>
      <c r="B8" s="39" t="inlineStr"/>
      <c r="C8" s="39" t="inlineStr"/>
      <c r="D8" s="39" t="inlineStr"/>
      <c r="E8" s="39" t="inlineStr"/>
      <c r="F8" s="39" t="inlineStr"/>
      <c r="G8" s="39" t="inlineStr"/>
      <c r="H8" s="39" t="inlineStr"/>
    </row>
    <row r="9" ht="36" customHeight="1" s="20">
      <c r="A9" s="31" t="n">
        <v>13</v>
      </c>
      <c r="B9" s="31" t="inlineStr">
        <is>
          <t>Chain net price for surfboard fins</t>
        </is>
      </c>
      <c r="C9" s="33" t="n">
        <v>64</v>
      </c>
      <c r="D9" s="34" t="n">
        <v>0.2</v>
      </c>
      <c r="E9" s="31" t="inlineStr">
        <is>
          <t>10% / 5%</t>
        </is>
      </c>
      <c r="F9" s="38" t="inlineStr"/>
      <c r="G9" s="36" t="inlineStr">
        <is>
          <t>'=list price*(1-d1)*(1-d2)*(1-d3)</t>
        </is>
      </c>
      <c r="H9" s="37">
        <f>IF(F9="","Hint: "&amp;G9,IF(ROUND(F9,2)=ROUND(C9*(1-D9)*(1-0.10)*(1-0.05),2),"Correct - self-check complete","Try again - multiply each complement in order"))</f>
        <v/>
      </c>
    </row>
    <row r="10" ht="36" customHeight="1" s="20">
      <c r="A10" s="31" t="n">
        <v>13</v>
      </c>
      <c r="B10" s="31" t="inlineStr">
        <is>
          <t>Single equivalent discount rate</t>
        </is>
      </c>
      <c r="C10" s="31" t="n">
        <v>64</v>
      </c>
      <c r="D10" s="31" t="inlineStr">
        <is>
          <t>20% / 10% / 5%</t>
        </is>
      </c>
      <c r="E10" s="31" t="inlineStr"/>
      <c r="F10" s="35" t="inlineStr"/>
      <c r="G10" s="36" t="inlineStr">
        <is>
          <t>'=1 - combined complement</t>
        </is>
      </c>
      <c r="H10" s="37">
        <f>IF(F10="","Hint: "&amp;G10,IF(ROUND(F10,4)=ROUND(1-((1-0.20)*(1-0.10)*(1-0.05)),4),"Correct - self-check complete","Try again - subtract the combined complement from 1"))</f>
        <v/>
      </c>
    </row>
    <row r="11" ht="36" customHeight="1" s="20">
      <c r="A11" s="31" t="n">
        <v>13</v>
      </c>
      <c r="B11" s="31" t="inlineStr">
        <is>
          <t>Difference from adding rates shortcut</t>
        </is>
      </c>
      <c r="C11" s="31" t="n">
        <v>64</v>
      </c>
      <c r="D11" s="31" t="inlineStr">
        <is>
          <t>35% shortcut</t>
        </is>
      </c>
      <c r="E11" s="31" t="inlineStr"/>
      <c r="F11" s="38" t="inlineStr"/>
      <c r="G11" s="36" t="inlineStr">
        <is>
          <t>'=chain price - shortcut price</t>
        </is>
      </c>
      <c r="H11" s="37">
        <f>IF(F11="","Hint: "&amp;G11,IF(ROUND(F11,2)=ROUND((64*(1-0.20)*(1-0.10)*(1-0.05))-(64*(1-0.35)),2),"Correct - self-check complete","Try again - compare $43.78 to $41.60"))</f>
        <v/>
      </c>
    </row>
    <row r="12" ht="36" customHeight="1" s="20">
      <c r="A12" s="39" t="inlineStr"/>
      <c r="B12" s="39" t="inlineStr"/>
      <c r="C12" s="39" t="inlineStr"/>
      <c r="D12" s="39" t="inlineStr"/>
      <c r="E12" s="39" t="inlineStr"/>
      <c r="F12" s="39" t="inlineStr"/>
      <c r="G12" s="39" t="inlineStr"/>
      <c r="H12" s="39" t="inlineStr"/>
    </row>
    <row r="13" ht="36" customHeight="1" s="20">
      <c r="A13" s="31" t="n">
        <v>17</v>
      </c>
      <c r="B13" s="31" t="inlineStr">
        <is>
          <t>Cash discount amount</t>
        </is>
      </c>
      <c r="C13" s="33" t="n">
        <v>4200</v>
      </c>
      <c r="D13" s="34" t="n">
        <v>0.02</v>
      </c>
      <c r="E13" s="31" t="inlineStr">
        <is>
          <t>2/10 net 30</t>
        </is>
      </c>
      <c r="F13" s="38" t="inlineStr"/>
      <c r="G13" s="36" t="inlineStr">
        <is>
          <t>'=invoice * discount rate</t>
        </is>
      </c>
      <c r="H13" s="37">
        <f>IF(F13="","Hint: "&amp;G13,IF(ROUND(F13,2)=ROUND(C13*D13,2),"Correct - self-check complete","Try again - this finds the savings"))</f>
        <v/>
      </c>
    </row>
    <row r="14" ht="36" customHeight="1" s="20">
      <c r="A14" s="31" t="n">
        <v>17</v>
      </c>
      <c r="B14" s="31" t="inlineStr">
        <is>
          <t>Early payment amount</t>
        </is>
      </c>
      <c r="C14" s="33" t="n">
        <v>4200</v>
      </c>
      <c r="D14" s="34" t="n">
        <v>0.02</v>
      </c>
      <c r="E14" s="31" t="inlineStr">
        <is>
          <t>2/10 net 30</t>
        </is>
      </c>
      <c r="F14" s="38" t="inlineStr"/>
      <c r="G14" s="36" t="inlineStr">
        <is>
          <t>'=invoice * (1 - discount rate)</t>
        </is>
      </c>
      <c r="H14" s="37">
        <f>IF(F14="","Hint: "&amp;G14,IF(ROUND(F14,2)=ROUND(C14*(1-D14),2),"Correct - self-check complete","Try again - subtract the discount from the invoice"))</f>
        <v/>
      </c>
    </row>
    <row r="15" ht="36" customHeight="1" s="20">
      <c r="A15" s="31" t="n">
        <v>17</v>
      </c>
      <c r="B15" s="31" t="inlineStr">
        <is>
          <t>Savings from paying early</t>
        </is>
      </c>
      <c r="C15" s="33" t="n">
        <v>4200</v>
      </c>
      <c r="D15" s="34" t="n">
        <v>0.02</v>
      </c>
      <c r="E15" s="31" t="inlineStr">
        <is>
          <t>2/10 net 30</t>
        </is>
      </c>
      <c r="F15" s="38" t="inlineStr"/>
      <c r="G15" s="36" t="inlineStr">
        <is>
          <t>'=invoice - early payment</t>
        </is>
      </c>
      <c r="H15" s="37">
        <f>IF(F15="","Hint: "&amp;G15,IF(ROUND(F15,2)=ROUND(C15-(C15*(1-D15)),2),"Correct - self-check complete","Try again - savings equals the discount amount"))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Self-check score</t>
        </is>
      </c>
      <c r="B17" s="31">
        <f>COUNTIF(H5:H15,"Correct*")&amp;" of 9 complete"</f>
        <v/>
      </c>
      <c r="C17" s="31" t="n"/>
      <c r="D17" s="31" t="n"/>
      <c r="E17" s="31" t="n"/>
      <c r="F17" s="31" t="n"/>
      <c r="G17" s="31" t="n"/>
      <c r="H17" s="31" t="n"/>
    </row>
  </sheetData>
  <mergeCells count="3">
    <mergeCell ref="A2:H2"/>
    <mergeCell ref="B17:H17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style="20" min="1" max="1"/>
    <col width="30" customWidth="1" style="20" min="2" max="2"/>
    <col width="16" customWidth="1" style="20" min="3" max="3"/>
    <col width="16" customWidth="1" style="20" min="4" max="4"/>
    <col width="18" customWidth="1" style="20" min="5" max="5"/>
    <col width="18" customWidth="1" style="20" min="6" max="6"/>
    <col width="18" customWidth="1" style="20" min="7" max="7"/>
    <col width="18" customWidth="1" style="20" min="8" max="8"/>
    <col width="34" customWidth="1" style="20" min="9" max="9"/>
  </cols>
  <sheetData>
    <row r="1" ht="30" customHeight="1" s="20">
      <c r="A1" s="28" t="inlineStr">
        <is>
          <t>M03 · L01 — Class Challenge</t>
        </is>
      </c>
    </row>
    <row r="2" ht="38" customHeight="1" s="20">
      <c r="A2" s="29" t="inlineStr">
        <is>
          <t>Graded or next-level activity: combine trade or chain discounts with cash discount terms.</t>
        </is>
      </c>
    </row>
    <row r="4">
      <c r="A4" s="32" t="inlineStr">
        <is>
          <t>#</t>
        </is>
      </c>
      <c r="B4" s="32" t="inlineStr">
        <is>
          <t>Item</t>
        </is>
      </c>
      <c r="C4" s="32" t="inlineStr">
        <is>
          <t>List Price</t>
        </is>
      </c>
      <c r="D4" s="32" t="inlineStr">
        <is>
          <t>Trade / Chain Discount</t>
        </is>
      </c>
      <c r="E4" s="32" t="inlineStr">
        <is>
          <t>Cash Terms</t>
        </is>
      </c>
      <c r="F4" s="32" t="inlineStr">
        <is>
          <t>Net After Trade</t>
        </is>
      </c>
      <c r="G4" s="32" t="inlineStr">
        <is>
          <t>Final Payment</t>
        </is>
      </c>
      <c r="H4" s="32" t="inlineStr">
        <is>
          <t>Total Savings</t>
        </is>
      </c>
      <c r="I4" s="32" t="inlineStr">
        <is>
          <t>Notes</t>
        </is>
      </c>
    </row>
    <row r="5" ht="42" customHeight="1" s="20">
      <c r="A5" s="31" t="n">
        <v>1</v>
      </c>
      <c r="B5" s="31" t="inlineStr">
        <is>
          <t>Wetsuit Order (50 units)</t>
        </is>
      </c>
      <c r="C5" s="33" t="n">
        <v>9499.5</v>
      </c>
      <c r="D5" s="31" t="inlineStr">
        <is>
          <t>30%</t>
        </is>
      </c>
      <c r="E5" s="31" t="inlineStr">
        <is>
          <t>2/10 net 30</t>
        </is>
      </c>
      <c r="F5" s="38" t="inlineStr"/>
      <c r="G5" s="38" t="inlineStr"/>
      <c r="H5" s="38" t="inlineStr"/>
      <c r="I5" s="36" t="inlineStr">
        <is>
          <t>Use the slide 8 trade-discount logic, then the cash discount.</t>
        </is>
      </c>
    </row>
    <row r="6" ht="42" customHeight="1" s="20">
      <c r="A6" s="31" t="n">
        <v>2</v>
      </c>
      <c r="B6" s="31" t="inlineStr">
        <is>
          <t>Board Accessories</t>
        </is>
      </c>
      <c r="C6" s="33" t="n">
        <v>3625</v>
      </c>
      <c r="D6" s="31" t="inlineStr">
        <is>
          <t>20/10</t>
        </is>
      </c>
      <c r="E6" s="31" t="inlineStr">
        <is>
          <t>1.5/10 net 30</t>
        </is>
      </c>
      <c r="F6" s="38" t="inlineStr"/>
      <c r="G6" s="38" t="inlineStr"/>
      <c r="H6" s="38" t="inlineStr"/>
      <c r="I6" s="36" t="inlineStr">
        <is>
          <t>Apply the chain discount before the cash discount.</t>
        </is>
      </c>
    </row>
    <row r="7" ht="42" customHeight="1" s="20">
      <c r="A7" s="31" t="n">
        <v>3</v>
      </c>
      <c r="B7" s="31" t="inlineStr">
        <is>
          <t>Seasonal Display Racks</t>
        </is>
      </c>
      <c r="C7" s="33" t="n">
        <v>2800</v>
      </c>
      <c r="D7" s="31" t="inlineStr">
        <is>
          <t>15/5</t>
        </is>
      </c>
      <c r="E7" s="31" t="inlineStr">
        <is>
          <t>3/15 net 45</t>
        </is>
      </c>
      <c r="F7" s="38" t="inlineStr"/>
      <c r="G7" s="38" t="inlineStr"/>
      <c r="H7" s="38" t="inlineStr"/>
      <c r="I7" s="36" t="inlineStr">
        <is>
          <t>Use both complements, then the early-payment terms.</t>
        </is>
      </c>
    </row>
    <row r="8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</row>
    <row r="9">
      <c r="A9" s="31" t="n"/>
      <c r="B9" s="31" t="n"/>
      <c r="C9" s="31" t="n"/>
      <c r="D9" s="31" t="n"/>
      <c r="E9" s="31" t="n"/>
      <c r="F9" s="31" t="n"/>
      <c r="G9" s="31" t="n"/>
      <c r="H9" s="31" t="n"/>
      <c r="I9" s="31" t="n"/>
    </row>
    <row r="10">
      <c r="A10" s="31" t="n"/>
      <c r="B10" s="31" t="inlineStr">
        <is>
          <t>Submission reminder</t>
        </is>
      </c>
      <c r="C10" s="31" t="inlineStr">
        <is>
          <t>Complete the yellow cells in F:H. Live You Try It is practice; this tab is the challenge.</t>
        </is>
      </c>
      <c r="D10" s="31" t="n"/>
      <c r="E10" s="31" t="n"/>
      <c r="F10" s="31" t="n"/>
      <c r="G10" s="31" t="n"/>
      <c r="H10" s="31" t="n"/>
      <c r="I10" s="31" t="n"/>
    </row>
  </sheetData>
  <mergeCells count="3">
    <mergeCell ref="A1:I1"/>
    <mergeCell ref="C10:I10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4" customWidth="1" style="20" min="1" max="1"/>
    <col width="42" customWidth="1" style="20" min="2" max="2"/>
    <col width="42" customWidth="1" style="20" min="3" max="3"/>
    <col width="34" customWidth="1" style="20" min="4" max="4"/>
  </cols>
  <sheetData>
    <row r="1">
      <c r="A1" s="40" t="inlineStr">
        <is>
          <t>Formula Reference Card — Discounts</t>
        </is>
      </c>
    </row>
    <row r="2">
      <c r="A2" s="41" t="inlineStr">
        <is>
          <t>Use this as a syntax reminder, then return to the yellow cells.</t>
        </is>
      </c>
    </row>
    <row r="4">
      <c r="A4" s="32" t="inlineStr">
        <is>
          <t>Concept</t>
        </is>
      </c>
      <c r="B4" s="32" t="inlineStr">
        <is>
          <t>Excel Syntax</t>
        </is>
      </c>
      <c r="C4" s="32" t="inlineStr">
        <is>
          <t>Manual Math</t>
        </is>
      </c>
      <c r="D4" s="32" t="inlineStr">
        <is>
          <t>Watch Out For</t>
        </is>
      </c>
    </row>
    <row r="5">
      <c r="A5" s="31" t="inlineStr">
        <is>
          <t>Trade complement</t>
        </is>
      </c>
      <c r="B5" s="31" t="inlineStr">
        <is>
          <t>'=1 - discount_rate</t>
        </is>
      </c>
      <c r="C5" s="31" t="inlineStr">
        <is>
          <t>1 - 0.30 = 0.70</t>
        </is>
      </c>
      <c r="D5" s="31" t="inlineStr">
        <is>
          <t>Use the complement for net price.</t>
        </is>
      </c>
    </row>
    <row r="6">
      <c r="A6" s="31" t="inlineStr">
        <is>
          <t>Trade discount amount</t>
        </is>
      </c>
      <c r="B6" s="31" t="inlineStr">
        <is>
          <t>'=list_price * discount_rate</t>
        </is>
      </c>
      <c r="C6" s="31" t="inlineStr">
        <is>
          <t>$189.99 * 0.30 = $57.00</t>
        </is>
      </c>
      <c r="D6" s="31" t="inlineStr">
        <is>
          <t>This is savings, not payment.</t>
        </is>
      </c>
    </row>
    <row r="7">
      <c r="A7" s="31" t="inlineStr">
        <is>
          <t>Trade net price</t>
        </is>
      </c>
      <c r="B7" s="31" t="inlineStr">
        <is>
          <t>'=list_price * (1 - discount_rate)</t>
        </is>
      </c>
      <c r="C7" s="31" t="inlineStr">
        <is>
          <t>$189.99 * 0.70 = $132.99</t>
        </is>
      </c>
      <c r="D7" s="31" t="inlineStr">
        <is>
          <t>Net price is what the buyer pays.</t>
        </is>
      </c>
    </row>
    <row r="8">
      <c r="A8" s="31" t="inlineStr">
        <is>
          <t>Chain net price</t>
        </is>
      </c>
      <c r="B8" s="31" t="inlineStr">
        <is>
          <t>'=list_price*(1-d1)*(1-d2)*(1-d3)</t>
        </is>
      </c>
      <c r="C8" s="31" t="inlineStr">
        <is>
          <t>$64 * 0.80 * 0.90 * 0.95 = $43.78</t>
        </is>
      </c>
      <c r="D8" s="31" t="inlineStr">
        <is>
          <t>Do not add the rates.</t>
        </is>
      </c>
    </row>
    <row r="9">
      <c r="A9" s="31" t="inlineStr">
        <is>
          <t>Single equivalent discount</t>
        </is>
      </c>
      <c r="B9" s="31" t="inlineStr">
        <is>
          <t>'=1-((1-d1)*(1-d2)*(1-d3))</t>
        </is>
      </c>
      <c r="C9" s="31" t="inlineStr">
        <is>
          <t>1 - 0.684 = 31.6%</t>
        </is>
      </c>
      <c r="D9" s="31" t="inlineStr">
        <is>
          <t>Format as a percent.</t>
        </is>
      </c>
    </row>
    <row r="10">
      <c r="A10" s="31" t="inlineStr">
        <is>
          <t>Cash discount amount</t>
        </is>
      </c>
      <c r="B10" s="31" t="inlineStr">
        <is>
          <t>'=invoice * cash_discount_rate</t>
        </is>
      </c>
      <c r="C10" s="31" t="inlineStr">
        <is>
          <t>$4,200 * 0.02 = $84</t>
        </is>
      </c>
      <c r="D10" s="31" t="inlineStr">
        <is>
          <t>This is the savings.</t>
        </is>
      </c>
    </row>
    <row r="11">
      <c r="A11" s="31" t="inlineStr">
        <is>
          <t>Early payment</t>
        </is>
      </c>
      <c r="B11" s="31" t="inlineStr">
        <is>
          <t>'=invoice * (1 - cash_discount_rate)</t>
        </is>
      </c>
      <c r="C11" s="31" t="inlineStr">
        <is>
          <t>$4,200 * 0.98 = $4,116</t>
        </is>
      </c>
      <c r="D11" s="31" t="inlineStr">
        <is>
          <t>This is the payment amount.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2026-05-26T14:58:35Z</dcterms:created>
  <dcterms:modified xmlns:dcterms="http://purl.org/dc/terms/" xmlns:xsi="http://www.w3.org/2001/XMLSchema-instance" xsi:type="dcterms:W3CDTF">2026-06-17T16:58:46Z</dcterms:modified>
  <cp:lastModifiedBy>Bethany Evitts</cp:lastModifiedBy>
</cp:coreProperties>
</file>