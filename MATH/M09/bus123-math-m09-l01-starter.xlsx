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8bb8eaa9574f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325a6b8cc54c419f"/>
    <x:sheet xmlns:r="http://schemas.openxmlformats.org/officeDocument/2006/relationships" name="Live You Try It" sheetId="2" r:id="R09b8cdf6671446eb"/>
    <x:sheet xmlns:r="http://schemas.openxmlformats.org/officeDocument/2006/relationships" name="Class Challenge" sheetId="3" r:id="R0ef6a62183814cd4"/>
    <x:sheet xmlns:r="http://schemas.openxmlformats.org/officeDocument/2006/relationships" name="FormulaReferenceCard" sheetId="4" r:id="Rdbc641af446143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\$#,##0.00"/>
    <x:numFmt numFmtId="200" formatCode="@"/>
    <x:numFmt numFmtId="201" formatCode="0.00%"/>
    <x:numFmt numFmtId="202" formatCode="$#,##0.00"/>
    <x:numFmt numFmtId="203" formatCode="0.0000%"/>
    <x:numFmt numFmtId="204" formatCode="0.0000"/>
  </x:numFmts>
  <x:fonts count="11">
    <x:font>
      <x:sz val="11"/>
      <x:color theme="1"/>
      <x:name val="Calibri"/>
    </x:font>
    <x:font>
      <x:b/>
      <x:sz val="16"/>
      <x:color rgb="FFFFFFFF"/>
      <x:name val="DM Sans"/>
    </x:font>
    <x:font>
      <x:sz val="11"/>
      <x:color theme="1"/>
      <x:name val="Calibri"/>
    </x:font>
    <x:font>
      <x:sz val="10"/>
      <x:color rgb="FF4A5567"/>
      <x:name val="DM Sans"/>
    </x:font>
    <x:font>
      <x:b/>
      <x:sz val="11"/>
      <x:color rgb="FFFFFFFF"/>
      <x:name val="DM Sans"/>
    </x:font>
    <x:font>
      <x:sz val="10"/>
      <x:color rgb="FF355773"/>
      <x:name val="DM Sans"/>
    </x:font>
    <x:font>
      <x:sz val="11"/>
      <x:color rgb="FF1A1F2C"/>
      <x:name val="Calibri"/>
    </x:font>
    <x:font>
      <x:b/>
      <x:sz val="11"/>
      <x:color rgb="FF1A1F2C"/>
      <x:name val="DM Sans"/>
    </x:font>
    <x:font>
      <x:sz val="11"/>
      <x:color rgb="FF355773"/>
      <x:name val="Calibri"/>
    </x:font>
    <x:font>
      <x:b/>
      <x:sz val="11"/>
      <x:color rgb="FF1A1F2C"/>
      <x:name val="Calibri"/>
    </x:font>
    <x:font>
      <x:sz val="10"/>
      <x:color rgb="FF1A1F2C"/>
      <x:name val="DM Sans"/>
    </x:font>
  </x:fonts>
  <x:fills count="21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9C4A2B"/>
      </x:patternFill>
    </x:fill>
    <x:fill>
      <x:patternFill patternType="solid">
        <x:fgColor rgb="FFFFD966"/>
      </x:patternFill>
    </x:fill>
    <x:fill>
      <x:patternFill patternType="solid">
        <x:fgColor rgb="FFDDEBF7"/>
      </x:patternFill>
    </x:fill>
    <x:fill>
      <x:patternFill patternType="solid">
        <x:fgColor rgb="FFEAF3EC"/>
      </x:patternFill>
    </x:fill>
    <x:fill>
      <x:patternFill patternType="solid">
        <x:fgColor rgb="FFEAF3EC"/>
      </x:patternFill>
    </x:fill>
    <x:fill>
      <x:patternFill patternType="solid">
        <x:fgColor rgb="FFFFD966"/>
      </x:patternFill>
    </x:fill>
    <x:fill>
      <x:patternFill patternType="solid">
        <x:fgColor rgb="FFDDEBF7"/>
      </x:patternFill>
    </x:fill>
    <x:fill>
      <x:patternFill patternType="solid">
        <x:fgColor rgb="FFEAF3EC"/>
      </x:patternFill>
    </x:fill>
    <x:fill>
      <x:patternFill patternType="solid">
        <x:fgColor rgb="FFFFD966"/>
      </x:patternFill>
    </x:fill>
    <x:fill>
      <x:patternFill patternType="solid">
        <x:fgColor rgb="FFDDEBF7"/>
      </x:patternFill>
    </x:fill>
    <x:fill>
      <x:patternFill patternType="solid">
        <x:fgColor rgb="FFEAF3EC"/>
      </x:patternFill>
    </x:fill>
    <x:fill>
      <x:patternFill patternType="solid">
        <x:fgColor rgb="FFFFD966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</x:fills>
  <x:borders count="14">
    <x:border/>
    <x:border>
      <x:bottom style="thin">
        <x:color rgb="FFD9E2D0"/>
      </x:bottom>
    </x:border>
    <x:border>
      <x:right style="thin">
        <x:color rgb="FFE5E1D6"/>
      </x:right>
      <x:bottom style="thin">
        <x:color rgb="FFE5E1D6"/>
      </x:bottom>
    </x:border>
    <x:border>
      <x:left style="thin">
        <x:color rgb="FFE5E1D6"/>
      </x:left>
      <x:right style="thin">
        <x:color rgb="FFE5E1D6"/>
      </x:right>
      <x:bottom style="thin">
        <x:color rgb="FFE5E1D6"/>
      </x:bottom>
    </x:border>
    <x:border>
      <x:left style="thin">
        <x:color rgb="FFE5E1D6"/>
      </x:left>
      <x:bottom style="thin">
        <x:color rgb="FFE5E1D6"/>
      </x:bottom>
    </x:border>
    <x:border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thin">
        <x:color rgb="FFE5E1D6"/>
      </x:left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top style="thin">
        <x:color rgb="FFE5E1D6"/>
      </x:top>
      <x:bottom style="thin">
        <x:color rgb="FFD9E2D0"/>
      </x:bottom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D9E2D0"/>
      </x:bottom>
    </x:border>
    <x:border>
      <x:left style="thin">
        <x:color rgb="FFE5E1D6"/>
      </x:left>
      <x:top style="thin">
        <x:color rgb="FFE5E1D6"/>
      </x:top>
      <x:bottom style="thin">
        <x:color rgb="FFD9E2D0"/>
      </x:bottom>
    </x:border>
    <x:border>
      <x:left style="medium">
        <x:color rgb="FF355773"/>
      </x:left>
      <x:right style="medium">
        <x:color rgb="FF355773"/>
      </x:right>
      <x:top style="medium">
        <x:color rgb="FF355773"/>
      </x:top>
      <x:bottom style="thin">
        <x:color rgb="FFD9E2D0"/>
      </x:bottom>
    </x:border>
    <x:border>
      <x:left style="medium">
        <x:color rgb="FF355773"/>
      </x:left>
      <x:right style="medium">
        <x:color rgb="FF355773"/>
      </x:right>
      <x:bottom style="thin">
        <x:color rgb="FFD9E2D0"/>
      </x:bottom>
    </x:border>
    <x:border>
      <x:left style="medium">
        <x:color rgb="FF355773"/>
      </x:left>
      <x:right style="medium">
        <x:color rgb="FF355773"/>
      </x:right>
      <x:bottom style="medium">
        <x:color rgb="FF355773"/>
      </x:bottom>
    </x:border>
  </x:borders>
  <x:cellStyleXfs count="1">
    <x:xf numFmtId="0" fontId="2" fillId="0" borderId="0"/>
  </x:cellStyleXfs>
  <x:cellXfs count="150">
    <x:xf numFmtId="0" fontId="0" fillId="0" borderId="0" xfId="0"/>
    <x:xf numFmtId="0" fontId="2" fillId="0" borderId="1" xfId="0" applyAlignment="1">
      <x:alignment vertical="top" wrapText="1"/>
    </x:xf>
    <x:xf numFmtId="0" fontId="4" fillId="2" borderId="1" xfId="0" applyAlignment="1">
      <x:alignment vertical="top" wrapText="1"/>
    </x:xf>
    <x:xf numFmtId="0" fontId="2" fillId="7" borderId="1" xfId="0" applyAlignment="1">
      <x:alignment vertical="top" wrapText="1"/>
    </x:xf>
    <x:xf numFmtId="164" fontId="2" fillId="8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2" fillId="9" borderId="1" xfId="0" applyAlignment="1">
      <x:alignment vertical="top" wrapText="1"/>
    </x:xf>
    <x:xf numFmtId="10" fontId="2" fillId="8" borderId="1" xfId="0" applyAlignment="1">
      <x:alignment vertical="top" wrapText="1"/>
    </x:xf>
    <x:xf numFmtId="2" fontId="2" fillId="8" borderId="1" xfId="0" applyAlignment="1">
      <x:alignment vertical="top" wrapText="1"/>
    </x:xf>
    <x:xf numFmtId="0" fontId="5" fillId="0" borderId="1" xfId="0" applyAlignment="1">
      <x:alignment vertical="top" wrapText="1"/>
    </x:xf>
    <x:xf numFmtId="0" fontId="5" fillId="9" borderId="1" xfId="0" applyAlignment="1">
      <x:alignment vertical="top" wrapText="1"/>
    </x:xf>
    <x:xf numFmtId="0" fontId="3" fillId="3" borderId="1" xfId="0" applyAlignment="1">
      <x:alignment vertical="top" wrapText="1"/>
    </x:xf>
    <x:xf numFmtId="0" fontId="2" fillId="0" borderId="1" xfId="0" applyAlignment="1">
      <x:alignment vertical="top" wrapText="1"/>
    </x:xf>
    <x:xf numFmtId="0" fontId="4" fillId="5" borderId="1" xfId="0" applyAlignment="1">
      <x:alignment vertical="top" wrapText="1"/>
    </x:xf>
    <x:xf numFmtId="0" fontId="1" fillId="2" borderId="1" xfId="0" applyAlignment="1">
      <x:alignment vertical="top" wrapText="1"/>
    </x:xf>
    <x:xf numFmtId="0" fontId="4" fillId="6" borderId="1" xfId="0" applyAlignment="1">
      <x:alignment vertical="top" wrapText="1"/>
    </x:xf>
    <x:xf numFmtId="0" fontId="4" fillId="4" borderId="1" xfId="0" applyAlignment="1">
      <x:alignment vertical="top" wrapText="1"/>
    </x:xf>
    <x:xf numFmtId="0" fontId="0" fillId="0" borderId="1" xfId="0"/>
    <x:xf numFmtId="0" fontId="2" fillId="0" borderId="1" xfId="0" applyAlignment="1">
      <x:alignment horizontal="center" vertical="center" wrapText="1"/>
    </x:xf>
    <x:xf numFmtId="0" fontId="2" fillId="0" borderId="1" xfId="0" applyAlignment="1">
      <x:alignment horizontal="left" vertical="center" wrapText="1"/>
    </x:xf>
    <x:xf numFmtId="0" fontId="2" fillId="7" borderId="1" xfId="0" applyAlignment="1">
      <x:alignment horizontal="center" vertical="center" wrapText="1"/>
    </x:xf>
    <x:xf numFmtId="164" fontId="2" fillId="8" borderId="1" xfId="0" applyAlignment="1">
      <x:alignment horizontal="center" vertical="center" wrapText="1"/>
    </x:xf>
    <x:xf numFmtId="10" fontId="2" fillId="8" borderId="1" xfId="0" applyAlignment="1">
      <x:alignment horizontal="center" vertical="center" wrapText="1"/>
    </x:xf>
    <x:xf numFmtId="2" fontId="2" fillId="8" borderId="1" xfId="0" applyAlignment="1">
      <x:alignment horizontal="center" vertical="center" wrapText="1"/>
    </x:xf>
    <x:xf numFmtId="200" fontId="5" fillId="9" borderId="1" xfId="0" applyNumberFormat="1" applyFont="1" applyFill="1" applyBorder="1" applyAlignment="1">
      <x:alignment vertical="top" wrapText="1"/>
    </x:xf>
    <x:xf numFmtId="0" fontId="0" fillId="10" borderId="1" xfId="0" applyNumberFormat="1" applyFont="1" applyFill="1" applyBorder="1" applyAlignment="1">
      <x:alignment vertical="top" wrapText="1"/>
    </x:xf>
    <x:xf numFmtId="0" fontId="4" fillId="10" borderId="1" xfId="0" applyNumberFormat="1" applyFont="1" applyFill="1" applyBorder="1" applyAlignment="1">
      <x:alignment vertical="top" wrapText="1"/>
    </x:xf>
    <x:xf numFmtId="0" fontId="0" fillId="10" borderId="1" xfId="0" applyNumberFormat="1" applyFont="1" applyFill="1" applyBorder="1"/>
    <x:xf numFmtId="0" fontId="6" fillId="10" borderId="1" xfId="0" applyNumberFormat="1" applyFont="1" applyFill="1" applyBorder="1" applyAlignment="1">
      <x:alignment vertical="top" wrapText="1"/>
    </x:xf>
    <x:xf numFmtId="0" fontId="7" fillId="10" borderId="1" xfId="0" applyNumberFormat="1" applyFont="1" applyFill="1" applyBorder="1" applyAlignment="1">
      <x:alignment vertical="top" wrapText="1"/>
    </x:xf>
    <x:xf numFmtId="0" fontId="6" fillId="10" borderId="1" xfId="0" applyNumberFormat="1" applyFont="1" applyFill="1" applyBorder="1"/>
    <x:xf numFmtId="0" fontId="6" fillId="10" borderId="1" xfId="0" applyNumberFormat="1" applyFont="1" applyFill="1" applyBorder="1" applyAlignment="1">
      <x:alignment wrapText="1"/>
    </x:xf>
    <x:xf numFmtId="201" fontId="0" fillId="7" borderId="1" xfId="0" applyNumberFormat="1" applyFont="1" applyFill="1" applyBorder="1" applyAlignment="1">
      <x:alignment vertical="top" wrapText="1"/>
    </x:xf>
    <x:xf numFmtId="202" fontId="0" fillId="7" borderId="1" xfId="0" applyNumberFormat="1" applyFont="1" applyFill="1" applyBorder="1" applyAlignment="1">
      <x:alignment vertical="top" wrapText="1"/>
    </x:xf>
    <x:xf numFmtId="202" fontId="0" fillId="8" borderId="1" xfId="0" applyNumberFormat="1" applyFont="1" applyFill="1" applyBorder="1" applyAlignment="1">
      <x:alignment vertical="top" wrapText="1"/>
    </x:xf>
    <x:xf numFmtId="203" fontId="0" fillId="8" borderId="1" xfId="0" applyNumberFormat="1" applyFont="1" applyFill="1" applyBorder="1" applyAlignment="1">
      <x:alignment vertical="top" wrapText="1"/>
    </x:xf>
    <x:xf numFmtId="204" fontId="0" fillId="8" borderId="1" xfId="0" applyNumberFormat="1" applyFont="1" applyFill="1" applyBorder="1" applyAlignment="1">
      <x:alignment vertical="top" wrapText="1"/>
    </x:xf>
    <x:xf numFmtId="202" fontId="0" fillId="11" borderId="1" xfId="0" applyNumberFormat="1" applyFont="1" applyFill="1" applyBorder="1" applyAlignment="1">
      <x:alignment vertical="top" wrapText="1"/>
    </x:xf>
    <x:xf numFmtId="201" fontId="0" fillId="11" borderId="1" xfId="0" applyNumberFormat="1" applyFont="1" applyFill="1" applyBorder="1" applyAlignment="1">
      <x:alignment vertical="top" wrapText="1"/>
    </x:xf>
    <x:xf numFmtId="0" fontId="0" fillId="11" borderId="1" xfId="0" applyNumberFormat="1" applyFont="1" applyFill="1" applyBorder="1" applyAlignment="1">
      <x:alignment vertical="top" wrapText="1"/>
    </x:xf>
    <x:xf numFmtId="202" fontId="6" fillId="11" borderId="1" xfId="0" applyNumberFormat="1" applyFont="1" applyFill="1" applyBorder="1" applyAlignment="1">
      <x:alignment vertical="top" wrapText="1"/>
    </x:xf>
    <x:xf numFmtId="201" fontId="6" fillId="11" borderId="1" xfId="0" applyNumberFormat="1" applyFont="1" applyFill="1" applyBorder="1" applyAlignment="1">
      <x:alignment vertical="top" wrapText="1"/>
    </x:xf>
    <x:xf numFmtId="0" fontId="6" fillId="11" borderId="1" xfId="0" applyNumberFormat="1" applyFont="1" applyFill="1" applyBorder="1" applyAlignment="1">
      <x:alignment vertical="top" wrapText="1"/>
    </x:xf>
    <x:xf numFmtId="202" fontId="6" fillId="11" borderId="2" xfId="0" applyNumberFormat="1" applyFont="1" applyFill="1" applyBorder="1" applyAlignment="1">
      <x:alignment vertical="top" wrapText="1"/>
    </x:xf>
    <x:xf numFmtId="201" fontId="6" fillId="11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1" borderId="4" xfId="0" applyNumberFormat="1" applyFont="1" applyFill="1" applyBorder="1" applyAlignment="1">
      <x:alignment vertical="top" wrapText="1"/>
    </x:xf>
    <x:xf numFmtId="202" fontId="6" fillId="11" borderId="5" xfId="0" applyNumberFormat="1" applyFont="1" applyFill="1" applyBorder="1" applyAlignment="1">
      <x:alignment vertical="top" wrapText="1"/>
    </x:xf>
    <x:xf numFmtId="201" fontId="6" fillId="11" borderId="6" xfId="0" applyNumberFormat="1" applyFont="1" applyFill="1" applyBorder="1" applyAlignment="1">
      <x:alignment vertical="top" wrapText="1"/>
    </x:xf>
    <x:xf numFmtId="0" fontId="6" fillId="11" borderId="6" xfId="0" applyNumberFormat="1" applyFont="1" applyFill="1" applyBorder="1" applyAlignment="1">
      <x:alignment vertical="top" wrapText="1"/>
    </x:xf>
    <x:xf numFmtId="0" fontId="6" fillId="11" borderId="7" xfId="0" applyNumberFormat="1" applyFont="1" applyFill="1" applyBorder="1" applyAlignment="1">
      <x:alignment vertical="top" wrapText="1"/>
    </x:xf>
    <x:xf numFmtId="0" fontId="6" fillId="11" borderId="5" xfId="0" applyNumberFormat="1" applyFont="1" applyFill="1" applyBorder="1" applyAlignment="1">
      <x:alignment vertical="top" wrapText="1"/>
    </x:xf>
    <x:xf numFmtId="0" fontId="6" fillId="11" borderId="8" xfId="0" applyNumberFormat="1" applyFont="1" applyFill="1" applyBorder="1" applyAlignment="1">
      <x:alignment vertical="top" wrapText="1"/>
    </x:xf>
    <x:xf numFmtId="0" fontId="6" fillId="11" borderId="9" xfId="0" applyNumberFormat="1" applyFont="1" applyFill="1" applyBorder="1" applyAlignment="1">
      <x:alignment vertical="top" wrapText="1"/>
    </x:xf>
    <x:xf numFmtId="0" fontId="6" fillId="11" borderId="10" xfId="0" applyNumberFormat="1" applyFont="1" applyFill="1" applyBorder="1" applyAlignment="1">
      <x:alignment vertical="top" wrapText="1"/>
    </x:xf>
    <x:xf numFmtId="202" fontId="0" fillId="12" borderId="1" xfId="0" applyNumberFormat="1" applyFont="1" applyFill="1" applyBorder="1" applyAlignment="1">
      <x:alignment vertical="top" wrapText="1"/>
    </x:xf>
    <x:xf numFmtId="203" fontId="0" fillId="12" borderId="1" xfId="0" applyNumberFormat="1" applyFont="1" applyFill="1" applyBorder="1" applyAlignment="1">
      <x:alignment vertical="top" wrapText="1"/>
    </x:xf>
    <x:xf numFmtId="204" fontId="0" fillId="12" borderId="1" xfId="0" applyNumberFormat="1" applyFont="1" applyFill="1" applyBorder="1" applyAlignment="1">
      <x:alignment vertical="top" wrapText="1"/>
    </x:xf>
    <x:xf numFmtId="202" fontId="8" fillId="12" borderId="1" xfId="0" applyNumberFormat="1" applyFont="1" applyFill="1" applyBorder="1" applyAlignment="1">
      <x:alignment vertical="top" wrapText="1"/>
    </x:xf>
    <x:xf numFmtId="203" fontId="8" fillId="12" borderId="1" xfId="0" applyNumberFormat="1" applyFont="1" applyFill="1" applyBorder="1" applyAlignment="1">
      <x:alignment vertical="top" wrapText="1"/>
    </x:xf>
    <x:xf numFmtId="204" fontId="8" fillId="12" borderId="1" xfId="0" applyNumberFormat="1" applyFont="1" applyFill="1" applyBorder="1" applyAlignment="1">
      <x:alignment vertical="top" wrapText="1"/>
    </x:xf>
    <x:xf numFmtId="202" fontId="8" fillId="12" borderId="11" xfId="0" applyNumberFormat="1" applyFont="1" applyFill="1" applyBorder="1" applyAlignment="1">
      <x:alignment vertical="top" wrapText="1"/>
    </x:xf>
    <x:xf numFmtId="202" fontId="8" fillId="12" borderId="12" xfId="0" applyNumberFormat="1" applyFont="1" applyFill="1" applyBorder="1" applyAlignment="1">
      <x:alignment vertical="top" wrapText="1"/>
    </x:xf>
    <x:xf numFmtId="203" fontId="8" fillId="12" borderId="12" xfId="0" applyNumberFormat="1" applyFont="1" applyFill="1" applyBorder="1" applyAlignment="1">
      <x:alignment vertical="top" wrapText="1"/>
    </x:xf>
    <x:xf numFmtId="204" fontId="8" fillId="12" borderId="12" xfId="0" applyNumberFormat="1" applyFont="1" applyFill="1" applyBorder="1" applyAlignment="1">
      <x:alignment vertical="top" wrapText="1"/>
    </x:xf>
    <x:xf numFmtId="204" fontId="8" fillId="12" borderId="13" xfId="0" applyNumberFormat="1" applyFont="1" applyFill="1" applyBorder="1" applyAlignment="1">
      <x:alignment vertical="top" wrapText="1"/>
    </x:xf>
    <x:xf numFmtId="0" fontId="9" fillId="10" borderId="1" xfId="0" applyNumberFormat="1" applyFont="1" applyFill="1" applyBorder="1" applyAlignment="1">
      <x:alignment vertical="top" wrapText="1"/>
    </x:xf>
    <x:xf numFmtId="0" fontId="0" fillId="11" borderId="1" xfId="0" applyNumberFormat="1" applyFont="1" applyFill="1" applyBorder="1" applyAlignment="1">
      <x:alignment horizontal="center" vertical="center" wrapText="1"/>
    </x:xf>
    <x:xf numFmtId="0" fontId="6" fillId="11" borderId="1" xfId="0" applyNumberFormat="1" applyFont="1" applyFill="1" applyBorder="1" applyAlignment="1">
      <x:alignment horizontal="center" vertical="center" wrapText="1"/>
    </x:xf>
    <x:xf numFmtId="164" fontId="0" fillId="12" borderId="1" xfId="0" applyNumberFormat="1" applyFont="1" applyFill="1" applyBorder="1" applyAlignment="1">
      <x:alignment horizontal="center" vertical="center" wrapText="1"/>
    </x:xf>
    <x:xf numFmtId="164" fontId="8" fillId="12" borderId="1" xfId="0" applyNumberFormat="1" applyFont="1" applyFill="1" applyBorder="1" applyAlignment="1">
      <x:alignment horizontal="center" vertical="center" wrapText="1"/>
    </x:xf>
    <x:xf numFmtId="202" fontId="6" fillId="11" borderId="1" xfId="0" applyNumberFormat="1" applyFont="1" applyFill="1" applyBorder="1" applyAlignment="1">
      <x:alignment horizontal="center" vertical="center" wrapText="1"/>
    </x:xf>
    <x:xf numFmtId="201" fontId="6" fillId="11" borderId="1" xfId="0" applyNumberFormat="1" applyFont="1" applyFill="1" applyBorder="1" applyAlignment="1">
      <x:alignment horizontal="center" vertical="center" wrapText="1"/>
    </x:xf>
    <x:xf numFmtId="202" fontId="8" fillId="12" borderId="1" xfId="0" applyNumberFormat="1" applyFont="1" applyFill="1" applyBorder="1" applyAlignment="1">
      <x:alignment horizontal="center" vertical="center" wrapText="1"/>
    </x:xf>
    <x:xf numFmtId="0" fontId="6" fillId="13" borderId="1" xfId="0" applyNumberFormat="1" applyFont="1" applyFill="1" applyBorder="1" applyAlignment="1">
      <x:alignment vertical="top" wrapText="1"/>
    </x:xf>
    <x:xf numFmtId="0" fontId="7" fillId="13" borderId="1" xfId="0" applyNumberFormat="1" applyFont="1" applyFill="1" applyBorder="1" applyAlignment="1">
      <x:alignment vertical="top" wrapText="1"/>
    </x:xf>
    <x:xf numFmtId="0" fontId="6" fillId="13" borderId="1" xfId="0" applyNumberFormat="1" applyFont="1" applyFill="1" applyBorder="1" applyAlignment="1">
      <x:alignment wrapText="1"/>
    </x:xf>
    <x:xf numFmtId="201" fontId="6" fillId="7" borderId="3" xfId="0" applyNumberFormat="1" applyFont="1" applyFill="1" applyBorder="1" applyAlignment="1">
      <x:alignment vertical="top" wrapText="1"/>
    </x:xf>
    <x:xf numFmtId="201" fontId="6" fillId="7" borderId="6" xfId="0" applyNumberFormat="1" applyFont="1" applyFill="1" applyBorder="1" applyAlignment="1">
      <x:alignment vertical="top" wrapText="1"/>
    </x:xf>
    <x:xf numFmtId="202" fontId="6" fillId="7" borderId="2" xfId="0" applyNumberFormat="1" applyFont="1" applyFill="1" applyBorder="1" applyAlignment="1">
      <x:alignment vertical="top" wrapText="1"/>
    </x:xf>
    <x:xf numFmtId="202" fontId="6" fillId="7" borderId="5" xfId="0" applyNumberFormat="1" applyFont="1" applyFill="1" applyBorder="1" applyAlignment="1">
      <x:alignment vertical="top" wrapText="1"/>
    </x:xf>
    <x:xf numFmtId="202" fontId="8" fillId="8" borderId="11" xfId="0" applyNumberFormat="1" applyFont="1" applyFill="1" applyBorder="1" applyAlignment="1">
      <x:alignment vertical="top" wrapText="1"/>
    </x:xf>
    <x:xf numFmtId="202" fontId="8" fillId="8" borderId="12" xfId="0" applyNumberFormat="1" applyFont="1" applyFill="1" applyBorder="1" applyAlignment="1">
      <x:alignment vertical="top" wrapText="1"/>
    </x:xf>
    <x:xf numFmtId="203" fontId="8" fillId="8" borderId="12" xfId="0" applyNumberFormat="1" applyFont="1" applyFill="1" applyBorder="1" applyAlignment="1">
      <x:alignment vertical="top" wrapText="1"/>
    </x:xf>
    <x:xf numFmtId="204" fontId="8" fillId="8" borderId="12" xfId="0" applyNumberFormat="1" applyFont="1" applyFill="1" applyBorder="1" applyAlignment="1">
      <x:alignment vertical="top" wrapText="1"/>
    </x:xf>
    <x:xf numFmtId="204" fontId="8" fillId="8" borderId="13" xfId="0" applyNumberFormat="1" applyFont="1" applyFill="1" applyBorder="1" applyAlignment="1">
      <x:alignment vertical="top" wrapText="1"/>
    </x:xf>
    <x:xf numFmtId="202" fontId="6" fillId="14" borderId="2" xfId="0" applyNumberFormat="1" applyFont="1" applyFill="1" applyBorder="1" applyAlignment="1">
      <x:alignment vertical="top" wrapText="1"/>
    </x:xf>
    <x:xf numFmtId="201" fontId="6" fillId="14" borderId="3" xfId="0" applyNumberFormat="1" applyFont="1" applyFill="1" applyBorder="1" applyAlignment="1">
      <x:alignment vertical="top" wrapText="1"/>
    </x:xf>
    <x:xf numFmtId="0" fontId="6" fillId="14" borderId="3" xfId="0" applyNumberFormat="1" applyFont="1" applyFill="1" applyBorder="1" applyAlignment="1">
      <x:alignment vertical="top" wrapText="1"/>
    </x:xf>
    <x:xf numFmtId="0" fontId="6" fillId="14" borderId="4" xfId="0" applyNumberFormat="1" applyFont="1" applyFill="1" applyBorder="1" applyAlignment="1">
      <x:alignment vertical="top" wrapText="1"/>
    </x:xf>
    <x:xf numFmtId="202" fontId="6" fillId="14" borderId="5" xfId="0" applyNumberFormat="1" applyFont="1" applyFill="1" applyBorder="1" applyAlignment="1">
      <x:alignment vertical="top" wrapText="1"/>
    </x:xf>
    <x:xf numFmtId="201" fontId="6" fillId="14" borderId="6" xfId="0" applyNumberFormat="1" applyFont="1" applyFill="1" applyBorder="1" applyAlignment="1">
      <x:alignment vertical="top" wrapText="1"/>
    </x:xf>
    <x:xf numFmtId="0" fontId="6" fillId="14" borderId="6" xfId="0" applyNumberFormat="1" applyFont="1" applyFill="1" applyBorder="1" applyAlignment="1">
      <x:alignment vertical="top" wrapText="1"/>
    </x:xf>
    <x:xf numFmtId="0" fontId="6" fillId="14" borderId="7" xfId="0" applyNumberFormat="1" applyFont="1" applyFill="1" applyBorder="1" applyAlignment="1">
      <x:alignment vertical="top" wrapText="1"/>
    </x:xf>
    <x:xf numFmtId="0" fontId="6" fillId="14" borderId="5" xfId="0" applyNumberFormat="1" applyFont="1" applyFill="1" applyBorder="1" applyAlignment="1">
      <x:alignment vertical="top" wrapText="1"/>
    </x:xf>
    <x:xf numFmtId="0" fontId="6" fillId="14" borderId="8" xfId="0" applyNumberFormat="1" applyFont="1" applyFill="1" applyBorder="1" applyAlignment="1">
      <x:alignment vertical="top" wrapText="1"/>
    </x:xf>
    <x:xf numFmtId="0" fontId="6" fillId="14" borderId="9" xfId="0" applyNumberFormat="1" applyFont="1" applyFill="1" applyBorder="1" applyAlignment="1">
      <x:alignment vertical="top" wrapText="1"/>
    </x:xf>
    <x:xf numFmtId="0" fontId="6" fillId="14" borderId="10" xfId="0" applyNumberFormat="1" applyFont="1" applyFill="1" applyBorder="1" applyAlignment="1">
      <x:alignment vertical="top" wrapText="1"/>
    </x:xf>
    <x:xf numFmtId="202" fontId="8" fillId="15" borderId="11" xfId="0" applyNumberFormat="1" applyFont="1" applyFill="1" applyBorder="1" applyAlignment="1">
      <x:alignment vertical="top" wrapText="1"/>
    </x:xf>
    <x:xf numFmtId="202" fontId="8" fillId="15" borderId="12" xfId="0" applyNumberFormat="1" applyFont="1" applyFill="1" applyBorder="1" applyAlignment="1">
      <x:alignment vertical="top" wrapText="1"/>
    </x:xf>
    <x:xf numFmtId="203" fontId="8" fillId="15" borderId="12" xfId="0" applyNumberFormat="1" applyFont="1" applyFill="1" applyBorder="1" applyAlignment="1">
      <x:alignment vertical="top" wrapText="1"/>
    </x:xf>
    <x:xf numFmtId="204" fontId="8" fillId="15" borderId="12" xfId="0" applyNumberFormat="1" applyFont="1" applyFill="1" applyBorder="1" applyAlignment="1">
      <x:alignment vertical="top" wrapText="1"/>
    </x:xf>
    <x:xf numFmtId="204" fontId="8" fillId="15" borderId="13" xfId="0" applyNumberFormat="1" applyFont="1" applyFill="1" applyBorder="1" applyAlignment="1">
      <x:alignment vertical="top" wrapText="1"/>
    </x:xf>
    <x:xf numFmtId="0" fontId="9" fillId="13" borderId="1" xfId="0" applyNumberFormat="1" applyFont="1" applyFill="1" applyBorder="1" applyAlignment="1">
      <x:alignment vertical="top" wrapText="1"/>
    </x:xf>
    <x:xf numFmtId="202" fontId="6" fillId="14" borderId="1" xfId="0" applyNumberFormat="1" applyFont="1" applyFill="1" applyBorder="1" applyAlignment="1">
      <x:alignment horizontal="center" vertical="center" wrapText="1"/>
    </x:xf>
    <x:xf numFmtId="201" fontId="6" fillId="14" borderId="1" xfId="0" applyNumberFormat="1" applyFont="1" applyFill="1" applyBorder="1" applyAlignment="1">
      <x:alignment horizontal="center" vertical="center" wrapText="1"/>
    </x:xf>
    <x:xf numFmtId="0" fontId="6" fillId="14" borderId="1" xfId="0" applyNumberFormat="1" applyFont="1" applyFill="1" applyBorder="1" applyAlignment="1">
      <x:alignment horizontal="center" vertical="center" wrapText="1"/>
    </x:xf>
    <x:xf numFmtId="202" fontId="8" fillId="15" borderId="1" xfId="0" applyNumberFormat="1" applyFont="1" applyFill="1" applyBorder="1" applyAlignment="1">
      <x:alignment horizontal="center" vertical="center" wrapText="1"/>
    </x:xf>
    <x:xf numFmtId="164" fontId="8" fillId="15" borderId="1" xfId="0" applyNumberFormat="1" applyFont="1" applyFill="1" applyBorder="1" applyAlignment="1">
      <x:alignment horizontal="center" vertical="center" wrapText="1"/>
    </x:xf>
    <x:xf numFmtId="0" fontId="6" fillId="16" borderId="1" xfId="0" applyNumberFormat="1" applyFont="1" applyFill="1" applyBorder="1" applyAlignment="1">
      <x:alignment vertical="top" wrapText="1"/>
    </x:xf>
    <x:xf numFmtId="0" fontId="7" fillId="16" borderId="1" xfId="0" applyNumberFormat="1" applyFont="1" applyFill="1" applyBorder="1" applyAlignment="1">
      <x:alignment vertical="top" wrapText="1"/>
    </x:xf>
    <x:xf numFmtId="0" fontId="6" fillId="16" borderId="1" xfId="0" applyNumberFormat="1" applyFont="1" applyFill="1" applyBorder="1" applyAlignment="1">
      <x:alignment wrapText="1"/>
    </x:xf>
    <x:xf numFmtId="202" fontId="6" fillId="17" borderId="2" xfId="0" applyNumberFormat="1" applyFont="1" applyFill="1" applyBorder="1" applyAlignment="1">
      <x:alignment vertical="top" wrapText="1"/>
    </x:xf>
    <x:xf numFmtId="201" fontId="6" fillId="17" borderId="3" xfId="0" applyNumberFormat="1" applyFont="1" applyFill="1" applyBorder="1" applyAlignment="1">
      <x:alignment vertical="top" wrapText="1"/>
    </x:xf>
    <x:xf numFmtId="0" fontId="6" fillId="17" borderId="3" xfId="0" applyNumberFormat="1" applyFont="1" applyFill="1" applyBorder="1" applyAlignment="1">
      <x:alignment vertical="top" wrapText="1"/>
    </x:xf>
    <x:xf numFmtId="202" fontId="6" fillId="17" borderId="5" xfId="0" applyNumberFormat="1" applyFont="1" applyFill="1" applyBorder="1" applyAlignment="1">
      <x:alignment vertical="top" wrapText="1"/>
    </x:xf>
    <x:xf numFmtId="201" fontId="6" fillId="17" borderId="6" xfId="0" applyNumberFormat="1" applyFont="1" applyFill="1" applyBorder="1" applyAlignment="1">
      <x:alignment vertical="top" wrapText="1"/>
    </x:xf>
    <x:xf numFmtId="0" fontId="6" fillId="17" borderId="6" xfId="0" applyNumberFormat="1" applyFont="1" applyFill="1" applyBorder="1" applyAlignment="1">
      <x:alignment vertical="top" wrapText="1"/>
    </x:xf>
    <x:xf numFmtId="0" fontId="6" fillId="17" borderId="5" xfId="0" applyNumberFormat="1" applyFont="1" applyFill="1" applyBorder="1" applyAlignment="1">
      <x:alignment vertical="top" wrapText="1"/>
    </x:xf>
    <x:xf numFmtId="202" fontId="8" fillId="18" borderId="11" xfId="0" applyNumberFormat="1" applyFont="1" applyFill="1" applyBorder="1" applyAlignment="1">
      <x:alignment vertical="top" wrapText="1"/>
    </x:xf>
    <x:xf numFmtId="202" fontId="8" fillId="18" borderId="12" xfId="0" applyNumberFormat="1" applyFont="1" applyFill="1" applyBorder="1" applyAlignment="1">
      <x:alignment vertical="top" wrapText="1"/>
    </x:xf>
    <x:xf numFmtId="203" fontId="8" fillId="18" borderId="12" xfId="0" applyNumberFormat="1" applyFont="1" applyFill="1" applyBorder="1" applyAlignment="1">
      <x:alignment vertical="top" wrapText="1"/>
    </x:xf>
    <x:xf numFmtId="204" fontId="8" fillId="18" borderId="12" xfId="0" applyNumberFormat="1" applyFont="1" applyFill="1" applyBorder="1" applyAlignment="1">
      <x:alignment vertical="top" wrapText="1"/>
    </x:xf>
    <x:xf numFmtId="204" fontId="8" fillId="18" borderId="13" xfId="0" applyNumberFormat="1" applyFont="1" applyFill="1" applyBorder="1" applyAlignment="1">
      <x:alignment vertical="top" wrapText="1"/>
    </x:xf>
    <x:xf numFmtId="0" fontId="9" fillId="16" borderId="1" xfId="0" applyNumberFormat="1" applyFont="1" applyFill="1" applyBorder="1" applyAlignment="1">
      <x:alignment vertical="top" wrapText="1"/>
    </x:xf>
    <x:xf numFmtId="0" fontId="0" fillId="19" borderId="1" xfId="0" applyNumberFormat="1" applyFont="1" applyFill="1" applyBorder="1" applyAlignment="1">
      <x:alignment horizontal="center" vertical="center" wrapText="1"/>
    </x:xf>
    <x:xf numFmtId="0" fontId="0" fillId="19" borderId="1" xfId="0" applyNumberFormat="1" applyFont="1" applyFill="1" applyBorder="1" applyAlignment="1">
      <x:alignment horizontal="left" vertical="center" wrapText="1"/>
    </x:xf>
    <x:xf numFmtId="164" fontId="0" fillId="19" borderId="1" xfId="0" applyNumberFormat="1" applyFont="1" applyFill="1" applyBorder="1" applyAlignment="1">
      <x:alignment horizontal="center" vertical="center" wrapText="1"/>
    </x:xf>
    <x:xf numFmtId="0" fontId="3" fillId="19" borderId="1" xfId="0" applyNumberFormat="1" applyFont="1" applyFill="1" applyBorder="1" applyAlignment="1">
      <x:alignment vertical="top" wrapText="1"/>
    </x:xf>
    <x:xf numFmtId="0" fontId="5" fillId="19" borderId="1" xfId="0" applyNumberFormat="1" applyFont="1" applyFill="1" applyBorder="1" applyAlignment="1">
      <x:alignment vertical="top" wrapText="1"/>
    </x:xf>
    <x:xf numFmtId="10" fontId="0" fillId="19" borderId="1" xfId="0" applyNumberFormat="1" applyFont="1" applyFill="1" applyBorder="1" applyAlignment="1">
      <x:alignment horizontal="center" vertical="center" wrapText="1"/>
    </x:xf>
    <x:xf numFmtId="2" fontId="0" fillId="19" borderId="1" xfId="0" applyNumberFormat="1" applyFont="1" applyFill="1" applyBorder="1" applyAlignment="1">
      <x:alignment horizontal="center" vertical="center" wrapText="1"/>
    </x:xf>
    <x:xf numFmtId="0" fontId="6" fillId="19" borderId="1" xfId="0" applyNumberFormat="1" applyFont="1" applyFill="1" applyBorder="1" applyAlignment="1">
      <x:alignment horizontal="center" vertical="center" wrapText="1"/>
    </x:xf>
    <x:xf numFmtId="0" fontId="6" fillId="19" borderId="1" xfId="0" applyNumberFormat="1" applyFont="1" applyFill="1" applyBorder="1" applyAlignment="1">
      <x:alignment horizontal="left" vertical="center" wrapText="1"/>
    </x:xf>
    <x:xf numFmtId="164" fontId="6" fillId="19" borderId="1" xfId="0" applyNumberFormat="1" applyFont="1" applyFill="1" applyBorder="1" applyAlignment="1">
      <x:alignment horizontal="center" vertical="center" wrapText="1"/>
    </x:xf>
    <x:xf numFmtId="0" fontId="10" fillId="19" borderId="1" xfId="0" applyNumberFormat="1" applyFont="1" applyFill="1" applyBorder="1" applyAlignment="1">
      <x:alignment vertical="top" wrapText="1"/>
    </x:xf>
    <x:xf numFmtId="10" fontId="6" fillId="19" borderId="1" xfId="0" applyNumberFormat="1" applyFont="1" applyFill="1" applyBorder="1" applyAlignment="1">
      <x:alignment horizontal="center" vertical="center" wrapText="1"/>
    </x:xf>
    <x:xf numFmtId="2" fontId="6" fillId="19" borderId="1" xfId="0" applyNumberFormat="1" applyFont="1" applyFill="1" applyBorder="1" applyAlignment="1">
      <x:alignment horizontal="center" vertical="center" wrapText="1"/>
    </x:xf>
    <x:xf numFmtId="202" fontId="6" fillId="17" borderId="1" xfId="0" applyNumberFormat="1" applyFont="1" applyFill="1" applyBorder="1" applyAlignment="1">
      <x:alignment horizontal="center" vertical="center" wrapText="1"/>
    </x:xf>
    <x:xf numFmtId="201" fontId="6" fillId="17" borderId="1" xfId="0" applyNumberFormat="1" applyFont="1" applyFill="1" applyBorder="1" applyAlignment="1">
      <x:alignment horizontal="center" vertical="center" wrapText="1"/>
    </x:xf>
    <x:xf numFmtId="0" fontId="6" fillId="17" borderId="1" xfId="0" applyNumberFormat="1" applyFont="1" applyFill="1" applyBorder="1" applyAlignment="1">
      <x:alignment horizontal="center" vertical="center" wrapText="1"/>
    </x:xf>
    <x:xf numFmtId="202" fontId="8" fillId="18" borderId="1" xfId="0" applyNumberFormat="1" applyFont="1" applyFill="1" applyBorder="1" applyAlignment="1">
      <x:alignment horizontal="center" vertical="center" wrapText="1"/>
    </x:xf>
    <x:xf numFmtId="164" fontId="8" fillId="18" borderId="1" xfId="0" applyNumberFormat="1" applyFont="1" applyFill="1" applyBorder="1" applyAlignment="1">
      <x:alignment horizontal="center" vertical="center" wrapText="1"/>
    </x:xf>
    <x:xf numFmtId="0" fontId="0" fillId="19" borderId="1" xfId="0" applyNumberFormat="1" applyFont="1" applyFill="1" applyBorder="1" applyAlignment="1">
      <x:alignment vertical="top" wrapText="1"/>
    </x:xf>
    <x:xf numFmtId="0" fontId="6" fillId="19" borderId="1" xfId="0" applyNumberFormat="1" applyFont="1" applyFill="1" applyBorder="1" applyAlignment="1">
      <x:alignment vertical="top" wrapText="1"/>
    </x:xf>
    <x:xf numFmtId="0" fontId="8" fillId="16" borderId="1" xfId="0" applyNumberFormat="1" applyFont="1" applyFill="1" applyBorder="1" applyAlignment="1">
      <x:alignment vertical="top" wrapText="1"/>
    </x:xf>
    <x:xf numFmtId="0" fontId="7" fillId="20" borderId="1" xfId="0" applyNumberFormat="1" applyFont="1" applyFill="1" applyBorder="1" applyAlignment="1">
      <x:alignment vertical="top" wrapText="1"/>
    </x:xf>
    <x:xf numFmtId="0" fontId="6" fillId="20" borderId="1" xfId="0" applyNumberFormat="1" applyFont="1" applyFill="1" applyBorder="1" applyAlignment="1">
      <x:alignment wrapText="1"/>
    </x:xf>
    <x:xf numFmtId="0" fontId="0" fillId="20" borderId="1" xfId="0" applyNumberFormat="1" applyFont="1" applyFill="1" applyBorder="1"/>
    <x:xf numFmtId="0" fontId="6" fillId="20" borderId="1" xfId="0" applyNumberFormat="1" applyFont="1" applyFill="1" applyBorder="1"/>
  </x:cellXfs>
  <x:cellStyles count="1">
    <x:cellStyle name="Normal" xfId="0"/>
  </x:cellStyles>
  <x:dxfs count="6">
    <x:dxf>
      <x:font>
        <x:b/>
        <x:color rgb="FF1A6B3C"/>
      </x:font>
      <x:fill>
        <x:patternFill>
          <x:bgColor rgb="FFE2F0D9"/>
        </x:patternFill>
      </x:fill>
    </x:dxf>
    <x:dxf>
      <x:font>
        <x:b/>
        <x:color rgb="FF9C4A2B"/>
      </x:font>
      <x:fill>
        <x:patternFill>
          <x:bgColor rgb="FFFCE4D6"/>
        </x:patternFill>
      </x:fill>
    </x:dxf>
    <x:dxf>
      <x:font>
        <x:b/>
        <x:color rgb="FF1A6B3C"/>
      </x:font>
      <x:fill>
        <x:patternFill>
          <x:bgColor rgb="FFE2F0D9"/>
        </x:patternFill>
      </x:fill>
    </x:dxf>
    <x:dxf>
      <x:font>
        <x:b/>
        <x:color rgb="FF9C4A2B"/>
      </x:font>
      <x:fill>
        <x:patternFill>
          <x:bgColor rgb="FFFCE4D6"/>
        </x:patternFill>
      </x:fill>
    </x:dxf>
    <x:dxf>
      <x:font>
        <x:b/>
        <x:color rgb="FF1A6B3C"/>
      </x:font>
      <x:fill>
        <x:patternFill>
          <x:bgColor rgb="FFE2F0D9"/>
        </x:patternFill>
      </x:fill>
    </x:dxf>
    <x:dxf>
      <x:font>
        <x:b/>
        <x:color rgb="FF9C4A2B"/>
      </x:font>
      <x:fill>
        <x:patternFill>
          <x:bgColor rgb="FFFCE4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65f7fbde544f0e" /><Relationship Type="http://schemas.openxmlformats.org/officeDocument/2006/relationships/theme" Target="/xl/theme/theme1.xml" Id="R66a4810d38f94b3b" /><Relationship Type="http://schemas.openxmlformats.org/officeDocument/2006/relationships/sharedStrings" Target="/xl/sharedStrings.xml" Id="Ra5bde911902b44ed" /><Relationship Type="http://schemas.openxmlformats.org/officeDocument/2006/relationships/worksheet" Target="/xl/worksheets/sheet1.xml" Id="R325a6b8cc54c419f" /><Relationship Type="http://schemas.openxmlformats.org/officeDocument/2006/relationships/worksheet" Target="/xl/worksheets/sheet2.xml" Id="R09b8cdf6671446eb" /><Relationship Type="http://schemas.openxmlformats.org/officeDocument/2006/relationships/worksheet" Target="/xl/worksheets/sheet3.xml" Id="R0ef6a62183814cd4" /><Relationship Type="http://schemas.openxmlformats.org/officeDocument/2006/relationships/worksheet" Target="/xl/worksheets/sheet4.xml" Id="Rdbc641af4461439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2" customWidth="1"/>
    <x:col min="2" max="2" width="70" customWidth="1"/>
    <x:col min="3" max="3" width="20" customWidth="1"/>
    <x:col min="4" max="6" width="16" customWidth="1"/>
  </x:cols>
  <x:sheetData>
    <x:row r="1" ht="26" customHeight="1">
      <x:c r="A1" s="14" t="inlineStr">
        <x:is>
          <x:t xml:space="preserve">BUS123 - MATH-M09-L01</x:t>
        </x:is>
      </x:c>
      <x:c r="B1" s="17" t="n"/>
      <x:c r="C1" s="17" t="n"/>
      <x:c r="D1" s="17" t="n"/>
      <x:c r="E1" s="17" t="n"/>
      <x:c r="F1" s="17" t="n"/>
    </x:row>
    <x:row r="2" ht="32" customHeight="1">
      <x:c r="A2" s="11" t="inlineStr">
        <x:is>
          <x:t xml:space="preserve">Compound Interest and Future Value</x:t>
        </x:is>
      </x:c>
      <x:c r="B2" s="17" t="n"/>
      <x:c r="C2" s="17" t="n"/>
      <x:c r="D2" s="17" t="n"/>
      <x:c r="E2" s="17" t="n"/>
      <x:c r="F2" s="17" t="n"/>
    </x:row>
    <x:row r="3">
      <x:c r="A3" s="12" t="n"/>
      <x:c r="B3" s="12" t="n"/>
      <x:c r="C3" s="12" t="n"/>
      <x:c r="D3" s="12" t="n"/>
      <x:c r="E3" s="12" t="n"/>
      <x:c r="F3" s="12" t="n"/>
    </x:row>
    <x:row r="4" ht="22" customHeight="1">
      <x:c r="A4" s="16" t="inlineStr">
        <x:is>
          <x:t xml:space="preserve">How to Use This Workbook</x:t>
        </x:is>
      </x:c>
      <x:c r="B4" s="17" t="n"/>
      <x:c r="C4" s="17" t="n"/>
      <x:c r="D4" s="17" t="n"/>
      <x:c r="E4" s="17" t="n"/>
      <x:c r="F4" s="17" t="n"/>
    </x:row>
    <x:row r="5" ht="16" customHeight="1">
      <x:c r="A5" s="12" t="inlineStr">
        <x:is>
          <x:t xml:space="preserve">1</x:t>
        </x:is>
      </x:c>
      <x:c r="B5" s="12" t="str">
        <x:v>Open the slide deck and workbook before class; use the slide number in Live You Try It to find each pause.</x:v>
      </x:c>
      <x:c r="C5" s="12" t="n"/>
      <x:c r="D5" s="12" t="n"/>
      <x:c r="E5" s="12" t="n"/>
      <x:c r="F5" s="12" t="n"/>
    </x:row>
    <x:row r="6" ht="16" customHeight="1">
      <x:c r="A6" s="12" t="inlineStr">
        <x:is>
          <x:t xml:space="preserve">2</x:t>
        </x:is>
      </x:c>
      <x:c r="B6" s="12" t="str">
        <x:v>Cells labeled INPUT use yellow fill. Enter the scenario givens there before building a formula.</x:v>
      </x:c>
      <x:c r="C6" s="12" t="n"/>
      <x:c r="D6" s="12" t="n"/>
      <x:c r="E6" s="12" t="n"/>
      <x:c r="F6" s="12" t="n"/>
    </x:row>
    <x:row r="7" ht="16" customHeight="1">
      <x:c r="A7" s="12" t="inlineStr">
        <x:is>
          <x:t xml:space="preserve">3</x:t>
        </x:is>
      </x:c>
      <x:c r="B7" s="12" t="str">
        <x:v>Cells labeled FORMULA / RESULT use blue fill. Build formulas with cell references; do not type the answer as a constant.</x:v>
      </x:c>
      <x:c r="C7" s="12" t="n"/>
      <x:c r="D7" s="12" t="n"/>
      <x:c r="E7" s="12" t="n"/>
      <x:c r="F7" s="12" t="n"/>
    </x:row>
    <x:row r="8" ht="16" customHeight="1">
      <x:c r="A8" s="12" t="inlineStr">
        <x:is>
          <x:t xml:space="preserve">4</x:t>
        </x:is>
      </x:c>
      <x:c r="B8" s="12" t="str">
        <x:v>Feedback checks the formula, required references, and value. A hardcoded value does not count as complete.</x:v>
      </x:c>
      <x:c r="C8" s="12" t="n"/>
      <x:c r="D8" s="12" t="n"/>
      <x:c r="E8" s="12" t="n"/>
      <x:c r="F8" s="12" t="n"/>
    </x:row>
    <x:row r="9" ht="32" customHeight="1">
      <x:c r="A9" s="12" t="inlineStr">
        <x:is>
          <x:t xml:space="preserve">5</x:t>
        </x:is>
      </x:c>
      <x:c r="B9" s="12" t="str">
        <x:v>Class Challenge deliverable: formulas, the Account A/B difference, and a two-sentence recommendation with evidence.</x:v>
      </x:c>
      <x:c r="C9" s="12" t="n"/>
      <x:c r="D9" s="12" t="n"/>
      <x:c r="E9" s="12" t="n"/>
      <x:c r="F9" s="12" t="n"/>
    </x:row>
    <x:row r="10">
      <x:c r="A10" s="12" t="n"/>
      <x:c r="B10" s="12" t="n"/>
      <x:c r="C10" s="12" t="n"/>
      <x:c r="D10" s="12" t="n"/>
      <x:c r="E10" s="12" t="n"/>
      <x:c r="F10" s="12" t="n"/>
    </x:row>
    <x:row r="11" ht="22" customHeight="1">
      <x:c r="A11" s="13" t="inlineStr">
        <x:is>
          <x:t xml:space="preserve">Required Public Tabs</x:t>
        </x:is>
      </x:c>
      <x:c r="B11" s="17" t="n"/>
      <x:c r="C11" s="17" t="n"/>
      <x:c r="D11" s="17" t="n"/>
      <x:c r="E11" s="17" t="n"/>
      <x:c r="F11" s="17" t="n"/>
    </x:row>
    <x:row r="12" ht="16" customHeight="1">
      <x:c r="A12" s="12" t="inlineStr">
        <x:is>
          <x:t xml:space="preserve">Live You Try It</x:t>
        </x:is>
      </x:c>
      <x:c r="B12" s="12" t="inlineStr">
        <x:is>
          <x:t xml:space="preserve">Self-graded practice with hints and feedback; not part of the private rubric.</x:t>
        </x:is>
      </x:c>
      <x:c r="C12" s="12" t="n"/>
      <x:c r="D12" s="12" t="n"/>
      <x:c r="E12" s="12" t="n"/>
      <x:c r="F12" s="12" t="n"/>
    </x:row>
    <x:row r="13" ht="32" customHeight="1">
      <x:c r="A13" s="12" t="inlineStr">
        <x:is>
          <x:t xml:space="preserve">Class Challenge</x:t>
        </x:is>
      </x:c>
      <x:c r="B13" s="12" t="inlineStr">
        <x:is>
          <x:t xml:space="preserve">The only graded/next-level activity tab.</x:t>
        </x:is>
      </x:c>
      <x:c r="C13" s="12" t="n"/>
      <x:c r="D13" s="12" t="n"/>
      <x:c r="E13" s="12" t="n"/>
      <x:c r="F13" s="12" t="n"/>
    </x:row>
    <x:row r="14" ht="32" customHeight="1">
      <x:c r="A14" s="12" t="inlineStr">
        <x:is>
          <x:t xml:space="preserve">FormulaReferenceCard</x:t>
        </x:is>
      </x:c>
      <x:c r="B14" s="12" t="inlineStr">
        <x:is>
          <x:t xml:space="preserve">Formula syntax reminders for this lesson.</x:t>
        </x:is>
      </x:c>
      <x:c r="C14" s="12" t="n"/>
      <x:c r="D14" s="12" t="n"/>
      <x:c r="E14" s="12" t="n"/>
      <x:c r="F14" s="12" t="n"/>
    </x:row>
    <x:row r="15">
      <x:c r="A15" s="12" t="n"/>
      <x:c r="B15" s="12" t="n"/>
      <x:c r="C15" s="12" t="n"/>
      <x:c r="D15" s="12" t="n"/>
      <x:c r="E15" s="12" t="n"/>
      <x:c r="F15" s="12" t="n"/>
    </x:row>
    <x:row r="16">
      <x:c r="A16" s="109" t="str">
        <x:v>Accessibility cue</x:v>
      </x:c>
      <x:c r="B16" s="109" t="str">
        <x:v>INPUT, FORMULA / RESULT, and FEEDBACK labels carry the meaning even if color is unavailable.</x:v>
      </x:c>
      <x:c r="C16" s="12" t="n"/>
      <x:c r="D16" s="12" t="n"/>
      <x:c r="E16" s="12" t="n"/>
      <x:c r="F16" s="12" t="n"/>
    </x:row>
    <x:row r="17" ht="32" customHeight="1">
      <x:c r="A17" s="146" t="str">
        <x:v>Model boundary</x:v>
      </x:c>
      <x:c r="B17" s="147" t="str">
        <x:v>Training models assume fixed positive rates, periodic compounding, and no taxes, fees, or inflation.</x:v>
      </x:c>
      <x:c r="C17" s="147" t="n"/>
      <x:c r="D17" s="147" t="n"/>
      <x:c r="E17" s="147" t="n"/>
      <x:c r="F17" s="147" t="n"/>
    </x:row>
    <x:row r="18" ht="16" customHeight="1">
      <x:c r="A18" s="12" t="n">
        <x:v>1</x:v>
      </x:c>
      <x:c r="B18" s="12" t="inlineStr">
        <x:is>
          <x:t xml:space="preserve">Explain why compound interest grows differently from simple interest.</x:t>
        </x:is>
      </x:c>
      <x:c r="C18" s="12" t="n"/>
      <x:c r="D18" s="12" t="n"/>
      <x:c r="E18" s="12" t="n"/>
      <x:c r="F18" s="12" t="n"/>
    </x:row>
    <x:row r="19" ht="16" customHeight="1">
      <x:c r="A19" s="12" t="n">
        <x:v>2</x:v>
      </x:c>
      <x:c r="B19" s="12" t="inlineStr">
        <x:is>
          <x:t xml:space="preserve">Build =FV() formulas with correct sign convention.</x:t>
        </x:is>
      </x:c>
      <x:c r="C19" s="12" t="n"/>
      <x:c r="D19" s="12" t="n"/>
      <x:c r="E19" s="12" t="n"/>
      <x:c r="F19" s="12" t="n"/>
    </x:row>
    <x:row r="20" ht="16" customHeight="1">
      <x:c r="A20" s="12" t="n">
        <x:v>3</x:v>
      </x:c>
      <x:c r="B20" s="12" t="inlineStr">
        <x:is>
          <x:t xml:space="preserve">Adjust rate and nper for non-annual compounding.</x:t>
        </x:is>
      </x:c>
      <x:c r="C20" s="12" t="n"/>
      <x:c r="D20" s="12" t="n"/>
      <x:c r="E20" s="12" t="n"/>
      <x:c r="F20" s="12" t="n"/>
    </x:row>
    <x:row r="21" ht="16" customHeight="1">
      <x:c r="A21" s="12" t="n">
        <x:v>4</x:v>
      </x:c>
      <x:c r="B21" s="12" t="inlineStr">
        <x:is>
          <x:t xml:space="preserve">Use Rule of 72 as an estimate and verify with Excel.</x:t>
        </x:is>
      </x:c>
      <x:c r="C21" s="12" t="n"/>
      <x:c r="D21" s="12" t="n"/>
      <x:c r="E21" s="12" t="n"/>
      <x:c r="F21" s="12" t="n"/>
    </x:row>
    <x:row r="22">
      <x:c r="A22" s="12" t="n"/>
      <x:c r="B22" s="12" t="n"/>
      <x:c r="C22" s="12" t="n"/>
      <x:c r="D22" s="12" t="n"/>
      <x:c r="E22" s="12" t="n"/>
      <x:c r="F22" s="12" t="n"/>
    </x:row>
  </x:sheetData>
  <x:mergeCells>
    <x:mergeCell ref="A2:F2"/>
    <x:mergeCell ref="A11:F11"/>
    <x:mergeCell ref="A1:F1"/>
    <x:mergeCell ref="A4:F4"/>
    <x:mergeCell ref="B17:F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3" customWidth="1"/>
    <x:col min="2" max="2" width="10" customWidth="1"/>
    <x:col min="3" max="3" width="38" customWidth="1"/>
    <x:col min="4" max="7" width="14" customWidth="1"/>
    <x:col min="8" max="8" width="20" customWidth="1"/>
    <x:col min="9" max="9" width="34" customWidth="1"/>
    <x:col min="10" max="10" width="28" customWidth="1"/>
  </x:cols>
  <x:sheetData>
    <x:row r="1" ht="26" customHeight="1">
      <x:c r="A1" s="14" t="inlineStr">
        <x:is>
          <x:t xml:space="preserve">MATH-M09-L01 - Live You Try It</x:t>
        </x:is>
      </x:c>
      <x:c r="B1" s="17" t="n"/>
      <x:c r="C1" s="17" t="n"/>
      <x:c r="D1" s="17" t="n"/>
      <x:c r="E1" s="17" t="n"/>
      <x:c r="F1" s="17" t="n"/>
      <x:c r="G1" s="17" t="n"/>
      <x:c r="H1" s="17" t="n"/>
      <x:c r="I1" s="17" t="n"/>
      <x:c r="J1" s="17" t="n"/>
    </x:row>
    <x:row r="2" ht="32" customHeight="1">
      <x:c r="A2" s="11" t="inlineStr">
        <x:is>
          <x:t xml:space="preserve">Self-graded Excel pauses. Enter slide givens into yellow cells, then build formulas with cell references.</x:t>
        </x:is>
      </x:c>
      <x:c r="B2" s="17" t="n"/>
      <x:c r="C2" s="17" t="n"/>
      <x:c r="D2" s="17" t="n"/>
      <x:c r="E2" s="17" t="n"/>
      <x:c r="F2" s="17" t="n"/>
      <x:c r="G2" s="17" t="n"/>
      <x:c r="H2" s="17" t="n"/>
      <x:c r="I2" s="17" t="n"/>
      <x:c r="J2" s="17" t="n"/>
    </x:row>
    <x:row r="3">
      <x:c r="A3" s="12" t="n"/>
      <x:c r="B3" s="12" t="n"/>
      <x:c r="C3" s="12" t="n"/>
      <x:c r="D3" s="12" t="n"/>
      <x:c r="E3" s="12" t="n"/>
      <x:c r="F3" s="12" t="n"/>
      <x:c r="G3" s="12" t="n"/>
      <x:c r="H3" s="12" t="n"/>
      <x:c r="I3" s="12" t="n"/>
      <x:c r="J3" s="12" t="n"/>
    </x:row>
    <x:row r="4" ht="22" customHeight="1">
      <x:c r="A4" s="16" t="inlineStr">
        <x:is>
          <x:t xml:space="preserve">Practice Rows</x:t>
        </x:is>
      </x:c>
      <x:c r="B4" s="17" t="n"/>
      <x:c r="C4" s="17" t="n"/>
      <x:c r="D4" s="17" t="n"/>
      <x:c r="E4" s="17" t="n"/>
      <x:c r="F4" s="17" t="n"/>
      <x:c r="G4" s="17" t="n"/>
      <x:c r="H4" s="17" t="n"/>
      <x:c r="I4" s="17" t="n"/>
      <x:c r="J4" s="17" t="n"/>
    </x:row>
    <x:row r="5" ht="32" customHeight="1">
      <x:c r="A5" s="2" t="str">
        <x:v>Pause</x:v>
      </x:c>
      <x:c r="B5" s="2" t="str">
        <x:v>Slide</x:v>
      </x:c>
      <x:c r="C5" s="2" t="str">
        <x:v>Build This</x:v>
      </x:c>
      <x:c r="D5" s="2" t="str">
        <x:v>Principal / Rate (%)</x:v>
      </x:c>
      <x:c r="E5" s="2" t="str">
        <x:v>Annual Rate</x:v>
      </x:c>
      <x:c r="F5" s="2" t="str">
        <x:v>Years</x:v>
      </x:c>
      <x:c r="G5" s="2" t="str">
        <x:v>Periods / Year</x:v>
      </x:c>
      <x:c r="H5" s="2" t="str">
        <x:v>FORMULA / RESULT</x:v>
      </x:c>
      <x:c r="I5" s="2" t="str">
        <x:v>Formula Hint</x:v>
      </x:c>
      <x:c r="J5" s="2" t="str">
        <x:v>FEEDBACK</x:v>
      </x:c>
    </x:row>
    <x:row r="6" ht="30" customHeight="1">
      <x:c r="A6" s="12" t="str">
        <x:v>Annual FV</x:v>
      </x:c>
      <x:c r="B6" s="12" t="str">
        <x:v>10</x:v>
      </x:c>
      <x:c r="C6" s="12" t="str">
        <x:v>Rebuild the instructor future-value model.</x:v>
      </x:c>
      <x:c r="D6" s="112" t="n">
        <x:v>40000</x:v>
      </x:c>
      <x:c r="E6" s="113" t="n">
        <x:v>0.04</x:v>
      </x:c>
      <x:c r="F6" s="114" t="n">
        <x:v>3</x:v>
      </x:c>
      <x:c r="G6" s="114" t="n">
        <x:v>1</x:v>
      </x:c>
      <x:c r="H6" s="119"/>
      <x:c r="I6" s="5" t="str">
        <x:v>Use FV with the rate and periods in this row.</x:v>
      </x:c>
      <x:c r="J6" s="6" t="str">
        <x:f>IF(H6="","Enter the FV formula.",IF(NOT(ISFORMULA(H6)),"Correct values must be built with a formula.",IF(AND(ABS(H6-(44994.56))&lt;0.02,ISNUMBER(SEARCH("D6",FORMULATEXT(H6))),ISNUMBER(SEARCH("E6",FORMULATEXT(H6))),ISNUMBER(SEARCH("F6",FORMULATEXT(H6))),ISNUMBER(SEARCH("G6",FORMULATEXT(H6)))),"Correct formula, references, and value.","Check D6:G6, period timing, and the present-value sign.")))</x:f>
        <x:v>Enter the FV formula.</x:v>
      </x:c>
    </x:row>
    <x:row r="7" ht="16" customHeight="1">
      <x:c r="A7" s="12" t="str">
        <x:v>Audit</x:v>
      </x:c>
      <x:c r="B7" s="12" t="str">
        <x:v>12</x:v>
      </x:c>
      <x:c r="C7" s="12" t="str">
        <x:v>Verify the same result with the manual compound formula.</x:v>
      </x:c>
      <x:c r="D7" s="115" t="n">
        <x:v>40000</x:v>
      </x:c>
      <x:c r="E7" s="116" t="n">
        <x:v>0.04</x:v>
      </x:c>
      <x:c r="F7" s="117" t="n">
        <x:v>3</x:v>
      </x:c>
      <x:c r="G7" s="117" t="n">
        <x:v>1</x:v>
      </x:c>
      <x:c r="H7" s="120"/>
      <x:c r="I7" s="5" t="str">
        <x:v>Use principal*(1+rate)^years.</x:v>
      </x:c>
      <x:c r="J7" s="6" t="str">
        <x:f>IF(H7="","Enter the manual verification formula.",IF(NOT(ISFORMULA(H7)),"Correct values must be built with a formula.",IF(AND(ABS(H7-(44994.56))&lt;0.02,ISNUMBER(SEARCH("D7",FORMULATEXT(H7))),ISNUMBER(SEARCH("E7",FORMULATEXT(H7))),ISNUMBER(SEARCH("F7",FORMULATEXT(H7)))),"Correct formula, references, and value.","Check the principal, growth factor, and exponent references.")))</x:f>
        <x:v>Enter the manual verification formula.</x:v>
      </x:c>
    </x:row>
    <x:row r="8" ht="16" customHeight="1">
      <x:c r="A8" s="12" t="str">
        <x:v>Quarterly</x:v>
      </x:c>
      <x:c r="B8" s="12" t="str">
        <x:v>13</x:v>
      </x:c>
      <x:c r="C8" s="12" t="str">
        <x:v>Calculate the quarterly rate per period.</x:v>
      </x:c>
      <x:c r="D8" s="115" t="n">
        <x:v>25000</x:v>
      </x:c>
      <x:c r="E8" s="116" t="n">
        <x:v>0.06</x:v>
      </x:c>
      <x:c r="F8" s="117" t="n">
        <x:v>5</x:v>
      </x:c>
      <x:c r="G8" s="117" t="n">
        <x:v>4</x:v>
      </x:c>
      <x:c r="H8" s="121"/>
      <x:c r="I8" s="5" t="str">
        <x:v>Annual rate divided by periods per year.</x:v>
      </x:c>
      <x:c r="J8" s="6" t="str">
        <x:f>IF(H8="","Enter the rate-per-period formula.",IF(NOT(ISFORMULA(H8)),"Correct values must be built with a formula.",IF(AND(ABS(H8-(0.015))&lt;0.000001,ISNUMBER(SEARCH("E8",FORMULATEXT(H8))),ISNUMBER(SEARCH("G8",FORMULATEXT(H8)))),"Correct formula, references, and value.","Divide E8 by G8 using references.")))</x:f>
        <x:v>Enter the rate-per-period formula.</x:v>
      </x:c>
    </x:row>
    <x:row r="9" ht="16" customHeight="1">
      <x:c r="A9" s="12" t="str">
        <x:v>Quarterly</x:v>
      </x:c>
      <x:c r="B9" s="12" t="str">
        <x:v>13</x:v>
      </x:c>
      <x:c r="C9" s="12" t="str">
        <x:v>Calculate the total quarterly periods.</x:v>
      </x:c>
      <x:c r="D9" s="115" t="n">
        <x:v>25000</x:v>
      </x:c>
      <x:c r="E9" s="116" t="n">
        <x:v>0.06</x:v>
      </x:c>
      <x:c r="F9" s="117" t="n">
        <x:v>5</x:v>
      </x:c>
      <x:c r="G9" s="117" t="n">
        <x:v>4</x:v>
      </x:c>
      <x:c r="H9" s="122"/>
      <x:c r="I9" s="5" t="str">
        <x:v>Years times periods per year.</x:v>
      </x:c>
      <x:c r="J9" s="6" t="str">
        <x:f>IF(H9="","Enter the total-periods formula.",IF(NOT(ISFORMULA(H9)),"Correct values must be built with a formula.",IF(AND(ABS(H9-(20))&lt;0.000001,ISNUMBER(SEARCH("F9",FORMULATEXT(H9))),ISNUMBER(SEARCH("G9",FORMULATEXT(H9)))),"Correct formula, references, and value.","Multiply F9 by G9 using references.")))</x:f>
        <x:v>Enter the total-periods formula.</x:v>
      </x:c>
    </x:row>
    <x:row r="10" ht="30" customHeight="1">
      <x:c r="A10" s="12" t="str">
        <x:v>Quarterly</x:v>
      </x:c>
      <x:c r="B10" s="12" t="str">
        <x:v>13</x:v>
      </x:c>
      <x:c r="C10" s="12" t="str">
        <x:v>Build the quarterly future-value formula.</x:v>
      </x:c>
      <x:c r="D10" s="115" t="n">
        <x:v>25000</x:v>
      </x:c>
      <x:c r="E10" s="116" t="n">
        <x:v>0.06</x:v>
      </x:c>
      <x:c r="F10" s="117" t="n">
        <x:v>5</x:v>
      </x:c>
      <x:c r="G10" s="117" t="n">
        <x:v>4</x:v>
      </x:c>
      <x:c r="H10" s="122"/>
      <x:c r="I10" s="5" t="str">
        <x:v>Adjust both rate and nper inside FV.</x:v>
      </x:c>
      <x:c r="J10" s="6" t="str">
        <x:f>IF(H10="","Enter the quarterly FV formula.",IF(NOT(ISFORMULA(H10)),"Correct values must be built with a formula.",IF(AND(ABS(H10-(33671.38))&lt;0.02,ISNUMBER(SEARCH("D10",FORMULATEXT(H10))),ISNUMBER(SEARCH("E10",FORMULATEXT(H10))),ISNUMBER(SEARCH("F10",FORMULATEXT(H10))),ISNUMBER(SEARCH("G10",FORMULATEXT(H10)))),"Correct formula, references, and value.","Use D10:G10 and adjust both rate and periods.")))</x:f>
        <x:v>Enter the quarterly FV formula.</x:v>
      </x:c>
    </x:row>
    <x:row r="11" ht="16" customHeight="1">
      <x:c r="A11" s="12" t="str">
        <x:v>Rule of 72</x:v>
      </x:c>
      <x:c r="B11" s="12" t="str">
        <x:v>15</x:v>
      </x:c>
      <x:c r="C11" s="12" t="str">
        <x:v>Estimate years to double at 7%.</x:v>
      </x:c>
      <x:c r="D11" s="118" t="n">
        <x:v>7</x:v>
      </x:c>
      <x:c r="E11" s="117"/>
      <x:c r="F11" s="117"/>
      <x:c r="G11" s="117"/>
      <x:c r="H11" s="122"/>
      <x:c r="I11" s="5" t="str">
        <x:v>Use 7 as a whole percent in 72/rate.</x:v>
      </x:c>
      <x:c r="J11" s="6" t="str">
        <x:f>IF(H11="","Enter the Rule of 72 formula.",IF(NOT(ISFORMULA(H11)),"Correct values must be built with a formula.",IF(AND(ABS(H11-(10.285714285714286))&lt;0.0001,ISNUMBER(SEARCH("D11",FORMULATEXT(H11)))),"Correct formula, references, and value.","Use 72 divided by the whole-percent rate in D11.")))</x:f>
        <x:v>Enter the Rule of 72 formula.</x:v>
      </x:c>
    </x:row>
    <x:row r="12" ht="16" customHeight="1">
      <x:c r="A12" s="12" t="str">
        <x:v>Rule of 72</x:v>
      </x:c>
      <x:c r="B12" s="12" t="str">
        <x:v>15</x:v>
      </x:c>
      <x:c r="C12" s="12" t="str">
        <x:v>Verify the estimate with exact NPER.</x:v>
      </x:c>
      <x:c r="D12" s="118" t="n">
        <x:v>1</x:v>
      </x:c>
      <x:c r="E12" s="117" t="n">
        <x:v>0.07</x:v>
      </x:c>
      <x:c r="F12" s="117" t="n">
        <x:v>2</x:v>
      </x:c>
      <x:c r="G12" s="117"/>
      <x:c r="H12" s="123"/>
      <x:c r="I12" s="5" t="str">
        <x:v>Use NPER(rate,0,-starting value,target value).</x:v>
      </x:c>
      <x:c r="J12" s="6" t="str">
        <x:f>IF(H12="","Enter the exact NPER formula.",IF(NOT(ISFORMULA(H12)),"Correct values must be built with a formula.",IF(AND(ABS(H12-(10.244768351058712))&lt;0.0001,ISNUMBER(SEARCH("D12",FORMULATEXT(H12))),ISNUMBER(SEARCH("E12",FORMULATEXT(H12))),ISNUMBER(SEARCH("F12",FORMULATEXT(H12)))),"Correct formula, references, and value.","Use E12 as rate, negative D12 as pv, and F12 as fv.")))</x:f>
        <x:v>Enter the exact NPER formula.</x:v>
      </x:c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</x:row>
    <x:row r="14" ht="16" customHeight="1">
      <x:c r="A14" s="124" t="str">
        <x:v>Self-check score</x:v>
      </x:c>
      <x:c r="B14" s="124" t="str">
        <x:f>COUNTIF(J6:J12,"Correct formula*")&amp;" of 7 complete"</x:f>
        <x:v>0 of 7 complete</x:v>
      </x:c>
      <x:c r="C14" s="12"/>
      <x:c r="D14" s="12"/>
      <x:c r="E14" s="12"/>
      <x:c r="F14" s="12"/>
      <x:c r="G14" s="12"/>
      <x:c r="H14" s="12"/>
      <x:c r="I14" s="12"/>
      <x:c r="J14" s="12"/>
    </x:row>
  </x:sheetData>
  <x:mergeCells>
    <x:mergeCell ref="A1:J1"/>
    <x:mergeCell ref="A4:J4"/>
    <x:mergeCell ref="A2:J2"/>
  </x:mergeCells>
  <x:conditionalFormatting sqref="J6:J12">
    <x:cfRule type="containsText" dxfId="4" priority="1" operator="containsText" text="Correct formula"/>
    <x:cfRule type="containsText" dxfId="5" priority="2" operator="containsText" text="Check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7" customWidth="1"/>
    <x:col min="2" max="2" width="58" customWidth="1"/>
    <x:col min="3" max="6" width="12" customWidth="1"/>
    <x:col min="4" max="4" width="12" customWidth="1"/>
    <x:col min="5" max="5" width="12" customWidth="1"/>
    <x:col min="6" max="6" width="12" customWidth="1"/>
    <x:col min="7" max="7" width="18" customWidth="1"/>
    <x:col min="8" max="8" width="34" customWidth="1"/>
    <x:col min="9" max="9" width="34" hidden="1" customWidth="1"/>
  </x:cols>
  <x:sheetData>
    <x:row r="1" ht="26" customHeight="1">
      <x:c r="A1" s="14" t="inlineStr">
        <x:is>
          <x:t xml:space="preserve">MATH-M09-L01 - Class Challenge</x:t>
        </x:is>
      </x:c>
      <x:c r="B1" s="17" t="n"/>
      <x:c r="C1" s="17" t="n"/>
      <x:c r="D1" s="17" t="n"/>
      <x:c r="E1" s="17" t="n"/>
      <x:c r="F1" s="17" t="n"/>
      <x:c r="G1" s="17" t="n"/>
      <x:c r="H1" s="17" t="n"/>
      <x:c r="I1" s="17" t="n"/>
    </x:row>
    <x:row r="2" ht="42" customHeight="1">
      <x:c r="A2" s="11" t="str">
        <x:v>Complete the Account A/B comparison with formulas, then make a recommendation. Work in pairs for 10 minutes; submit both formulas, the difference, and two sentences of evidence.</x:v>
      </x:c>
      <x:c r="B2" s="17" t="n"/>
      <x:c r="C2" s="17" t="n"/>
      <x:c r="D2" s="17" t="n"/>
      <x:c r="E2" s="17" t="n"/>
      <x:c r="F2" s="17" t="n"/>
      <x:c r="G2" s="17" t="n"/>
      <x:c r="H2" s="17" t="n"/>
      <x:c r="I2" s="17" t="n"/>
    </x:row>
    <x:row r="3">
      <x:c r="A3" s="12" t="n"/>
      <x:c r="B3" s="12" t="n"/>
      <x:c r="C3" s="12" t="n"/>
      <x:c r="D3" s="12" t="n"/>
      <x:c r="E3" s="12" t="n"/>
      <x:c r="F3" s="12" t="n"/>
      <x:c r="G3" s="12" t="n"/>
      <x:c r="H3" s="12" t="n"/>
      <x:c r="I3" s="12" t="n"/>
    </x:row>
    <x:row r="4" ht="22" customHeight="1">
      <x:c r="A4" s="15" t="inlineStr">
        <x:is>
          <x:t xml:space="preserve">Graded / Next-Level Activity</x:t>
        </x:is>
      </x:c>
      <x:c r="B4" s="17" t="n"/>
      <x:c r="C4" s="17" t="n"/>
      <x:c r="D4" s="17" t="n"/>
      <x:c r="E4" s="17" t="n"/>
      <x:c r="F4" s="17" t="n"/>
      <x:c r="G4" s="17" t="n"/>
      <x:c r="H4" s="17" t="n"/>
      <x:c r="I4" s="17" t="n"/>
    </x:row>
    <x:row r="5" ht="32" customHeight="1">
      <x:c r="A5" s="2" t="str">
        <x:v>#</x:v>
      </x:c>
      <x:c r="B5" s="2" t="str">
        <x:v>Scenario</x:v>
      </x:c>
      <x:c r="C5" s="2" t="str">
        <x:v>Principal</x:v>
      </x:c>
      <x:c r="D5" s="2" t="str">
        <x:v>Annual Rate</x:v>
      </x:c>
      <x:c r="E5" s="2" t="str">
        <x:v>Years</x:v>
      </x:c>
      <x:c r="F5" s="2" t="str">
        <x:v>Periods / Year</x:v>
      </x:c>
      <x:c r="G5" s="2" t="str">
        <x:v>FORMULA / RESULT</x:v>
      </x:c>
      <x:c r="H5" s="2" t="str">
        <x:v>Decision Evidence / Hint</x:v>
      </x:c>
      <x:c r="I5" s="2" t="str">
        <x:v>Instructor use - leave blank</x:v>
      </x:c>
    </x:row>
    <x:row r="6" ht="34" customHeight="1">
      <x:c r="A6" s="18" t="n">
        <x:v>1</x:v>
      </x:c>
      <x:c r="B6" s="19" t="str">
        <x:v>Account A: calculate future value at 4% compounded annually for 10 years.</x:v>
      </x:c>
      <x:c r="C6" s="138" t="n">
        <x:v>100000</x:v>
      </x:c>
      <x:c r="D6" s="139" t="n">
        <x:v>0.04</x:v>
      </x:c>
      <x:c r="E6" s="140" t="n">
        <x:v>10</x:v>
      </x:c>
      <x:c r="F6" s="140" t="n">
        <x:v>1</x:v>
      </x:c>
      <x:c r="G6" s="141"/>
      <x:c r="H6" s="5" t="str">
        <x:v>Build FV from C6:F6; do not type constants inside the formula.</x:v>
      </x:c>
      <x:c r="I6" s="9"/>
    </x:row>
    <x:row r="7" ht="34" customHeight="1">
      <x:c r="A7" s="18" t="n">
        <x:v>2</x:v>
      </x:c>
      <x:c r="B7" s="19" t="str">
        <x:v>Account B: calculate future value at 3.8% compounded monthly for 10 years.</x:v>
      </x:c>
      <x:c r="C7" s="138" t="n">
        <x:v>100000</x:v>
      </x:c>
      <x:c r="D7" s="139" t="n">
        <x:v>0.038</x:v>
      </x:c>
      <x:c r="E7" s="140" t="n">
        <x:v>10</x:v>
      </x:c>
      <x:c r="F7" s="140" t="n">
        <x:v>12</x:v>
      </x:c>
      <x:c r="G7" s="141"/>
      <x:c r="H7" s="5" t="str">
        <x:v>Adjust both rate and periods using C7:F7.</x:v>
      </x:c>
      <x:c r="I7" s="9"/>
    </x:row>
    <x:row r="8" ht="48" customHeight="1">
      <x:c r="A8" s="18" t="n">
        <x:v>3</x:v>
      </x:c>
      <x:c r="B8" s="19" t="str">
        <x:v>Calculate Account A minus Account B.</x:v>
      </x:c>
      <x:c r="C8" s="18"/>
      <x:c r="D8" s="18"/>
      <x:c r="E8" s="18"/>
      <x:c r="F8" s="18"/>
      <x:c r="G8" s="141"/>
      <x:c r="H8" s="5" t="str">
        <x:v>Reference the two result cells. A positive result means A finishes higher.</x:v>
      </x:c>
      <x:c r="I8" s="9"/>
    </x:row>
    <x:row r="9" ht="34" customHeight="1">
      <x:c r="A9" s="18" t="n">
        <x:v>4</x:v>
      </x:c>
      <x:c r="B9" s="19" t="str">
        <x:v>Recommendation: which account should Meridian recommend? State both ending balances and the dollar difference.</x:v>
      </x:c>
      <x:c r="C9" s="20"/>
      <x:c r="D9" s="20"/>
      <x:c r="E9" s="20"/>
      <x:c r="F9" s="20"/>
      <x:c r="G9" s="142"/>
      <x:c r="H9" s="5" t="str">
        <x:v>Write two complete sentences in the blue cell.</x:v>
      </x:c>
      <x:c r="I9" s="9"/>
    </x:row>
    <x:row r="10" ht="48" customHeight="1">
      <x:c r="A10" s="132"/>
      <x:c r="B10" s="133"/>
      <x:c r="C10" s="132"/>
      <x:c r="D10" s="132"/>
      <x:c r="E10" s="132"/>
      <x:c r="F10" s="132"/>
      <x:c r="G10" s="134"/>
      <x:c r="H10" s="135"/>
      <x:c r="I10" s="135"/>
    </x:row>
    <x:row r="11" ht="48" customHeight="1">
      <x:c r="A11" s="132"/>
      <x:c r="B11" s="133"/>
      <x:c r="C11" s="132"/>
      <x:c r="D11" s="132"/>
      <x:c r="E11" s="132"/>
      <x:c r="F11" s="132"/>
      <x:c r="G11" s="134"/>
      <x:c r="H11" s="135"/>
      <x:c r="I11" s="135"/>
    </x:row>
    <x:row r="12" ht="48" customHeight="1">
      <x:c r="A12" s="132"/>
      <x:c r="B12" s="133"/>
      <x:c r="C12" s="132"/>
      <x:c r="D12" s="132"/>
      <x:c r="E12" s="132"/>
      <x:c r="F12" s="132"/>
      <x:c r="G12" s="134"/>
      <x:c r="H12" s="135"/>
      <x:c r="I12" s="135"/>
    </x:row>
    <x:row r="13" ht="48" customHeight="1">
      <x:c r="A13" s="132"/>
      <x:c r="B13" s="133"/>
      <x:c r="C13" s="132"/>
      <x:c r="D13" s="132"/>
      <x:c r="E13" s="132"/>
      <x:c r="F13" s="132"/>
      <x:c r="G13" s="134"/>
      <x:c r="H13" s="135"/>
      <x:c r="I13" s="135"/>
    </x:row>
    <x:row r="14" ht="34" customHeight="1">
      <x:c r="A14" s="132"/>
      <x:c r="B14" s="133"/>
      <x:c r="C14" s="132"/>
      <x:c r="D14" s="132"/>
      <x:c r="E14" s="132"/>
      <x:c r="F14" s="132"/>
      <x:c r="G14" s="136"/>
      <x:c r="H14" s="135"/>
      <x:c r="I14" s="135"/>
    </x:row>
    <x:row r="15" ht="34" customHeight="1">
      <x:c r="A15" s="132"/>
      <x:c r="B15" s="133"/>
      <x:c r="C15" s="132"/>
      <x:c r="D15" s="132"/>
      <x:c r="E15" s="132"/>
      <x:c r="F15" s="132"/>
      <x:c r="G15" s="137"/>
      <x:c r="H15" s="135"/>
      <x:c r="I15" s="135"/>
    </x:row>
    <x:row r="16" ht="48" customHeight="1">
      <x:c r="A16" s="132"/>
      <x:c r="B16" s="133"/>
      <x:c r="C16" s="132"/>
      <x:c r="D16" s="132"/>
      <x:c r="E16" s="132"/>
      <x:c r="F16" s="132"/>
      <x:c r="G16" s="134"/>
      <x:c r="H16" s="135"/>
      <x:c r="I16" s="135"/>
    </x:row>
    <x:row r="17" ht="34" customHeight="1">
      <x:c r="A17" s="132"/>
      <x:c r="B17" s="133"/>
      <x:c r="C17" s="132"/>
      <x:c r="D17" s="132"/>
      <x:c r="E17" s="132"/>
      <x:c r="F17" s="132"/>
      <x:c r="G17" s="137"/>
      <x:c r="H17" s="135"/>
      <x:c r="I17" s="135"/>
    </x:row>
    <x:row r="18" ht="34" customHeight="1">
      <x:c r="A18" s="132"/>
      <x:c r="B18" s="133"/>
      <x:c r="C18" s="132"/>
      <x:c r="D18" s="132"/>
      <x:c r="E18" s="132"/>
      <x:c r="F18" s="132"/>
      <x:c r="G18" s="134"/>
      <x:c r="H18" s="135"/>
      <x:c r="I18" s="135"/>
    </x:row>
    <x:row r="19" ht="34" customHeight="1">
      <x:c r="A19" s="132"/>
      <x:c r="B19" s="133"/>
      <x:c r="C19" s="132"/>
      <x:c r="D19" s="132"/>
      <x:c r="E19" s="132"/>
      <x:c r="F19" s="132"/>
      <x:c r="G19" s="134"/>
      <x:c r="H19" s="135"/>
      <x:c r="I19" s="135"/>
    </x:row>
    <x:row r="20" ht="62" customHeight="1">
      <x:c r="A20" s="132"/>
      <x:c r="B20" s="133"/>
      <x:c r="C20" s="132"/>
      <x:c r="D20" s="132"/>
      <x:c r="E20" s="132"/>
      <x:c r="F20" s="132"/>
      <x:c r="G20" s="134"/>
      <x:c r="H20" s="135"/>
      <x:c r="I20" s="135"/>
    </x:row>
    <x:row r="21">
      <x:c r="A21" s="12" t="n"/>
      <x:c r="B21" s="12" t="n"/>
      <x:c r="C21" s="12" t="n"/>
      <x:c r="D21" s="12" t="n"/>
      <x:c r="E21" s="12" t="n"/>
      <x:c r="F21" s="12" t="n"/>
      <x:c r="G21" s="12" t="n"/>
      <x:c r="H21" s="12" t="n"/>
      <x:c r="I21" s="12" t="n"/>
    </x:row>
  </x:sheetData>
  <x:mergeCells>
    <x:mergeCell ref="A1:I1"/>
    <x:mergeCell ref="A4:I4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4" customWidth="1"/>
    <x:col min="2" max="2" width="35" customWidth="1"/>
    <x:col min="3" max="3" width="42" customWidth="1"/>
    <x:col min="4" max="4" width="38" customWidth="1"/>
  </x:cols>
  <x:sheetData>
    <x:row r="1" ht="26" customHeight="1">
      <x:c r="A1" s="14" t="inlineStr">
        <x:is>
          <x:t xml:space="preserve">MATH-M09-L01 - Formula Reference Card</x:t>
        </x:is>
      </x:c>
      <x:c r="B1" s="17" t="n"/>
      <x:c r="C1" s="17" t="n"/>
      <x:c r="D1" s="17" t="n"/>
    </x:row>
    <x:row r="2" ht="32" customHeight="1">
      <x:c r="A2" s="11" t="inlineStr">
        <x:is>
          <x:t xml:space="preserve">Syntax reminders. Decide which formula fits before using the card.</x:t>
        </x:is>
      </x:c>
      <x:c r="B2" s="17" t="n"/>
      <x:c r="C2" s="17" t="n"/>
      <x:c r="D2" s="17" t="n"/>
    </x:row>
    <x:row r="3">
      <x:c r="A3" s="12" t="n"/>
      <x:c r="B3" s="12" t="n"/>
      <x:c r="C3" s="12" t="n"/>
      <x:c r="D3" s="12" t="n"/>
    </x:row>
    <x:row r="4" ht="32" customHeight="1">
      <x:c r="A4" s="2" t="inlineStr">
        <x:is>
          <x:t xml:space="preserve">Concept</x:t>
        </x:is>
      </x:c>
      <x:c r="B4" s="2" t="inlineStr">
        <x:is>
          <x:t xml:space="preserve">Excel Pattern</x:t>
        </x:is>
      </x:c>
      <x:c r="C4" s="2" t="inlineStr">
        <x:is>
          <x:t xml:space="preserve">Plain-English Meaning</x:t>
        </x:is>
      </x:c>
      <x:c r="D4" s="2" t="inlineStr">
        <x:is>
          <x:t xml:space="preserve">Watch Out For</x:t>
        </x:is>
      </x:c>
    </x:row>
    <x:row r="5" ht="16" customHeight="1">
      <x:c r="A5" s="12" t="inlineStr">
        <x:is>
          <x:t xml:space="preserve">Compound FV manual</x:t>
        </x:is>
      </x:c>
      <x:c r="B5" s="24" t="str">
        <x:v>=PV*(1+Rate)^Nper</x:v>
      </x:c>
      <x:c r="C5" s="12" t="inlineStr">
        <x:is>
          <x:t xml:space="preserve">Applies interest on interest over multiple periods.</x:t>
        </x:is>
      </x:c>
      <x:c r="D5" s="12" t="inlineStr">
        <x:is>
          <x:t xml:space="preserve">Rate and periods must use the same timing.</x:t>
        </x:is>
      </x:c>
    </x:row>
    <x:row r="6" ht="16" customHeight="1">
      <x:c r="A6" s="12" t="inlineStr">
        <x:is>
          <x:t xml:space="preserve">FV function</x:t>
        </x:is>
      </x:c>
      <x:c r="B6" s="24" t="str">
        <x:v>=FV(Rate,Nper,0,-PV)</x:v>
      </x:c>
      <x:c r="C6" s="12" t="inlineStr">
        <x:is>
          <x:t xml:space="preserve">Lets Excel calculate future value for a lump sum.</x:t>
        </x:is>
      </x:c>
      <x:c r="D6" s="12" t="str">
        <x:v>Use negative PV only when today's investment is modeled as an outflow; signs depend on perspective.</x:v>
      </x:c>
    </x:row>
    <x:row r="7" ht="32" customHeight="1">
      <x:c r="A7" s="12" t="inlineStr">
        <x:is>
          <x:t xml:space="preserve">Rate per period</x:t>
        </x:is>
      </x:c>
      <x:c r="B7" s="24" t="str">
        <x:v>=AnnualRate/PeriodsPerYear</x:v>
      </x:c>
      <x:c r="C7" s="12" t="inlineStr">
        <x:is>
          <x:t xml:space="preserve">Converts an annual rate to the compounding period.</x:t>
        </x:is>
      </x:c>
      <x:c r="D7" s="12" t="inlineStr">
        <x:is>
          <x:t xml:space="preserve">Adjust the rate when compounding is not annual.</x:t>
        </x:is>
      </x:c>
    </x:row>
    <x:row r="8" ht="16" customHeight="1">
      <x:c r="A8" s="12" t="inlineStr">
        <x:is>
          <x:t xml:space="preserve">Total periods</x:t>
        </x:is>
      </x:c>
      <x:c r="B8" s="24" t="str">
        <x:v>=Years*PeriodsPerYear</x:v>
      </x:c>
      <x:c r="C8" s="12" t="inlineStr">
        <x:is>
          <x:t xml:space="preserve">Converts years into total compounding periods.</x:t>
        </x:is>
      </x:c>
      <x:c r="D8" s="12" t="inlineStr">
        <x:is>
          <x:t xml:space="preserve">Adjust nper whenever you adjust the rate.</x:t>
        </x:is>
      </x:c>
    </x:row>
    <x:row r="9" ht="16" customHeight="1">
      <x:c r="A9" s="12" t="inlineStr">
        <x:is>
          <x:t xml:space="preserve">Rule of 72</x:t>
        </x:is>
      </x:c>
      <x:c r="B9" s="24" t="str">
        <x:v>=72/RatePercent</x:v>
      </x:c>
      <x:c r="C9" s="12" t="inlineStr">
        <x:is>
          <x:t xml:space="preserve">Estimates how many years it takes money to double.</x:t>
        </x:is>
      </x:c>
      <x:c r="D9" s="12" t="inlineStr">
        <x:is>
          <x:t xml:space="preserve">It is an estimate; verify with FV.</x:t>
        </x:is>
      </x:c>
    </x:row>
    <x:row r="10" ht="32" customHeight="1">
      <x:c r="A10" s="12" t="str">
        <x:v>Sanity check</x:v>
      </x:c>
      <x:c r="B10" s="24" t="str">
        <x:v>=ABS(FVResult)&gt;ABS(PV)</x:v>
      </x:c>
      <x:c r="C10" s="12" t="str">
        <x:v>Confirms future value is larger than the starting investment in this positive-rate model.</x:v>
      </x:c>
      <x:c r="D10" s="12" t="str">
        <x:v>If it fails, check signs, timing, and the model assumptions.</x:v>
      </x:c>
    </x:row>
    <x:row r="11">
      <x:c r="A11" s="144" t="str">
        <x:v>Exact doubling time</x:v>
      </x:c>
      <x:c r="B11" s="145" t="str">
        <x:v>=NPER(Rate,0,-1,2)</x:v>
      </x:c>
      <x:c r="C11" s="144" t="str">
        <x:v>Calculates the exact periods required to double.</x:v>
      </x:c>
      <x:c r="D11" s="144" t="str">
        <x:v>Rule of 72 is an estimate, not a guarantee.</x:v>
      </x:c>
    </x:row>
  </x:sheetData>
  <x:mergeCells>
    <x:mergeCell ref="A1:D1"/>
    <x:mergeCell ref="A2:D2"/>
  </x:mergeCells>
  <x:pageMargins left="0.7" right="0.7" top="0.75" bottom="0.75" header="0.3" footer="0.3"/>
</x:worksheet>
</file>