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972b19b35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ab0b7f8e63441de" state="visible"/>
    <x:sheet xmlns:r="http://schemas.openxmlformats.org/officeDocument/2006/relationships" name="Live You Try It" sheetId="2" r:id="Rd43c2cb0133e4a84" state="visible"/>
    <x:sheet xmlns:r="http://schemas.openxmlformats.org/officeDocument/2006/relationships" name="Class Challenge" sheetId="3" r:id="R5e5876567b234b31" state="visible"/>
    <x:sheet xmlns:r="http://schemas.openxmlformats.org/officeDocument/2006/relationships" name="FormulaReferenceCard" sheetId="4" r:id="R3c31cca81f7a449b" state="visible"/>
    <x:sheet xmlns:r="http://schemas.openxmlformats.org/officeDocument/2006/relationships" name="Reference Practice" sheetId="5" r:id="Raa4462b6aab544af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General"/>
    <x:numFmt numFmtId="203" formatCode="0.00%"/>
    <x:numFmt numFmtId="204" formatCode="@"/>
  </x:numFmts>
  <x:fonts count="15">
    <x:font>
      <x:sz val="11"/>
      <x:color theme="1"/>
      <x:name val="Calibri"/>
    </x:font>
    <x:font>
      <x:b/>
      <x:sz val="16"/>
      <x:color rgb="FFFFFFFF"/>
      <x:name val="Aptos"/>
    </x:font>
    <x:font>
      <x:b/>
      <x:sz val="12"/>
      <x:color rgb="FFFFFFFF"/>
      <x:name val="Aptos"/>
    </x:font>
    <x:font>
      <x:b/>
      <x:sz val="12"/>
      <x:color rgb="FF355773"/>
      <x:name val="Aptos"/>
    </x:font>
    <x:font>
      <x:sz val="11"/>
      <x:color rgb="FF1A1F2C"/>
      <x:name val="Aptos"/>
    </x:font>
    <x:font>
      <x:b/>
      <x:sz val="11"/>
      <x:color rgb="FFB8843D"/>
      <x:name val="Aptos"/>
    </x:font>
    <x:font>
      <x:sz val="11"/>
      <x:color rgb="FF1A1F2C"/>
      <x:name val="Calibri"/>
    </x:font>
    <x:font>
      <x:b/>
      <x:sz val="11"/>
      <x:color rgb="FF355773"/>
      <x:name val="Aptos"/>
    </x:font>
    <x:font>
      <x:sz val="10"/>
      <x:color rgb="FF4A5567"/>
      <x:name val="Aptos"/>
    </x:font>
    <x:font>
      <x:b/>
      <x:i/>
      <x:sz val="10"/>
      <x:color rgb="FF355773"/>
      <x:name val="Aptos"/>
    </x:font>
    <x:font>
      <x:b/>
      <x:sz val="11"/>
      <x:color rgb="FFB8843D"/>
      <x:name val="Calibri"/>
    </x:font>
    <x:font>
      <x:b/>
      <x:sz val="11"/>
      <x:color rgb="FF355773"/>
      <x:name val="Calibri"/>
    </x:font>
    <x:font>
      <x:b/>
      <x:sz val="11"/>
      <x:color rgb="FFFFFFFF"/>
      <x:name val="Calibri"/>
    </x:font>
    <x:font>
      <x:sz val="11"/>
      <x:color theme="1"/>
      <x:name val="Aptos"/>
    </x:font>
    <x:font>
      <x:b/>
      <x:sz val="16"/>
      <x:color theme="1"/>
      <x:name val="Aptos"/>
    </x:font>
  </x:fonts>
  <x:fills count="24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  <x:fill>
      <x:patternFill patternType="solid">
        <x:fgColor rgb="FFFAF8F3"/>
      </x:patternFill>
    </x:fill>
    <x:fill>
      <x:patternFill patternType="solid">
        <x:fgColor rgb="FF355773"/>
      </x:patternFill>
    </x:fill>
    <x:fill>
      <x:patternFill patternType="solid">
        <x:fgColor rgb="FFFFD966"/>
      </x:patternFill>
    </x:fill>
    <x:fill>
      <x:patternFill patternType="solid">
        <x:fgColor rgb="FFDDEBF7"/>
      </x:patternFill>
    </x:fill>
    <x:fill>
      <x:patternFill patternType="solid">
        <x:fgColor rgb="FF9C4A2B"/>
      </x:patternFill>
    </x:fill>
    <x:fill>
      <x:patternFill patternType="solid">
        <x:fgColor rgb="FFB8843D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  <x:fill>
      <x:patternFill patternType="solid">
        <x:fgColor rgb="FF0E1116"/>
      </x:patternFill>
    </x:fill>
    <x:fill>
      <x:patternFill patternType="solid">
        <x:fgColor rgb="FFFAF8F3"/>
      </x:patternFill>
    </x:fill>
    <x:fill>
      <x:patternFill patternType="solid">
        <x:fgColor rgb="FFEAF3EC"/>
      </x:patternFill>
    </x:fill>
    <x:fill>
      <x:patternFill patternType="solid">
        <x:fgColor rgb="FFF2EEE5"/>
      </x:patternFill>
    </x:fill>
  </x:fills>
  <x:borders count="14">
    <x:border/>
    <x:border>
      <x:left style="thin">
        <x:color rgb="FFE5E1D6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left style="medium">
        <x:color rgb="FF4A7C5E"/>
      </x:left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top style="thin">
        <x:color rgb="FFE5E1D6"/>
      </x:top>
      <x:bottom style="thin">
        <x:color rgb="FFE5E1D6"/>
      </x:bottom>
    </x:border>
    <x:border>
      <x:right style="thin">
        <x:color rgb="FFE5E1D6"/>
      </x:right>
      <x:top style="thin">
        <x:color rgb="FFE5E1D6"/>
      </x:top>
      <x:bottom style="thin">
        <x:color rgb="FFE5E1D6"/>
      </x:bottom>
    </x:border>
    <x:border>
      <x:top style="thin">
        <x:color rgb="FFE5E1D6"/>
      </x:top>
    </x:border>
    <x:border>
      <x:right style="thin">
        <x:color rgb="FFE5E1D6"/>
      </x:right>
      <x:top style="thin">
        <x:color rgb="FFE5E1D6"/>
      </x:top>
    </x:border>
    <x:border>
      <x:left style="medium">
        <x:color rgb="FF4A7C5E"/>
      </x:left>
    </x:border>
    <x:border>
      <x:right style="thin">
        <x:color rgb="FFE5E1D6"/>
      </x:right>
    </x:border>
    <x:border>
      <x:left style="medium">
        <x:color rgb="FF4A7C5E"/>
      </x:left>
      <x:bottom style="thin">
        <x:color rgb="FFE5E1D6"/>
      </x:bottom>
    </x:border>
    <x:border>
      <x:bottom style="thin">
        <x:color rgb="FFE5E1D6"/>
      </x:bottom>
    </x:border>
    <x:border>
      <x:right style="thin">
        <x:color rgb="FFE5E1D6"/>
      </x:right>
      <x:bottom style="thin">
        <x:color rgb="FFE5E1D6"/>
      </x:bottom>
    </x:border>
    <x:border>
      <x:left style="thin">
        <x:color rgb="FFE5E1D6"/>
      </x:left>
      <x:top style="thin">
        <x:color rgb="FFE5E1D6"/>
      </x:top>
    </x:border>
    <x:border>
      <x:left style="thin">
        <x:color rgb="FFE5E1D6"/>
      </x:left>
      <x:bottom style="thin">
        <x:color rgb="FFE5E1D6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3" fillId="4" borderId="0" xfId="0" applyAlignment="1">
      <x:alignment horizontal="center" vertical="center" wrapText="1"/>
    </x:xf>
    <x:xf numFmtId="0" fontId="5" fillId="2" borderId="1" xfId="0" applyAlignment="1">
      <x:alignment horizontal="center" vertical="center" wrapText="1"/>
    </x:xf>
    <x:xf numFmtId="0" fontId="6" fillId="5" borderId="1" xfId="0" applyAlignment="1">
      <x:alignment vertical="top" wrapText="1"/>
    </x:xf>
    <x:xf numFmtId="0" fontId="6" fillId="6" borderId="1" xfId="0" applyAlignment="1">
      <x:alignment vertical="top" wrapText="1"/>
    </x:xf>
    <x:xf numFmtId="0" fontId="4" fillId="8" borderId="2" xfId="0" applyAlignment="1">
      <x:alignment vertical="top" wrapText="1"/>
    </x:xf>
    <x:xf numFmtId="0" fontId="7" fillId="9" borderId="1" xfId="0" applyAlignment="1">
      <x:alignment vertical="top" wrapText="1"/>
    </x:xf>
    <x:xf numFmtId="0" fontId="8" fillId="6" borderId="1" xfId="0" applyAlignment="1">
      <x:alignment vertical="top" wrapText="1"/>
    </x:xf>
    <x:xf numFmtId="0" fontId="8" fillId="5" borderId="1" xfId="0" applyAlignment="1">
      <x:alignment vertical="top" wrapText="1"/>
    </x:xf>
    <x:xf numFmtId="9" fontId="6" fillId="5" borderId="1" xfId="0" applyAlignment="1">
      <x:alignment vertical="top" wrapText="1"/>
    </x:xf>
    <x:xf numFmtId="10" fontId="4" fillId="8" borderId="2" xfId="0" applyAlignment="1">
      <x:alignment vertical="top" wrapText="1"/>
    </x:xf>
    <x:xf numFmtId="0" fontId="6" fillId="8" borderId="1" xfId="0" applyAlignment="1">
      <x:alignment vertical="top" wrapText="1"/>
    </x:xf>
    <x:xf numFmtId="10" fontId="6" fillId="8" borderId="1" xfId="0" applyAlignment="1">
      <x:alignment vertical="top" wrapText="1"/>
    </x:xf>
    <x:xf numFmtId="0" fontId="9" fillId="6" borderId="1" xfId="0" applyAlignment="1">
      <x:alignment vertical="top" wrapText="1"/>
    </x:xf>
    <x:xf numFmtId="0" fontId="9" fillId="5" borderId="1" xfId="0" applyAlignment="1">
      <x:alignment vertical="top" wrapText="1"/>
    </x:xf>
    <x:xf numFmtId="0" fontId="4" fillId="6" borderId="1" xfId="0" applyAlignment="1">
      <x:alignment vertical="top" wrapText="1"/>
    </x:xf>
    <x:xf numFmtId="4" fontId="4" fillId="8" borderId="2" xfId="0" applyAlignment="1">
      <x:alignment vertical="top" wrapText="1"/>
    </x:xf>
    <x:xf numFmtId="0" fontId="4" fillId="5" borderId="1" xfId="0" applyAlignment="1">
      <x:alignment vertical="top" wrapText="1"/>
    </x:xf>
    <x:xf numFmtId="10" fontId="4" fillId="6" borderId="1" xfId="0" applyAlignment="1">
      <x:alignment vertical="top" wrapText="1"/>
    </x:xf>
    <x:xf numFmtId="0" fontId="1" fillId="2" borderId="0" xfId="0" applyAlignment="1">
      <x:alignment horizontal="left" vertical="center" wrapText="1"/>
    </x:xf>
    <x:xf numFmtId="0" fontId="0" fillId="0" borderId="0" xfId="0"/>
    <x:xf numFmtId="0" fontId="4" fillId="0" borderId="0" xfId="0" applyAlignment="1">
      <x:alignment vertical="center" wrapText="1"/>
    </x:xf>
    <x:xf numFmtId="0" fontId="6" fillId="5" borderId="1" xfId="0" applyAlignment="1">
      <x:alignment vertical="top" wrapText="1"/>
    </x:xf>
    <x:xf numFmtId="0" fontId="0" fillId="0" borderId="3" xfId="0"/>
    <x:xf numFmtId="0" fontId="0" fillId="0" borderId="4" xfId="0"/>
    <x:xf numFmtId="0" fontId="6" fillId="6" borderId="1" xfId="0" applyAlignment="1">
      <x:alignment vertical="top" wrapText="1"/>
    </x:xf>
    <x:xf numFmtId="0" fontId="2" fillId="3" borderId="0" xfId="0" applyAlignment="1">
      <x:alignment horizontal="left" vertical="center" wrapText="1"/>
    </x:xf>
    <x:xf numFmtId="0" fontId="2" fillId="7" borderId="0" xfId="0" applyAlignment="1">
      <x:alignment horizontal="left" vertical="center" wrapText="1"/>
    </x:xf>
    <x:xf numFmtId="0" fontId="3" fillId="4" borderId="0" xfId="0" applyAlignment="1">
      <x:alignment vertical="center" wrapText="1"/>
    </x:xf>
    <x:xf numFmtId="0" fontId="2" fillId="7" borderId="0" xfId="0" applyAlignment="1">
      <x:alignment horizontal="left"/>
    </x:xf>
    <x:xf numFmtId="0" fontId="2" fillId="3" borderId="0" xfId="0"/>
    <x:xf numFmtId="0" fontId="7" fillId="4" borderId="2" xfId="0" applyAlignment="1">
      <x:alignment vertical="center" wrapText="1"/>
    </x:xf>
    <x:xf numFmtId="0" fontId="1" fillId="2" borderId="0" xfId="0" applyAlignment="1">
      <x:alignment vertical="center"/>
    </x:xf>
    <x:xf numFmtId="0" fontId="2" fillId="10" borderId="0" xfId="0" applyAlignment="1">
      <x:alignment horizontal="left" vertical="center" wrapText="1"/>
    </x:xf>
    <x:xf numFmtId="0" fontId="2" fillId="11" borderId="0" xfId="0" applyAlignment="1">
      <x:alignment horizontal="left" vertical="center" wrapText="1"/>
    </x:xf>
    <x:xf numFmtId="1" fontId="4" fillId="5" borderId="1" xfId="0" applyAlignment="1">
      <x:alignment vertical="top" wrapText="1"/>
    </x:xf>
    <x:xf numFmtId="0" fontId="0" fillId="0" borderId="5" xfId="0"/>
    <x:xf numFmtId="0" fontId="0" fillId="0" borderId="6" xfId="0"/>
    <x:xf numFmtId="0" fontId="0" fillId="0" borderId="9" xfId="0"/>
    <x:xf numFmtId="0" fontId="0" fillId="0" borderId="10" xfId="0"/>
    <x:xf numFmtId="0" fontId="0" fillId="0" borderId="11" xfId="0"/>
    <x:xf numFmtId="0" fontId="0" fillId="12" borderId="0" xfId="0"/>
    <x:xf numFmtId="0" fontId="10" fillId="12" borderId="0" xfId="0"/>
    <x:xf numFmtId="0" fontId="10" fillId="12" borderId="0" xfId="0" applyAlignment="1">
      <x:alignment wrapText="1"/>
    </x:xf>
    <x:xf numFmtId="0" fontId="0" fillId="13" borderId="0" xfId="0"/>
    <x:xf numFmtId="0" fontId="6" fillId="13" borderId="0" xfId="0"/>
    <x:xf numFmtId="0" fontId="6" fillId="13" borderId="1" xfId="0"/>
    <x:xf numFmtId="0" fontId="6" fillId="13" borderId="1" xfId="0" applyAlignment="1">
      <x:alignment wrapText="1"/>
    </x:xf>
    <x:xf numFmtId="0" fontId="6" fillId="14" borderId="1" xfId="0" applyAlignment="1">
      <x:alignment wrapText="1"/>
    </x:xf>
    <x:xf numFmtId="0" fontId="11" fillId="14" borderId="1" xfId="0" applyAlignment="1">
      <x:alignment wrapText="1"/>
    </x:xf>
    <x:xf numFmtId="0" fontId="6" fillId="15" borderId="1" xfId="0" applyAlignment="1">
      <x:alignment wrapText="1"/>
    </x:xf>
    <x:xf numFmtId="0" fontId="0" fillId="16" borderId="0" xfId="0"/>
    <x:xf numFmtId="0" fontId="10" fillId="16" borderId="0" xfId="0"/>
    <x:xf numFmtId="0" fontId="10" fillId="16" borderId="1" xfId="0"/>
    <x:xf numFmtId="0" fontId="10" fillId="16" borderId="1" xfId="0" applyAlignment="1">
      <x:alignment wrapText="1"/>
    </x:xf>
    <x:xf numFmtId="0" fontId="0" fillId="17" borderId="0" xfId="0"/>
    <x:xf numFmtId="0" fontId="6" fillId="17" borderId="0" xfId="0"/>
    <x:xf numFmtId="0" fontId="6" fillId="17" borderId="1" xfId="0"/>
    <x:xf numFmtId="0" fontId="6" fillId="17" borderId="1" xfId="0" applyAlignment="1">
      <x:alignment wrapText="1"/>
    </x:xf>
    <x:xf numFmtId="0" fontId="6" fillId="18" borderId="1" xfId="0" applyAlignment="1">
      <x:alignment wrapText="1"/>
    </x:xf>
    <x:xf numFmtId="0" fontId="11" fillId="18" borderId="1" xfId="0" applyAlignment="1">
      <x:alignment wrapText="1"/>
    </x:xf>
    <x:xf numFmtId="0" fontId="6" fillId="19" borderId="1" xfId="0" applyAlignment="1">
      <x:alignment wrapText="1"/>
    </x:xf>
    <x:xf numFmtId="200" fontId="4" fillId="8" borderId="2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1" fontId="4" fillId="8" borderId="2" xfId="0" applyNumberFormat="1" applyFont="1" applyFill="1" applyBorder="1" applyAlignment="1">
      <x:alignment vertical="top" wrapText="1"/>
    </x:xf>
    <x:xf numFmtId="202" fontId="4" fillId="8" borderId="2" xfId="0" applyNumberFormat="1" applyFont="1" applyFill="1" applyBorder="1" applyAlignment="1">
      <x:alignment vertical="top" wrapText="1"/>
    </x:xf>
    <x:xf numFmtId="203" fontId="4" fillId="8" borderId="2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horizontal="right"/>
    </x:xf>
    <x:xf numFmtId="0" fontId="4" fillId="21" borderId="0" xfId="0" applyNumberFormat="1" applyFont="1" applyFill="1" applyBorder="1" applyAlignment="1">
      <x:alignment horizontal="right" vertical="top"/>
    </x:xf>
    <x:xf numFmtId="0" fontId="6" fillId="6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6" fillId="5" borderId="1" xfId="0" applyNumberFormat="1" applyFont="1" applyFill="1" applyBorder="1" applyAlignment="1">
      <x:alignment vertical="top" wrapText="1"/>
    </x:xf>
    <x:xf numFmtId="201" fontId="6" fillId="6" borderId="1" xfId="0" applyNumberFormat="1" applyFont="1" applyFill="1" applyBorder="1" applyAlignment="1">
      <x:alignment vertical="top" wrapText="1"/>
    </x:xf>
    <x:xf numFmtId="201" fontId="6" fillId="8" borderId="1" xfId="0" applyNumberFormat="1" applyFont="1" applyFill="1" applyBorder="1" applyAlignment="1">
      <x:alignment vertical="top" wrapText="1"/>
    </x:xf>
    <x:xf numFmtId="0" fontId="12" fillId="2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22" borderId="0" xfId="0" applyNumberFormat="1" applyFont="1" applyFill="1" applyBorder="1" applyAlignment="1">
      <x:alignment wrapText="1"/>
    </x:xf>
    <x:xf numFmtId="0" fontId="7" fillId="22" borderId="0" xfId="0" applyNumberFormat="1" applyFont="1" applyFill="1" applyBorder="1" applyAlignment="1">
      <x:alignment wrapText="1"/>
    </x:xf>
    <x:xf numFmtId="0" fontId="13" fillId="23" borderId="0" xfId="0" applyNumberFormat="1" applyFont="1" applyFill="1" applyBorder="1" applyAlignment="1">
      <x:alignment wrapText="1"/>
    </x:xf>
    <x:xf numFmtId="204" fontId="7" fillId="2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3" fillId="0" borderId="12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13" xfId="0" applyNumberFormat="1" applyFont="1" applyFill="1" applyBorder="1" applyAlignment="1">
      <x:alignment wrapText="1"/>
    </x:xf>
    <x:xf numFmtId="0" fontId="13" fillId="0" borderId="10" xfId="0" applyNumberFormat="1" applyFont="1" applyFill="1" applyBorder="1" applyAlignment="1">
      <x:alignment wrapText="1"/>
    </x:xf>
    <x:xf numFmtId="0" fontId="13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fdbc9b60148b7" /><Relationship Type="http://schemas.openxmlformats.org/officeDocument/2006/relationships/theme" Target="/xl/theme/theme1.xml" Id="R4e02e96fd840425c" /><Relationship Type="http://schemas.openxmlformats.org/officeDocument/2006/relationships/sharedStrings" Target="/xl/sharedStrings.xml" Id="Raf18d92296bf47c6" /><Relationship Type="http://schemas.openxmlformats.org/officeDocument/2006/relationships/worksheet" Target="/xl/worksheets/sheet1.xml" Id="R0ab0b7f8e63441de" /><Relationship Type="http://schemas.openxmlformats.org/officeDocument/2006/relationships/worksheet" Target="/xl/worksheets/sheet2.xml" Id="Rd43c2cb0133e4a84" /><Relationship Type="http://schemas.openxmlformats.org/officeDocument/2006/relationships/worksheet" Target="/xl/worksheets/sheet3.xml" Id="R5e5876567b234b31" /><Relationship Type="http://schemas.openxmlformats.org/officeDocument/2006/relationships/worksheet" Target="/xl/worksheets/sheet4.xml" Id="R3c31cca81f7a449b" /><Relationship Type="http://schemas.openxmlformats.org/officeDocument/2006/relationships/worksheet" Target="/xl/worksheets/sheet5.xml" Id="Raa4462b6aab544a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8" width="18" style="20" customWidth="1"/>
  </x:cols>
  <x:sheetData>
    <x:row r="1" s="20" customFormat="1" ht="30" customHeight="1">
      <x:c r="A1" s="19" t="inlineStr">
        <x:is>
          <x:t xml:space="preserve">BUS 123 · MATH-M01-L01 · Whole Numbers, Fractions &amp; Percents</x:t>
        </x:is>
      </x:c>
    </x:row>
    <x:row r="2" s="20" customFormat="1" ht="24" customHeight="1">
      <x:c r="A2" s="26" t="inlineStr">
        <x:is>
          <x:t xml:space="preserve">Meridian Advisory Group — Slide-to-Excel Starter Workbook</x:t>
        </x:is>
      </x:c>
    </x:row>
    <x:row r="5" s="20" customFormat="1" ht="24" customHeight="1">
      <x:c r="A5" s="26" t="inlineStr">
        <x:is>
          <x:t xml:space="preserve">How This Workbook Fits the Lesson</x:t>
        </x:is>
      </x:c>
    </x:row>
    <x:row r="7" s="20" customFormat="1" ht="24" customHeight="1">
      <x:c r="A7" s="1" t="inlineStr">
        <x:is>
          <x:t xml:space="preserve">1</x:t>
        </x:is>
      </x:c>
      <x:c r="B7" s="21" t="inlineStr">
        <x:is>
          <x:t xml:space="preserve">Open this workbook during the slide presentation.</x:t>
        </x:is>
      </x:c>
    </x:row>
    <x:row r="8" s="20" customFormat="1" ht="42" customHeight="1">
      <x:c r="A8" s="1" t="inlineStr">
        <x:is>
          <x:t xml:space="preserve">2</x:t>
        </x:is>
      </x:c>
      <x:c r="B8" s="21" t="str">
        <x:v>At slides 9, 14 and 20, build the blank Live You Try It sheet using the slide cell maps. Type the labels and numbers yourself.</x:v>
      </x:c>
    </x:row>
    <x:row r="9" s="20" customFormat="1" ht="42" customHeight="1">
      <x:c r="A9" s="1" t="inlineStr">
        <x:is>
          <x:t xml:space="preserve">3</x:t>
        </x:is>
      </x:c>
      <x:c r="B9" s="21" t="str">
        <x:v>Write your own formulas using cell references. Leave the calculation cells blank until you are ready to solve them.</x:v>
      </x:c>
    </x:row>
    <x:row r="10" s="20" customFormat="1" ht="42" customHeight="1">
      <x:c r="A10" s="1" t="inlineStr">
        <x:is>
          <x:t xml:space="preserve">4</x:t>
        </x:is>
      </x:c>
      <x:c r="B10" s="21" t="str">
        <x:v>Live You Try It: widen columns, style headers, and choose number formats. Check your work with a partner. Class Challenge retains automatic feedback.</x:v>
      </x:c>
    </x:row>
    <x:row r="11" s="20" customFormat="1" ht="24" customHeight="1">
      <x:c r="A11" s="1" t="inlineStr">
        <x:is>
          <x:t xml:space="preserve">5</x:t>
        </x:is>
      </x:c>
      <x:c r="B11" s="21" t="inlineStr">
        <x:is>
          <x:t xml:space="preserve">The Class Challenge is intentionally harder. Use it to connect separate formulas into a small model when class time allows.</x:t>
        </x:is>
      </x:c>
    </x:row>
    <x:row r="14" s="20" customFormat="1" ht="24" customHeight="1">
      <x:c r="A14" s="26" t="inlineStr">
        <x:is>
          <x:t xml:space="preserve">Tabs in This Workbook</x:t>
        </x:is>
      </x:c>
    </x:row>
    <x:row r="16" s="20" customFormat="1" ht="28" customHeight="1">
      <x:c r="A16" s="2" t="inlineStr">
        <x:is>
          <x:t xml:space="preserve">Tab</x:t>
        </x:is>
      </x:c>
      <x:c r="B16" s="2" t="inlineStr">
        <x:is>
          <x:t xml:space="preserve">Purpose</x:t>
        </x:is>
      </x:c>
      <x:c r="C16" s="2" t="n"/>
      <x:c r="D16" s="2" t="n"/>
      <x:c r="E16" s="2" t="n"/>
      <x:c r="F16" s="2" t="n"/>
      <x:c r="G16" s="2" t="n"/>
      <x:c r="H16" s="2" t="n"/>
    </x:row>
    <x:row r="17" s="20" customFormat="1" ht="42" customHeight="1">
      <x:c r="A17" s="22" t="inlineStr">
        <x:is>
          <x:t xml:space="preserve">Live You Try It</x:t>
        </x:is>
      </x:c>
      <x:c r="B17" s="22" t="str">
        <x:v>Start with an empty grid. Slide 9: B5:E8. Slide 14: B9:E12. Slide 20: B13:E16. Save your completed, formatted sheet.</x:v>
      </x:c>
      <x:c r="C17" s="23" t="n"/>
      <x:c r="D17" s="23" t="n"/>
      <x:c r="E17" s="23" t="n"/>
      <x:c r="F17" s="23" t="n"/>
      <x:c r="G17" s="23" t="n"/>
      <x:c r="H17" s="24" t="n"/>
    </x:row>
    <x:row r="18" s="20" customFormat="1" ht="34" customHeight="1">
      <x:c r="A18" s="25" t="inlineStr">
        <x:is>
          <x:t xml:space="preserve">Class Challenge</x:t>
        </x:is>
      </x:c>
      <x:c r="B18" s="25" t="str">
        <x:v>Build the linked model first. Later, use the reference-copying workshop at the bottom of Class Challenge.</x:v>
      </x:c>
      <x:c r="C18" s="23" t="n"/>
      <x:c r="D18" s="23" t="n"/>
      <x:c r="E18" s="23" t="n"/>
      <x:c r="F18" s="23" t="n"/>
      <x:c r="G18" s="23" t="n"/>
      <x:c r="H18" s="24" t="n"/>
    </x:row>
    <x:row r="19" s="20" customFormat="1" ht="34" customHeight="1">
      <x:c r="A19" s="22" t="inlineStr">
        <x:is>
          <x:t xml:space="preserve">FormulaReferenceCard</x:t>
        </x:is>
      </x:c>
      <x:c r="B19" s="22" t="inlineStr">
        <x:is>
          <x:t xml:space="preserve">Quick syntax reminders for arithmetic, fractions, and percent formulas.</x:t>
        </x:is>
      </x:c>
      <x:c r="C19" s="23" t="n"/>
      <x:c r="D19" s="23" t="n"/>
      <x:c r="E19" s="23" t="n"/>
      <x:c r="F19" s="23" t="n"/>
      <x:c r="G19" s="23" t="n"/>
      <x:c r="H19" s="24" t="n"/>
    </x:row>
    <x:row r="20" ht="40" customHeight="1">
      <x:c r="A20" t="str">
        <x:v>Reference Practice</x:v>
      </x:c>
      <x:c r="B20" s="73" t="str">
        <x:v>Extra exercise: copy relative and absolute references, total service fees, and practice basic formatting.</x:v>
      </x:c>
      <x:c r="C20" s="73"/>
      <x:c r="D20" s="73"/>
      <x:c r="E20" s="73"/>
      <x:c r="F20" s="73"/>
      <x:c r="G20" s="73"/>
      <x:c r="H20" s="73"/>
    </x:row>
    <x:row r="22" s="20" customFormat="1" ht="24" customHeight="1">
      <x:c r="A22" s="27" t="inlineStr">
        <x:is>
          <x:t xml:space="preserve">Before Class Ends</x:t>
        </x:is>
      </x:c>
    </x:row>
    <x:row r="24">
      <x:c r="A24" s="28" t="inlineStr">
        <x:is>
          <x:t xml:space="preserve">Complete the Live You Try It tab. If you are moving quickly, preview the Class Challenge; we can use it whenever class time allows.</x:t>
        </x:is>
      </x:c>
    </x:row>
    <x:row r="25"/>
  </x:sheetData>
  <x:mergeCells>
    <x:mergeCell ref="A1:H1"/>
    <x:mergeCell ref="B8:H8"/>
    <x:mergeCell ref="B17:H17"/>
    <x:mergeCell ref="B18:H18"/>
    <x:mergeCell ref="B9:H9"/>
    <x:mergeCell ref="A2:H2"/>
    <x:mergeCell ref="A14:H14"/>
    <x:mergeCell ref="B7:H7"/>
    <x:mergeCell ref="A5:H5"/>
    <x:mergeCell ref="B10:H10"/>
    <x:mergeCell ref="B11:H11"/>
    <x:mergeCell ref="B19:H19"/>
    <x:mergeCell ref="A22:H22"/>
    <x:mergeCell ref="A24:H25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10" defaultColWidth="8.83203125" defaultRowHeight="15"/>
  <x:cols>
    <x:col min="1" max="1" width="8.430000305175781" style="20" hidden="0" customWidth="1"/>
    <x:col min="2" max="2" width="8.430000305175781" style="20" hidden="0" customWidth="1"/>
    <x:col min="3" max="4" width="14" style="20" customWidth="1"/>
    <x:col min="5" max="6" width="18" style="20" customWidth="1"/>
    <x:col min="7" max="7" width="8.430000305175781" style="20" hidden="0" customWidth="1"/>
    <x:col min="8" max="8" width="8.430000305175781" style="20" hidden="0" customWidth="1"/>
    <x:col min="6" max="6" width="8.430000305175781" hidden="0" customWidth="1"/>
    <x:col min="3" max="3" width="8.430000305175781" hidden="0" customWidth="1"/>
    <x:col min="4" max="4" width="8.430000305175781" hidden="0" customWidth="1"/>
    <x:col min="5" max="5" width="8.430000305175781" hidden="0" customWidth="1"/>
  </x:cols>
  <x:sheetData>
    <x:row r="1" s="20" customFormat="1" ht="15" customHeight="1">
      <x:c r="A1" s="101"/>
      <x:c r="B1" s="101"/>
      <x:c r="C1" s="101"/>
      <x:c r="D1" s="101"/>
      <x:c r="E1" s="101"/>
      <x:c r="F1" s="101"/>
      <x:c r="G1" s="101"/>
      <x:c r="H1" s="101"/>
    </x:row>
    <x:row r="2" s="20" customFormat="1" ht="15" customHeight="1">
      <x:c r="A2" s="101"/>
      <x:c r="B2" s="101"/>
      <x:c r="C2" s="101"/>
      <x:c r="D2" s="101"/>
      <x:c r="E2" s="101"/>
      <x:c r="F2" s="101"/>
      <x:c r="G2" s="101"/>
      <x:c r="H2" s="101"/>
    </x:row>
    <x:row r="3" ht="15" customHeight="1">
      <x:c r="A3" s="101"/>
      <x:c r="B3" s="101"/>
      <x:c r="C3" s="101"/>
      <x:c r="D3" s="101"/>
      <x:c r="E3" s="101"/>
      <x:c r="F3" s="101"/>
      <x:c r="G3" s="101"/>
      <x:c r="H3" s="101"/>
    </x:row>
    <x:row r="4" ht="15" customHeight="1">
      <x:c r="A4" s="101"/>
      <x:c r="B4" s="101"/>
      <x:c r="C4" s="101"/>
      <x:c r="D4" s="101"/>
      <x:c r="E4" s="101"/>
      <x:c r="F4" s="101"/>
      <x:c r="G4" s="101"/>
      <x:c r="H4" s="101"/>
    </x:row>
    <x:row r="5" s="20" customFormat="1" ht="15" customHeight="1">
      <x:c r="A5" s="101"/>
      <x:c r="B5" s="101"/>
      <x:c r="C5" s="101"/>
      <x:c r="D5" s="101"/>
      <x:c r="E5" s="101"/>
      <x:c r="F5" s="101"/>
      <x:c r="G5" s="101"/>
      <x:c r="H5" s="101"/>
    </x:row>
    <x:row r="6" s="20" customFormat="1" ht="15" customHeight="1">
      <x:c r="A6" s="101"/>
      <x:c r="B6" s="101"/>
      <x:c r="C6" s="101"/>
      <x:c r="D6" s="101"/>
      <x:c r="E6" s="101"/>
      <x:c r="F6" s="101"/>
      <x:c r="G6" s="101"/>
      <x:c r="H6" s="101"/>
    </x:row>
    <x:row r="7" s="20" customFormat="1" ht="15" customHeight="1">
      <x:c r="A7" s="101"/>
      <x:c r="B7" s="101"/>
      <x:c r="C7" s="101"/>
      <x:c r="D7" s="101"/>
      <x:c r="E7" s="101"/>
      <x:c r="F7" s="101"/>
      <x:c r="G7" s="101"/>
      <x:c r="H7" s="101"/>
    </x:row>
    <x:row r="8" s="20" customFormat="1" ht="15" customHeight="1">
      <x:c r="A8" s="101"/>
      <x:c r="B8" s="101"/>
      <x:c r="C8" s="101"/>
      <x:c r="D8" s="101"/>
      <x:c r="E8" s="101"/>
      <x:c r="F8" s="101"/>
      <x:c r="G8" s="101"/>
      <x:c r="H8" s="101"/>
    </x:row>
    <x:row r="9" s="20" customFormat="1" ht="15" customHeight="1">
      <x:c r="A9" s="101"/>
      <x:c r="B9" s="101"/>
      <x:c r="C9" s="101"/>
      <x:c r="D9" s="101"/>
      <x:c r="E9" s="101"/>
      <x:c r="F9" s="101"/>
      <x:c r="G9" s="101"/>
      <x:c r="H9" s="101"/>
    </x:row>
    <x:row r="10" s="20" customFormat="1" ht="15" customHeight="1">
      <x:c r="A10" s="101"/>
      <x:c r="B10" s="101"/>
      <x:c r="C10" s="101"/>
      <x:c r="D10" s="101"/>
      <x:c r="E10" s="101"/>
      <x:c r="F10" s="101"/>
      <x:c r="G10" s="101"/>
      <x:c r="H10" s="101"/>
    </x:row>
    <x:row r="11" s="20" customFormat="1" ht="15" customHeight="1">
      <x:c r="A11" s="101"/>
      <x:c r="B11" s="101"/>
      <x:c r="C11" s="101"/>
      <x:c r="D11" s="101"/>
      <x:c r="E11" s="101"/>
      <x:c r="F11" s="101"/>
      <x:c r="G11" s="101"/>
      <x:c r="H11" s="101"/>
    </x:row>
    <x:row r="12" s="20" customFormat="1" ht="15" customHeight="1">
      <x:c r="A12" s="101"/>
      <x:c r="B12" s="101"/>
      <x:c r="C12" s="101"/>
      <x:c r="D12" s="101"/>
      <x:c r="E12" s="101"/>
      <x:c r="F12" s="101"/>
      <x:c r="G12" s="101"/>
      <x:c r="H12" s="101"/>
    </x:row>
    <x:row r="13" s="20" customFormat="1" ht="15" customHeight="1">
      <x:c r="A13" s="101"/>
      <x:c r="B13" s="101"/>
      <x:c r="C13" s="101"/>
      <x:c r="D13" s="101"/>
      <x:c r="E13" s="101"/>
      <x:c r="F13" s="101"/>
      <x:c r="G13" s="101"/>
      <x:c r="H13" s="101"/>
    </x:row>
    <x:row r="14" s="20" customFormat="1" ht="15" customHeight="1">
      <x:c r="A14" s="101"/>
      <x:c r="B14" s="101"/>
      <x:c r="C14" s="101"/>
      <x:c r="D14" s="101"/>
      <x:c r="E14" s="101"/>
      <x:c r="F14" s="101"/>
      <x:c r="G14" s="101"/>
      <x:c r="H14" s="101"/>
    </x:row>
    <x:row r="15" s="20" customFormat="1" ht="15" customHeight="1">
      <x:c r="A15" s="101"/>
      <x:c r="B15" s="101"/>
      <x:c r="C15" s="101"/>
      <x:c r="D15" s="101"/>
      <x:c r="E15" s="101"/>
      <x:c r="F15" s="101"/>
      <x:c r="G15" s="101"/>
      <x:c r="H15" s="101"/>
    </x:row>
    <x:row r="16" s="20" customFormat="1" ht="15" customHeight="1">
      <x:c r="A16" s="101"/>
      <x:c r="B16" s="101"/>
      <x:c r="C16" s="101"/>
      <x:c r="D16" s="101"/>
      <x:c r="E16" s="101"/>
      <x:c r="F16" s="101"/>
      <x:c r="G16" s="101"/>
      <x:c r="H16" s="101"/>
    </x:row>
    <x:row r="17" ht="15" customHeight="1">
      <x:c r="A17" s="101"/>
      <x:c r="B17" s="101"/>
      <x:c r="C17" s="101"/>
      <x:c r="D17" s="101"/>
      <x:c r="E17" s="101"/>
      <x:c r="F17" s="101"/>
      <x:c r="G17" s="101"/>
      <x:c r="H17" s="101"/>
    </x:row>
    <x:row r="18" s="20" customFormat="1" ht="15" customHeight="1">
      <x:c r="A18" s="101"/>
      <x:c r="B18" s="101"/>
      <x:c r="C18" s="101"/>
      <x:c r="D18" s="101"/>
      <x:c r="E18" s="101"/>
      <x:c r="F18" s="101"/>
      <x:c r="G18" s="101"/>
      <x:c r="H18" s="101"/>
    </x:row>
    <x:row r="19" ht="15" customHeight="1">
      <x:c r="A19" s="101"/>
      <x:c r="B19" s="101"/>
      <x:c r="C19" s="101"/>
      <x:c r="D19" s="101"/>
      <x:c r="E19" s="101"/>
      <x:c r="F19" s="101"/>
      <x:c r="G19" s="101"/>
      <x:c r="H19" s="101"/>
    </x:row>
    <x:row r="20" ht="15" customHeight="1">
      <x:c r="A20" s="101"/>
      <x:c r="B20" s="101"/>
      <x:c r="C20" s="101"/>
      <x:c r="D20" s="101"/>
      <x:c r="E20" s="101"/>
      <x:c r="F20" s="101"/>
      <x:c r="G20" s="101"/>
      <x:c r="H20" s="101"/>
    </x:row>
    <x:row r="21" ht="15" customHeight="1">
      <x:c r="A21" s="101"/>
      <x:c r="B21" s="101"/>
      <x:c r="C21" s="101"/>
      <x:c r="D21" s="101"/>
      <x:c r="E21" s="101"/>
      <x:c r="F21" s="101"/>
      <x:c r="G21" s="101"/>
      <x:c r="H21" s="101"/>
    </x:row>
    <x:row r="22" ht="15" customHeight="1">
      <x:c r="A22" s="101"/>
      <x:c r="B22" s="101"/>
      <x:c r="C22" s="101"/>
      <x:c r="D22" s="101"/>
      <x:c r="E22" s="101"/>
      <x:c r="F22" s="101"/>
      <x:c r="G22" s="101"/>
      <x:c r="H22" s="101"/>
    </x:row>
    <x:row r="23" ht="15" customHeight="1">
      <x:c r="A23" s="101"/>
      <x:c r="B23" s="101"/>
      <x:c r="C23" s="101"/>
      <x:c r="D23" s="101"/>
      <x:c r="E23" s="101"/>
      <x:c r="F23" s="101"/>
      <x:c r="G23" s="101"/>
      <x:c r="H23" s="101"/>
    </x:row>
    <x:row r="24" ht="15" customHeight="1">
      <x:c r="A24" s="101"/>
      <x:c r="B24" s="101"/>
      <x:c r="C24" s="101"/>
      <x:c r="D24" s="101"/>
      <x:c r="E24" s="101"/>
      <x:c r="F24" s="101"/>
      <x:c r="G24" s="101"/>
      <x:c r="H24" s="101"/>
    </x:row>
    <x:row r="25" ht="15" customHeight="1">
      <x:c r="A25" s="101"/>
      <x:c r="B25" s="101"/>
      <x:c r="C25" s="101"/>
      <x:c r="D25" s="101"/>
      <x:c r="E25" s="101"/>
      <x:c r="F25" s="101"/>
      <x:c r="G25" s="101"/>
      <x:c r="H25" s="101"/>
    </x:row>
    <x:row r="26" ht="15" customHeight="1">
      <x:c r="A26" s="101"/>
      <x:c r="B26" s="101"/>
      <x:c r="C26" s="101"/>
      <x:c r="D26" s="101"/>
      <x:c r="E26" s="101"/>
      <x:c r="F26" s="101"/>
      <x:c r="G26" s="101"/>
      <x:c r="H26" s="101"/>
    </x:row>
    <x:row r="27" ht="15" customHeight="1">
      <x:c r="A27" s="101"/>
      <x:c r="B27" s="101"/>
      <x:c r="C27" s="101"/>
      <x:c r="D27" s="101"/>
      <x:c r="E27" s="101"/>
      <x:c r="F27" s="101"/>
      <x:c r="G27" s="101"/>
      <x:c r="H27" s="101"/>
    </x:row>
    <x:row r="28" ht="15" customHeight="1">
      <x:c r="A28" s="101"/>
      <x:c r="B28" s="101"/>
      <x:c r="C28" s="101"/>
      <x:c r="D28" s="101"/>
      <x:c r="E28" s="101"/>
      <x:c r="F28" s="101"/>
      <x:c r="G28" s="101"/>
      <x:c r="H28" s="101"/>
    </x:row>
    <x:row r="29" ht="15" customHeight="1">
      <x:c r="A29" s="101"/>
      <x:c r="B29" s="101"/>
      <x:c r="C29" s="101"/>
      <x:c r="D29" s="101"/>
      <x:c r="E29" s="101"/>
      <x:c r="F29" s="101"/>
      <x:c r="G29" s="101"/>
      <x:c r="H29" s="101"/>
    </x:row>
    <x:row r="30" ht="15" customHeight="1">
      <x:c r="A30" s="101"/>
      <x:c r="B30" s="101"/>
      <x:c r="C30" s="101"/>
      <x:c r="D30" s="101"/>
      <x:c r="E30" s="101"/>
      <x:c r="F30" s="101"/>
      <x:c r="G30" s="101"/>
      <x:c r="H30" s="1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2" style="20" customWidth="1"/>
    <x:col min="2" max="2" width="42" style="20" customWidth="1"/>
    <x:col min="3" max="5" width="18" style="20" customWidth="1"/>
    <x:col min="6" max="6" width="27" style="20" hidden="0" customWidth="1"/>
    <x:col min="7" max="7" width="28" style="20" customWidth="1"/>
    <x:col min="8" max="8" width="16" style="20" customWidth="1"/>
    <x:col min="9" max="9" width="15" hidden="0" customWidth="1"/>
  </x:cols>
  <x:sheetData>
    <x:row r="1" s="20" customFormat="1" ht="30" customHeight="1">
      <x:c r="A1" s="19" t="inlineStr">
        <x:is>
          <x:t xml:space="preserve">Class Challenge · Connect the Formulas</x:t>
        </x:is>
      </x:c>
    </x:row>
    <x:row r="2" s="20" customFormat="1" ht="24" customHeight="1">
      <x:c r="A2" s="26" t="inlineStr">
        <x:is>
          <x:t xml:space="preserve">Use the same Meridian numbers to build a small model together in class.</x:t>
        </x:is>
      </x:c>
    </x:row>
    <x:row r="5" s="20" customFormat="1" ht="24" customHeight="1">
      <x:c r="A5" s="26" t="inlineStr">
        <x:is>
          <x:t xml:space="preserve">Challenge 1 — Three-Quarter Revenue Model</x:t>
        </x:is>
      </x:c>
    </x:row>
    <x:row r="7" s="20" customFormat="1" ht="28" customHeight="1">
      <x:c r="A7" s="2" t="inlineStr">
        <x:is>
          <x:t xml:space="preserve">Step</x:t>
        </x:is>
      </x:c>
      <x:c r="B7" s="2" t="inlineStr">
        <x:is>
          <x:t xml:space="preserve">Task</x:t>
        </x:is>
      </x:c>
      <x:c r="C7" s="2" t="inlineStr">
        <x:is>
          <x:t xml:space="preserve">Input A</x:t>
        </x:is>
      </x:c>
      <x:c r="D7" s="2" t="str">
        <x:v>Input B / Added</x:v>
      </x:c>
      <x:c r="E7" s="2" t="inlineStr">
        <x:is>
          <x:t xml:space="preserve">Formula / Answer</x:t>
        </x:is>
      </x:c>
      <x:c r="F7" s="2" t="inlineStr">
        <x:is>
          <x:t xml:space="preserve">Coach Check</x:t>
        </x:is>
      </x:c>
      <x:c r="G7" s="2" t="inlineStr">
        <x:is>
          <x:t xml:space="preserve">Interpretation Prompt</x:t>
        </x:is>
      </x:c>
      <x:c r="H7" s="2" t="inlineStr">
        <x:is>
          <x:t xml:space="preserve">Skill</x:t>
        </x:is>
      </x:c>
      <x:c r="I7" s="83" t="str">
        <x:v>Lost accounts</x:v>
      </x:c>
    </x:row>
    <x:row r="8" s="20" customFormat="1" ht="48" customHeight="1">
      <x:c r="A8" s="25" t="inlineStr">
        <x:is>
          <x:t xml:space="preserve">1</x:t>
        </x:is>
      </x:c>
      <x:c r="B8" s="25" t="str">
        <x:v>Q1-end accounts: start + added − lost</x:v>
      </x:c>
      <x:c r="C8" s="25" t="n">
        <x:v>48</x:v>
      </x:c>
      <x:c r="D8" s="25" t="n">
        <x:v>12</x:v>
      </x:c>
      <x:c r="E8" s="11"/>
      <x:c r="F8" s="68" t="str">
        <x:f>IFERROR(IF(E8="","",IF(NOT(IFERROR(ISFORMULA(E8),TRUE)),"Enter a formula",IF(ABS(E8-(C8+D8-I8))&lt;0.0001,"Value OK; check refs/format","Try again"))),"Check formula / inputs")</x:f>
      </x:c>
      <x:c r="G8" s="88" t="str">
        <x:v>Use C for starting accounts, D for additions, and I for losses.</x:v>
      </x:c>
      <x:c r="H8" s="88" t="inlineStr">
        <x:is>
          <x:t xml:space="preserve">Arithmetic</x:t>
        </x:is>
      </x:c>
      <x:c r="I8" s="87" t="n">
        <x:v>3</x:v>
      </x:c>
    </x:row>
    <x:row r="9" s="20" customFormat="1" ht="48" customHeight="1">
      <x:c r="A9" s="22" t="inlineStr">
        <x:is>
          <x:t xml:space="preserve">2</x:t>
        </x:is>
      </x:c>
      <x:c r="B9" s="22" t="str">
        <x:v>Q2-end accounts: start + added − lost</x:v>
      </x:c>
      <x:c r="C9" s="22" t="str">
        <x:f>IF(E8="","",E8)</x:f>
      </x:c>
      <x:c r="D9" s="22" t="n">
        <x:v>7</x:v>
      </x:c>
      <x:c r="E9" s="11"/>
      <x:c r="F9" s="68" t="str">
        <x:f>IFERROR(IF(AND(LEFT(F8,8)="Value OK"),IF(E9="","",IF(NOT(IFERROR(ISFORMULA(E9),TRUE)),"Enter a formula",IF(ABS(E9-(C9+D9-I9))&lt;0.0001,"Value OK; check refs/format","Try again"))),"Complete E8 first"),"Check formula / inputs")</x:f>
        <x:v>Complete E8 first</x:v>
      </x:c>
      <x:c r="G9" s="89" t="str">
        <x:v>Use C for starting accounts, D for additions, and I for losses.</x:v>
      </x:c>
      <x:c r="H9" s="89" t="inlineStr">
        <x:is>
          <x:t xml:space="preserve">Linked formula</x:t>
        </x:is>
      </x:c>
      <x:c r="I9" s="87" t="n">
        <x:v>2</x:v>
      </x:c>
    </x:row>
    <x:row r="10" s="20" customFormat="1" ht="48" customHeight="1">
      <x:c r="A10" s="25" t="inlineStr">
        <x:is>
          <x:t xml:space="preserve">3</x:t>
        </x:is>
      </x:c>
      <x:c r="B10" s="25" t="str">
        <x:v>Q3-end accounts: start + added − lost</x:v>
      </x:c>
      <x:c r="C10" s="25" t="str">
        <x:f>IF(E9="","",E9)</x:f>
      </x:c>
      <x:c r="D10" s="25" t="n">
        <x:v>5</x:v>
      </x:c>
      <x:c r="E10" s="11"/>
      <x:c r="F10" s="68" t="str">
        <x:f>IFERROR(IF(AND(LEFT(F9,8)="Value OK"),IF(E10="","",IF(NOT(IFERROR(ISFORMULA(E10),TRUE)),"Enter a formula",IF(ABS(E10-(C10+D10-I10))&lt;0.0001,"Value OK; check refs/format","Try again"))),"Complete E9 first"),"Check formula / inputs")</x:f>
        <x:v>Complete E9 first</x:v>
      </x:c>
      <x:c r="G10" s="88" t="str">
        <x:v>Use C for starting accounts, D for additions, and I for losses.</x:v>
      </x:c>
      <x:c r="H10" s="88" t="inlineStr">
        <x:is>
          <x:t xml:space="preserve">Linked formula</x:t>
        </x:is>
      </x:c>
      <x:c r="I10" s="87" t="n">
        <x:v>1</x:v>
      </x:c>
    </x:row>
    <x:row r="11" s="20" customFormat="1" ht="48" customHeight="1">
      <x:c r="A11" s="22" t="inlineStr">
        <x:is>
          <x:t xml:space="preserve">4</x:t>
        </x:is>
      </x:c>
      <x:c r="B11" s="22" t="inlineStr">
        <x:is>
          <x:t xml:space="preserve">Q1 fee revenue at $4,200/account</x:t>
        </x:is>
      </x:c>
      <x:c r="C11" s="22" t="n">
        <x:f>E8</x:f>
        <x:v>0</x:v>
      </x:c>
      <x:c r="D11" s="91" t="n">
        <x:v>4200</x:v>
      </x:c>
      <x:c r="E11" s="93"/>
      <x:c r="F11" s="68" t="str">
        <x:f>IFERROR(IF(AND(LEFT(F8,8)="Value OK"),IF(E11="","",IF(NOT(IFERROR(ISFORMULA(E11),TRUE)),"Enter a formula",IF(ABS(E11-(C11*D11))&lt;0.0001,"Value OK; check refs/format","Try again"))),"Complete E8 first"),"Check formula / inputs")</x:f>
        <x:v>Complete E8 first</x:v>
      </x:c>
      <x:c r="G11" s="89" t="str">
        <x:v>D11 is the shared quarterly fee assumption.</x:v>
      </x:c>
      <x:c r="H11" s="89" t="inlineStr">
        <x:is>
          <x:t xml:space="preserve">Revenue</x:t>
        </x:is>
      </x:c>
    </x:row>
    <x:row r="12" s="20" customFormat="1" ht="48" customHeight="1">
      <x:c r="A12" s="25" t="inlineStr">
        <x:is>
          <x:t xml:space="preserve">5</x:t>
        </x:is>
      </x:c>
      <x:c r="B12" s="25" t="inlineStr">
        <x:is>
          <x:t xml:space="preserve">Q2 fee revenue at $4,200/account</x:t>
        </x:is>
      </x:c>
      <x:c r="C12" s="25" t="n">
        <x:f>E9</x:f>
        <x:v>0</x:v>
      </x:c>
      <x:c r="D12" s="92" t="n">
        <x:f>$D$11</x:f>
        <x:v>4200</x:v>
      </x:c>
      <x:c r="E12" s="93"/>
      <x:c r="F12" s="68" t="str">
        <x:f>IFERROR(IF(AND(LEFT(F9,8)="Value OK"),IF(E12="","",IF(NOT(IFERROR(ISFORMULA(E12),TRUE)),"Enter a formula",IF(ABS(E12-(C12*D12))&lt;0.0001,"Value OK; check refs/format","Try again"))),"Complete E9 first"),"Check formula / inputs")</x:f>
        <x:v>Complete E9 first</x:v>
      </x:c>
      <x:c r="G12" s="88" t="str">
        <x:v>D12 links to the shared fee in D11.</x:v>
      </x:c>
      <x:c r="H12" s="88" t="inlineStr">
        <x:is>
          <x:t xml:space="preserve">Revenue</x:t>
        </x:is>
      </x:c>
    </x:row>
    <x:row r="13" s="20" customFormat="1" ht="48" customHeight="1">
      <x:c r="A13" s="22" t="inlineStr">
        <x:is>
          <x:t xml:space="preserve">6</x:t>
        </x:is>
      </x:c>
      <x:c r="B13" s="22" t="inlineStr">
        <x:is>
          <x:t xml:space="preserve">Q3 fee revenue at $4,200/account</x:t>
        </x:is>
      </x:c>
      <x:c r="C13" s="22" t="n">
        <x:f>E10</x:f>
        <x:v>0</x:v>
      </x:c>
      <x:c r="D13" s="91" t="n">
        <x:f>$D$11</x:f>
        <x:v>4200</x:v>
      </x:c>
      <x:c r="E13" s="93"/>
      <x:c r="F13" s="68" t="str">
        <x:f>IFERROR(IF(AND(LEFT(F10,8)="Value OK"),IF(E13="","",IF(NOT(IFERROR(ISFORMULA(E13),TRUE)),"Enter a formula",IF(ABS(E13-(C13*D13))&lt;0.0001,"Value OK; check refs/format","Try again"))),"Complete E10 first"),"Check formula / inputs")</x:f>
        <x:v>Complete E10 first</x:v>
      </x:c>
      <x:c r="G13" s="89" t="str">
        <x:v>D13 links to the shared fee in D11.</x:v>
      </x:c>
      <x:c r="H13" s="89" t="inlineStr">
        <x:is>
          <x:t xml:space="preserve">Revenue</x:t>
        </x:is>
      </x:c>
    </x:row>
    <x:row r="14" s="20" customFormat="1" ht="48" customHeight="1">
      <x:c r="A14" s="25" t="inlineStr">
        <x:is>
          <x:t xml:space="preserve">7</x:t>
        </x:is>
      </x:c>
      <x:c r="B14" s="25" t="inlineStr">
        <x:is>
          <x:t xml:space="preserve">Cumulative three-quarter fee revenue</x:t>
        </x:is>
      </x:c>
      <x:c r="C14" s="25" t="n">
        <x:f>SUM(E11:E13)</x:f>
        <x:v>0</x:v>
      </x:c>
      <x:c r="D14" s="25" t="n"/>
      <x:c r="E14" s="93"/>
      <x:c r="F14" s="68" t="str">
        <x:f>IFERROR(IF(AND(LEFT(F11,8)="Value OK",LEFT(F12,8)="Value OK",LEFT(F13,8)="Value OK"),IF(E14="","",IF(NOT(IFERROR(ISFORMULA(E14),TRUE)),"Enter a formula",IF(ABS(E14-(SUM(E11:E13)))&lt;0.0001,"Value OK; check refs/format","Try again"))),"Complete E11, E12, E13 first"),"Check formula / inputs")</x:f>
        <x:v>Complete E11, E12, E13 first</x:v>
      </x:c>
      <x:c r="G14" s="88" t="inlineStr">
        <x:is>
          <x:t xml:space="preserve">Why use SUM instead of adding manually?</x:t>
        </x:is>
      </x:c>
      <x:c r="H14" s="88" t="inlineStr">
        <x:is>
          <x:t xml:space="preserve">SUM</x:t>
        </x:is>
      </x:c>
    </x:row>
    <x:row r="15" s="20" customFormat="1" ht="48" customHeight="1">
      <x:c r="A15" s="22" t="inlineStr">
        <x:is>
          <x:t xml:space="preserve">8</x:t>
        </x:is>
      </x:c>
      <x:c r="B15" s="22" t="inlineStr">
        <x:is>
          <x:t xml:space="preserve">Percent change from Q1 fees to Q3 fees</x:t>
        </x:is>
      </x:c>
      <x:c r="C15" s="22" t="n">
        <x:f>E11</x:f>
        <x:v>0</x:v>
      </x:c>
      <x:c r="D15" s="22" t="n">
        <x:f>E13</x:f>
        <x:v>0</x:v>
      </x:c>
      <x:c r="E15" s="12"/>
      <x:c r="F15" s="68" t="str">
        <x:f>IFERROR(IF(AND(LEFT(F11,8)="Value OK",LEFT(F13,8)="Value OK"),IF(E15="","",IF(NOT(IFERROR(ISFORMULA(E15),TRUE)),"Enter a formula",IF(ABS(E15-((D15-C15)/C15))&lt;0.000001,"Value OK; check refs/format","Try again"))),"Complete E11, E13 first"),"Check formula / inputs")</x:f>
        <x:v>Complete E11, E13 first</x:v>
      </x:c>
      <x:c r="G15" s="89" t="inlineStr">
        <x:is>
          <x:t xml:space="preserve">Which number is the base?</x:t>
        </x:is>
      </x:c>
      <x:c r="H15" s="89" t="inlineStr">
        <x:is>
          <x:t xml:space="preserve">Percent change</x:t>
        </x:is>
      </x:c>
    </x:row>
    <x:row r="16">
      <x:c r="F16" s="73"/>
      <x:c r="G16" s="73"/>
      <x:c r="H16" s="73"/>
    </x:row>
    <x:row r="17">
      <x:c r="F17" s="73"/>
      <x:c r="G17" s="73"/>
      <x:c r="H17" s="73"/>
    </x:row>
    <x:row r="18" s="20" customFormat="1" ht="24" customHeight="1">
      <x:c r="A18" s="27" t="inlineStr">
        <x:is>
          <x:t xml:space="preserve">Challenge 2 — Service-Line Mix</x:t>
        </x:is>
      </x:c>
      <x:c r="F18" s="73"/>
      <x:c r="G18" s="73"/>
      <x:c r="H18" s="73"/>
    </x:row>
    <x:row r="19">
      <x:c r="F19" s="73"/>
      <x:c r="G19" s="73"/>
      <x:c r="H19" s="73"/>
    </x:row>
    <x:row r="20" s="20" customFormat="1" ht="28" customHeight="1">
      <x:c r="A20" s="2" t="inlineStr">
        <x:is>
          <x:t xml:space="preserve">Step</x:t>
        </x:is>
      </x:c>
      <x:c r="B20" s="2" t="inlineStr">
        <x:is>
          <x:t xml:space="preserve">Task</x:t>
        </x:is>
      </x:c>
      <x:c r="C20" s="2" t="inlineStr">
        <x:is>
          <x:t xml:space="preserve">Input A</x:t>
        </x:is>
      </x:c>
      <x:c r="D20" s="2" t="inlineStr">
        <x:is>
          <x:t xml:space="preserve">Input B</x:t>
        </x:is>
      </x:c>
      <x:c r="E20" s="2" t="inlineStr">
        <x:is>
          <x:t xml:space="preserve">Formula / Answer</x:t>
        </x:is>
      </x:c>
      <x:c r="F20" s="90" t="inlineStr">
        <x:is>
          <x:t xml:space="preserve">Coach Check</x:t>
        </x:is>
      </x:c>
      <x:c r="G20" s="90" t="inlineStr">
        <x:is>
          <x:t xml:space="preserve">Interpretation Prompt</x:t>
        </x:is>
      </x:c>
      <x:c r="H20" s="90" t="inlineStr">
        <x:is>
          <x:t xml:space="preserve">Skill</x:t>
        </x:is>
      </x:c>
    </x:row>
    <x:row r="21" s="20" customFormat="1" ht="48" customHeight="1">
      <x:c r="A21" s="22" t="inlineStr">
        <x:is>
          <x:t xml:space="preserve">1</x:t>
        </x:is>
      </x:c>
      <x:c r="B21" s="22" t="inlineStr">
        <x:is>
          <x:t xml:space="preserve">Total Meridian clients</x:t>
        </x:is>
      </x:c>
      <x:c r="C21" s="22" t="n">
        <x:v>57</x:v>
      </x:c>
      <x:c r="D21" s="22" t="n"/>
      <x:c r="E21" s="11"/>
      <x:c r="F21" s="68" t="str">
        <x:f>IFERROR(IF(E21="","",IF(NOT(IFERROR(ISFORMULA(E21),TRUE)),"Enter a formula",IF(ABS(E21-(C21))&lt;0.0001,"Value OK; check refs/format","Try again"))),"Check formula / inputs")</x:f>
      </x:c>
      <x:c r="G21" s="89" t="inlineStr">
        <x:is>
          <x:t xml:space="preserve">Use this total for the first mix checks.</x:t>
        </x:is>
      </x:c>
      <x:c r="H21" s="89" t="inlineStr">
        <x:is>
          <x:t xml:space="preserve">Input</x:t>
        </x:is>
      </x:c>
    </x:row>
    <x:row r="22" s="20" customFormat="1" ht="48" customHeight="1">
      <x:c r="A22" s="25" t="inlineStr">
        <x:is>
          <x:t xml:space="preserve">2</x:t>
        </x:is>
      </x:c>
      <x:c r="B22" s="25" t="inlineStr">
        <x:is>
          <x:t xml:space="preserve">Tax clients as % of total</x:t>
        </x:is>
      </x:c>
      <x:c r="C22" s="25" t="n">
        <x:v>22</x:v>
      </x:c>
      <x:c r="D22" s="25" t="n">
        <x:f>E21</x:f>
        <x:v>0</x:v>
      </x:c>
      <x:c r="E22" s="12"/>
      <x:c r="F22" s="68" t="str">
        <x:f>IFERROR(IF(AND(LEFT(F21,8)="Value OK"),IF(E22="","",IF(NOT(IFERROR(ISFORMULA(E22),TRUE)),"Enter a formula",IF(ABS(E22-(C22/D22))&lt;0.000001,"Value OK; check refs/format","Try again"))),"Complete E21 first"),"Check formula / inputs")</x:f>
        <x:v>Complete E21 first</x:v>
      </x:c>
      <x:c r="G22" s="88" t="inlineStr">
        <x:is>
          <x:t xml:space="preserve">Format as Percentage.</x:t>
        </x:is>
      </x:c>
      <x:c r="H22" s="88" t="inlineStr">
        <x:is>
          <x:t xml:space="preserve">Ratio as %</x:t>
        </x:is>
      </x:c>
    </x:row>
    <x:row r="23" s="20" customFormat="1" ht="48" customHeight="1">
      <x:c r="A23" s="22" t="inlineStr">
        <x:is>
          <x:t xml:space="preserve">3</x:t>
        </x:is>
      </x:c>
      <x:c r="B23" s="22" t="inlineStr">
        <x:is>
          <x:t xml:space="preserve">Estate clients as % of total</x:t>
        </x:is>
      </x:c>
      <x:c r="C23" s="22" t="n">
        <x:v>18</x:v>
      </x:c>
      <x:c r="D23" s="22" t="n">
        <x:f>E21</x:f>
        <x:v>0</x:v>
      </x:c>
      <x:c r="E23" s="12"/>
      <x:c r="F23" s="68" t="str">
        <x:f>IFERROR(IF(AND(LEFT(F21,8)="Value OK"),IF(E23="","",IF(NOT(IFERROR(ISFORMULA(E23),TRUE)),"Enter a formula",IF(ABS(E23-(C23/D23))&lt;0.000001,"Value OK; check refs/format","Try again"))),"Complete E21 first"),"Check formula / inputs")</x:f>
        <x:v>Complete E21 first</x:v>
      </x:c>
      <x:c r="G23" s="89" t="inlineStr">
        <x:is>
          <x:t xml:space="preserve">Is this a change or a share?</x:t>
        </x:is>
      </x:c>
      <x:c r="H23" s="89" t="inlineStr">
        <x:is>
          <x:t xml:space="preserve">Ratio as %</x:t>
        </x:is>
      </x:c>
    </x:row>
    <x:row r="24" s="20" customFormat="1" ht="48" customHeight="1">
      <x:c r="A24" s="25" t="inlineStr">
        <x:is>
          <x:t xml:space="preserve">4</x:t>
        </x:is>
      </x:c>
      <x:c r="B24" s="25" t="inlineStr">
        <x:is>
          <x:t xml:space="preserve">Tax + Estate combined % of total</x:t>
        </x:is>
      </x:c>
      <x:c r="C24" s="25" t="n">
        <x:v>40</x:v>
      </x:c>
      <x:c r="D24" s="25" t="n">
        <x:f>E21</x:f>
        <x:v>0</x:v>
      </x:c>
      <x:c r="E24" s="12"/>
      <x:c r="F24" s="68" t="str">
        <x:f>IFERROR(IF(AND(LEFT(F21,8)="Value OK"),IF(E24="","",IF(NOT(IFERROR(ISFORMULA(E24),TRUE)),"Enter a formula",IF(ABS(E24-(C24/D24))&lt;0.000001,"Value OK; check refs/format","Try again"))),"Complete E21 first"),"Check formula / inputs")</x:f>
        <x:v>Complete E21 first</x:v>
      </x:c>
      <x:c r="G24" s="88" t="inlineStr">
        <x:is>
          <x:t xml:space="preserve">Combine parts before dividing by whole.</x:t>
        </x:is>
      </x:c>
      <x:c r="H24" s="88" t="inlineStr">
        <x:is>
          <x:t xml:space="preserve">Ratio as %</x:t>
        </x:is>
      </x:c>
    </x:row>
    <x:row r="25" s="20" customFormat="1" ht="48" customHeight="1">
      <x:c r="A25" s="22" t="inlineStr">
        <x:is>
          <x:t xml:space="preserve">5</x:t>
        </x:is>
      </x:c>
      <x:c r="B25" s="22" t="inlineStr">
        <x:is>
          <x:t xml:space="preserve">Investment clients after 30% growth</x:t>
        </x:is>
      </x:c>
      <x:c r="C25" s="22" t="n">
        <x:v>17</x:v>
      </x:c>
      <x:c r="D25" s="9" t="n">
        <x:v>0.3</x:v>
      </x:c>
      <x:c r="E25" s="11"/>
      <x:c r="F25" s="68" t="str">
        <x:f>IFERROR(IF(E25="","",IF(NOT(IFERROR(ISFORMULA(E25),TRUE)),"Enter a formula",IF(ABS(E25-(C25*(1+D25)))&lt;0.0001,"Value OK; check refs/format","Try again"))),"Check formula / inputs")</x:f>
      </x:c>
      <x:c r="G25" s="89" t="inlineStr">
        <x:is>
          <x:t xml:space="preserve">Should client counts be rounded for a final business recommendation?</x:t>
        </x:is>
      </x:c>
      <x:c r="H25" s="89" t="inlineStr">
        <x:is>
          <x:t xml:space="preserve">Growth</x:t>
        </x:is>
      </x:c>
    </x:row>
    <x:row r="26" s="20" customFormat="1" ht="48" customHeight="1">
      <x:c r="A26" s="25" t="inlineStr">
        <x:is>
          <x:t xml:space="preserve">6</x:t>
        </x:is>
      </x:c>
      <x:c r="B26" s="25" t="inlineStr">
        <x:is>
          <x:t xml:space="preserve">New total clients after investment growth</x:t>
        </x:is>
      </x:c>
      <x:c r="C26" s="25" t="n">
        <x:v>40</x:v>
      </x:c>
      <x:c r="D26" s="25" t="n">
        <x:f>E25</x:f>
        <x:v>0</x:v>
      </x:c>
      <x:c r="E26" s="11"/>
      <x:c r="F26" s="68" t="str">
        <x:f>IFERROR(IF(AND(LEFT(F25,8)="Value OK"),IF(E26="","",IF(NOT(IFERROR(ISFORMULA(E26),TRUE)),"Enter a formula",IF(ABS(E26-(C26+D26))&lt;0.0001,"Value OK; check refs/format","Try again"))),"Complete E25 first"),"Check formula / inputs")</x:f>
        <x:v>Complete E25 first</x:v>
      </x:c>
      <x:c r="G26" s="88" t="inlineStr">
        <x:is>
          <x:t xml:space="preserve">Old tax + estate plus new investment count.</x:t>
        </x:is>
      </x:c>
      <x:c r="H26" s="88" t="inlineStr">
        <x:is>
          <x:t xml:space="preserve">Total</x:t>
        </x:is>
      </x:c>
    </x:row>
    <x:row r="27" s="20" customFormat="1" ht="48" customHeight="1">
      <x:c r="A27" s="22" t="inlineStr">
        <x:is>
          <x:t xml:space="preserve">7</x:t>
        </x:is>
      </x:c>
      <x:c r="B27" s="22" t="inlineStr">
        <x:is>
          <x:t xml:space="preserve">New investment % of new total</x:t>
        </x:is>
      </x:c>
      <x:c r="C27" s="22" t="n">
        <x:f>E25</x:f>
        <x:v>0</x:v>
      </x:c>
      <x:c r="D27" s="22" t="n">
        <x:f>E26</x:f>
        <x:v>0</x:v>
      </x:c>
      <x:c r="E27" s="12"/>
      <x:c r="F27" s="68" t="str">
        <x:f>IFERROR(IF(AND(LEFT(F25,8)="Value OK",LEFT(F26,8)="Value OK"),IF(E27="","",IF(NOT(IFERROR(ISFORMULA(E27),TRUE)),"Enter a formula",IF(ABS(E27-(C27/D27))&lt;0.000001,"Value OK; check refs/format","Try again"))),"Complete E25, E26 first"),"Check formula / inputs")</x:f>
        <x:v>Complete E25, E26 first</x:v>
      </x:c>
      <x:c r="G27" s="89" t="inlineStr">
        <x:is>
          <x:t xml:space="preserve">How did the mix change?</x:t>
        </x:is>
      </x:c>
      <x:c r="H27" s="89" t="inlineStr">
        <x:is>
          <x:t xml:space="preserve">Ratio as %</x:t>
        </x:is>
      </x:c>
    </x:row>
    <x:row r="28" s="20" customFormat="1" ht="48" customHeight="1">
      <x:c r="A28" s="25" t="inlineStr">
        <x:is>
          <x:t xml:space="preserve">8</x:t>
        </x:is>
      </x:c>
      <x:c r="B28" s="25" t="inlineStr">
        <x:is>
          <x:t xml:space="preserve">One-sentence business interpretation</x:t>
        </x:is>
      </x:c>
      <x:c r="C28" s="25" t="n"/>
      <x:c r="D28" s="25" t="n"/>
      <x:c r="E28" s="11"/>
      <x:c r="F28" s="68" t="n"/>
      <x:c r="G28" s="88" t="inlineStr">
        <x:is>
          <x:t xml:space="preserve">Explain what changed in the service-line mix.</x:t>
        </x:is>
      </x:c>
      <x:c r="H28" s="88" t="inlineStr">
        <x:is>
          <x:t xml:space="preserve">Interpret</x:t>
        </x:is>
      </x:c>
    </x:row>
    <x:row r="30" ht="26" customHeight="1">
      <x:c r="A30" s="94" t="str">
        <x:v>Later workshop · Copy formulas, then explain which references move</x:v>
      </x:c>
      <x:c r="B30" s="94"/>
      <x:c r="C30" s="94"/>
      <x:c r="D30" s="94"/>
      <x:c r="E30" s="94"/>
      <x:c r="F30" s="94"/>
      <x:c r="G30" s="94"/>
      <x:c r="H30" s="94"/>
    </x:row>
    <x:row r="32" ht="24" customHeight="1">
      <x:c r="A32" s="95" t="str">
        <x:v>1 · Relative: enter =C11*D11 in E11 and fill through E13. Both input references move down one row.</x:v>
      </x:c>
      <x:c r="B32" s="95"/>
      <x:c r="C32" s="95"/>
      <x:c r="D32" s="95"/>
      <x:c r="E32" s="95"/>
      <x:c r="F32" s="95"/>
      <x:c r="G32" s="95"/>
      <x:c r="H32" s="95"/>
    </x:row>
    <x:row r="33" ht="24" customHeight="1">
      <x:c r="A33" s="95"/>
      <x:c r="B33" s="95"/>
      <x:c r="C33" s="95"/>
      <x:c r="D33" s="95"/>
      <x:c r="E33" s="95"/>
      <x:c r="F33" s="95"/>
      <x:c r="G33" s="95"/>
      <x:c r="H33" s="95"/>
    </x:row>
    <x:row r="34" ht="24" customHeight="1">
      <x:c r="A34" s="95" t="str">
        <x:v>2 · Absolute: use =C22/$E$21 in E22, then fill to E23. The service-line count moves; total clients stays fixed.</x:v>
      </x:c>
      <x:c r="B34" s="95"/>
      <x:c r="C34" s="95"/>
      <x:c r="D34" s="95"/>
      <x:c r="E34" s="95"/>
      <x:c r="F34" s="95"/>
      <x:c r="G34" s="95"/>
      <x:c r="H34" s="95"/>
    </x:row>
    <x:row r="35" ht="24" customHeight="1">
      <x:c r="A35" s="95"/>
      <x:c r="B35" s="95"/>
      <x:c r="C35" s="95"/>
      <x:c r="D35" s="95"/>
      <x:c r="E35" s="95"/>
      <x:c r="F35" s="95"/>
      <x:c r="G35" s="95"/>
      <x:c r="H35" s="95"/>
    </x:row>
    <x:row r="36" ht="24" customHeight="1">
      <x:c r="A36" s="95" t="str">
        <x:v>3 · Shared fee: use =C11*$D$11 in E11 and fill through E13. Change D11 temporarily; all quarterly revenues should update. Restore $4,200.</x:v>
      </x:c>
      <x:c r="B36" s="95"/>
      <x:c r="C36" s="95"/>
      <x:c r="D36" s="95"/>
      <x:c r="E36" s="95"/>
      <x:c r="F36" s="95"/>
      <x:c r="G36" s="95"/>
      <x:c r="H36" s="95"/>
    </x:row>
    <x:row r="37" ht="24" customHeight="1">
      <x:c r="A37" s="95"/>
      <x:c r="B37" s="95"/>
      <x:c r="C37" s="95"/>
      <x:c r="D37" s="95"/>
      <x:c r="E37" s="95"/>
      <x:c r="F37" s="95"/>
      <x:c r="G37" s="95"/>
      <x:c r="H37" s="95"/>
    </x:row>
    <x:row r="38" ht="24" customHeight="1">
      <x:c r="A38" s="95" t="str">
        <x:v>Explain: which input should move, and which should stay fixed? Mixed references come later, when copying across a two-dimensional table.</x:v>
      </x:c>
      <x:c r="B38" s="95"/>
      <x:c r="C38" s="95"/>
      <x:c r="D38" s="95"/>
      <x:c r="E38" s="95"/>
      <x:c r="F38" s="95"/>
      <x:c r="G38" s="95"/>
      <x:c r="H38" s="95"/>
    </x:row>
    <x:row r="39" ht="24" customHeight="1">
      <x:c r="A39" s="95"/>
      <x:c r="B39" s="95"/>
      <x:c r="C39" s="95"/>
      <x:c r="D39" s="95"/>
      <x:c r="E39" s="95"/>
      <x:c r="F39" s="95"/>
      <x:c r="G39" s="95"/>
      <x:c r="H39" s="95"/>
    </x:row>
  </x:sheetData>
  <x:mergeCells>
    <x:mergeCell ref="A18:H18"/>
    <x:mergeCell ref="A2:H2"/>
    <x:mergeCell ref="A5:H5"/>
    <x:mergeCell ref="A1:H1"/>
    <x:mergeCell ref="A30:H30"/>
    <x:mergeCell ref="A32:H33"/>
    <x:mergeCell ref="A34:H35"/>
    <x:mergeCell ref="A36:H37"/>
    <x:mergeCell ref="A38:H39"/>
  </x:mergeCells>
  <x:conditionalFormatting sqref="F8:F27">
    <x:cfRule type="containsText" dxfId="6" priority="1" operator="containsText" text="Try agai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1.110000610351562" style="20" customWidth="1"/>
    <x:col min="2" max="2" width="25.559999465942383" style="20" customWidth="1"/>
    <x:col min="3" max="3" width="34.439998626708984" style="20" customWidth="1"/>
    <x:col min="4" max="4" width="33.33000183105469" style="20" customWidth="1"/>
  </x:cols>
  <x:sheetData>
    <x:row r="1" s="20" customFormat="1" ht="31.5" customHeight="1">
      <x:c r="A1" s="54" t="inlineStr">
        <x:is>
          <x:t xml:space="preserve">Concept</x:t>
        </x:is>
      </x:c>
      <x:c r="B1" s="54" t="inlineStr">
        <x:is>
          <x:t xml:space="preserve">Excel Pattern</x:t>
        </x:is>
      </x:c>
      <x:c r="C1" s="54" t="inlineStr">
        <x:is>
          <x:t xml:space="preserve">Plain-English Meaning</x:t>
        </x:is>
      </x:c>
      <x:c r="D1" s="54" t="inlineStr">
        <x:is>
          <x:t xml:space="preserve">Watch Out For</x:t>
        </x:is>
      </x:c>
    </x:row>
    <x:row r="2" s="20" customFormat="1" ht="31.5" customHeight="1">
      <x:c r="A2" s="58" t="inlineStr">
        <x:is>
          <x:t xml:space="preserve">Addition range</x:t>
        </x:is>
      </x:c>
      <x:c r="B2" s="60" t="inlineStr">
        <x:is>
          <x:t xml:space="preserve">=SUM(B2:B10)</x:t>
        </x:is>
      </x:c>
      <x:c r="C2" s="58" t="inlineStr">
        <x:is>
          <x:t xml:space="preserve">Adds a column or row of related numbers.</x:t>
        </x:is>
      </x:c>
      <x:c r="D2" s="61" t="inlineStr">
        <x:is>
          <x:t xml:space="preserve">Do not type every number if a range exists.</x:t>
        </x:is>
      </x:c>
    </x:row>
    <x:row r="3" s="20" customFormat="1" ht="31.5" customHeight="1">
      <x:c r="A3" s="58" t="inlineStr">
        <x:is>
          <x:t xml:space="preserve">Subtraction</x:t>
        </x:is>
      </x:c>
      <x:c r="B3" s="60" t="inlineStr">
        <x:is>
          <x:t xml:space="preserve">=B5-C5</x:t>
        </x:is>
      </x:c>
      <x:c r="C3" s="58" t="inlineStr">
        <x:is>
          <x:t xml:space="preserve">Finds the difference between two cells.</x:t>
        </x:is>
      </x:c>
      <x:c r="D3" s="61" t="inlineStr">
        <x:is>
          <x:t xml:space="preserve">Check that both cells use the same units.</x:t>
        </x:is>
      </x:c>
    </x:row>
    <x:row r="4" s="20" customFormat="1" ht="31.5" customHeight="1">
      <x:c r="A4" s="58" t="inlineStr">
        <x:is>
          <x:t xml:space="preserve">Multiplication</x:t>
        </x:is>
      </x:c>
      <x:c r="B4" s="60" t="inlineStr">
        <x:is>
          <x:t xml:space="preserve">=B3*C3</x:t>
        </x:is>
      </x:c>
      <x:c r="C4" s="58" t="inlineStr">
        <x:is>
          <x:t xml:space="preserve">Multiplies quantity by fee, rate, or price.</x:t>
        </x:is>
      </x:c>
      <x:c r="D4" s="61" t="inlineStr">
        <x:is>
          <x:t xml:space="preserve">Check the time period before multiplying.</x:t>
        </x:is>
      </x:c>
    </x:row>
    <x:row r="5" s="20" customFormat="1" ht="31.5" customHeight="1">
      <x:c r="A5" s="58" t="inlineStr">
        <x:is>
          <x:t xml:space="preserve">Division</x:t>
        </x:is>
      </x:c>
      <x:c r="B5" s="60" t="inlineStr">
        <x:is>
          <x:t xml:space="preserve">=B7/C7</x:t>
        </x:is>
      </x:c>
      <x:c r="C5" s="58" t="inlineStr">
        <x:is>
          <x:t xml:space="preserve">Splits a total across a count or base.</x:t>
        </x:is>
      </x:c>
      <x:c r="D5" s="61" t="inlineStr">
        <x:is>
          <x:t xml:space="preserve">The denominator cannot be zero.</x:t>
        </x:is>
      </x:c>
    </x:row>
    <x:row r="6" s="20" customFormat="1" ht="31.5" customHeight="1">
      <x:c r="A6" s="58" t="inlineStr">
        <x:is>
          <x:t xml:space="preserve">Percent share</x:t>
        </x:is>
      </x:c>
      <x:c r="B6" s="60" t="inlineStr">
        <x:is>
          <x:t xml:space="preserve">=B2/C2</x:t>
        </x:is>
      </x:c>
      <x:c r="C6" s="58" t="inlineStr">
        <x:is>
          <x:t xml:space="preserve">Shows a part as a share of the whole.</x:t>
        </x:is>
      </x:c>
      <x:c r="D6" s="61" t="inlineStr">
        <x:is>
          <x:t xml:space="preserve">Format as percent instead of multiplying by 100.</x:t>
        </x:is>
      </x:c>
    </x:row>
    <x:row r="7" s="20" customFormat="1" ht="40" customHeight="1">
      <x:c r="A7" s="95" t="str">
        <x:v>Percent of a whole</x:v>
      </x:c>
      <x:c r="B7" s="100" t="str">
        <x:v>=whole*rate</x:v>
      </x:c>
      <x:c r="C7" s="95" t="str">
        <x:v>Find the increase amount or part.</x:v>
      </x:c>
      <x:c r="D7" s="99" t="str">
        <x:v>A dollar whole gives a dollar result.</x:v>
      </x:c>
    </x:row>
    <x:row r="8" s="20" customFormat="1" ht="40" customHeight="1">
      <x:c r="A8" s="95" t="str">
        <x:v>Growth target</x:v>
      </x:c>
      <x:c r="B8" s="100" t="str">
        <x:v>=base*(1+rate)</x:v>
      </x:c>
      <x:c r="C8" s="95" t="str">
        <x:v>Keep the original base and add its increase.</x:v>
      </x:c>
      <x:c r="D8" s="99" t="str">
        <x:v>Target total differs from increase amount.</x:v>
      </x:c>
    </x:row>
    <x:row r="9" s="20" customFormat="1" ht="40" customHeight="1">
      <x:c r="A9" s="95" t="str">
        <x:v>Percent change</x:v>
      </x:c>
      <x:c r="B9" s="100" t="str">
        <x:v>=(new-old)/old</x:v>
      </x:c>
      <x:c r="C9" s="95" t="str">
        <x:v>Compare a later value with its older base.</x:v>
      </x:c>
      <x:c r="D9" s="99" t="str">
        <x:v>Percentage format; never multiply by 100.</x:v>
      </x:c>
    </x:row>
    <x:row r="10" ht="40" customHeight="1">
      <x:c r="A10" s="95" t="str">
        <x:v>Relative reference (later)</x:v>
      </x:c>
      <x:c r="B10" s="100" t="str">
        <x:v>=C11*D11</x:v>
      </x:c>
      <x:c r="C10" s="95" t="str">
        <x:v>Fill down: both row references move.</x:v>
      </x:c>
      <x:c r="D10" s="99" t="str">
        <x:v>Predict the next formula before copying.</x:v>
      </x:c>
    </x:row>
    <x:row r="11" s="20" customFormat="1" ht="40" customHeight="1">
      <x:c r="A11" s="95" t="str">
        <x:v>Absolute reference (later)</x:v>
      </x:c>
      <x:c r="B11" s="100" t="str">
        <x:v>=C22/$E$21</x:v>
      </x:c>
      <x:c r="C11" s="95" t="str">
        <x:v>Fill down: E21 remains the shared total.</x:v>
      </x:c>
      <x:c r="D11" s="99" t="str">
        <x:v>The dollar signs fix the address when copying.</x:v>
      </x:c>
    </x:row>
    <x:row r="12" s="20" customFormat="1" ht="28" customHeight="1"/>
    <x:row r="13" s="20" customFormat="1" ht="34" customHeight="1"/>
    <x:row r="14" s="20" customFormat="1" ht="34" customHeight="1"/>
    <x:row r="15" s="20" customFormat="1" ht="34" customHeight="1"/>
    <x:row r="17" s="20" customFormat="1" ht="24" customHeight="1"/>
    <x:row r="18" s="20" customFormat="1" ht="28" customHeight="1"/>
    <x:row r="19" s="20" customFormat="1" ht="34" customHeight="1"/>
    <x:row r="20" s="20" customFormat="1" ht="34" customHeight="1"/>
    <x:row r="21" s="20" customFormat="1" ht="34" customHeight="1"/>
    <x:row r="22" s="20" customFormat="1" ht="34" customHeight="1"/>
    <x:row r="24" s="20" customFormat="1" ht="24" customHeight="1"/>
    <x:row r="25" s="20" customFormat="1" ht="28" customHeight="1"/>
    <x:row r="26" s="20" customFormat="1" ht="34" customHeight="1"/>
    <x:row r="27" s="20" customFormat="1" ht="34" customHeight="1"/>
    <x:row r="28" s="20" customFormat="1" ht="34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102" t="str">
        <x:v>Reference Practice: Service Fees</x:v>
      </x:c>
      <x:c r="B1" s="95"/>
      <x:c r="C1" s="95"/>
      <x:c r="D1" s="95"/>
      <x:c r="E1" s="95"/>
      <x:c r="F1" s="95"/>
    </x:row>
    <x:row r="2" ht="24" customHeight="1">
      <x:c r="A2" s="95" t="str">
        <x:v>Meridian Advisory Group | Practice scenario | 8–10 minutes</x:v>
      </x:c>
      <x:c r="B2" s="95"/>
      <x:c r="C2" s="95"/>
      <x:c r="D2" s="95"/>
      <x:c r="E2" s="95"/>
      <x:c r="F2" s="95"/>
    </x:row>
    <x:row r="3" ht="23" customHeight="1">
      <x:c r="A3" s="96"/>
      <x:c r="B3" s="96"/>
      <x:c r="C3" s="96"/>
      <x:c r="D3" s="96"/>
      <x:c r="E3" s="96"/>
      <x:c r="F3" s="96"/>
    </x:row>
    <x:row r="4" ht="36" customHeight="1">
      <x:c r="A4" s="95" t="str">
        <x:v>1. Enter the data: Planning = 2 hours at $100/hour; Tax = 3 hours at $80/hour; Review = 4 hours at $75/hour.</x:v>
      </x:c>
      <x:c r="B4" s="95"/>
      <x:c r="C4" s="95"/>
      <x:c r="D4" s="95"/>
      <x:c r="E4" s="95"/>
      <x:c r="F4" s="95"/>
    </x:row>
    <x:row r="5" ht="32" customHeight="1">
      <x:c r="A5" s="95" t="str">
        <x:v>Type the hours in B16:B18 and hourly rates in C16:C18. Type 10% in B12.</x:v>
      </x:c>
      <x:c r="B5" s="95"/>
      <x:c r="C5" s="95"/>
      <x:c r="D5" s="95"/>
      <x:c r="E5" s="95"/>
      <x:c r="F5" s="95"/>
    </x:row>
    <x:row r="6" ht="34" customHeight="1">
      <x:c r="A6" s="95" t="str">
        <x:v>2. In D16, calculate hours × hourly rate with relative references. Copy your formula down to D18.</x:v>
      </x:c>
      <x:c r="B6" s="95"/>
      <x:c r="C6" s="95"/>
      <x:c r="D6" s="95"/>
      <x:c r="E6" s="95"/>
      <x:c r="F6" s="95"/>
    </x:row>
    <x:row r="7" ht="36" customHeight="1">
      <x:c r="A7" s="95" t="str">
        <x:v>3. In E16, calculate the discount amount. Keep B12 fixed with an absolute reference when copying down to E18.</x:v>
      </x:c>
      <x:c r="B7" s="95"/>
      <x:c r="C7" s="95"/>
      <x:c r="D7" s="95"/>
      <x:c r="E7" s="95"/>
      <x:c r="F7" s="95"/>
    </x:row>
    <x:row r="8" ht="34" customHeight="1">
      <x:c r="A8" s="95" t="str">
        <x:v>4. In F16, subtract the discount from the subtotal. Copy down to F18. Use SUM to total D19:F19.</x:v>
      </x:c>
      <x:c r="B8" s="95"/>
      <x:c r="C8" s="95"/>
      <x:c r="D8" s="95"/>
      <x:c r="E8" s="95"/>
      <x:c r="F8" s="95"/>
    </x:row>
    <x:row r="9" ht="40" customHeight="1">
      <x:c r="A9" s="95" t="str">
        <x:v>5. Format B12 as Percentage; C16:F19 as Currency (2 decimals). Bold and fill A15:F15; bold the totals. Adjust widths so labels fit.</x:v>
      </x:c>
      <x:c r="B9" s="95"/>
      <x:c r="C9" s="95"/>
      <x:c r="D9" s="95"/>
      <x:c r="E9" s="95"/>
      <x:c r="F9" s="95"/>
    </x:row>
    <x:row r="10" ht="38" customHeight="1">
      <x:c r="A10" s="95" t="str">
        <x:v>6. Change B12 to 20%. All three discount amounts and final fees should update. Restore 10%, answer the question below, and save.</x:v>
      </x:c>
      <x:c r="B10" s="95"/>
      <x:c r="C10" s="95"/>
      <x:c r="D10" s="95"/>
      <x:c r="E10" s="95"/>
      <x:c r="F10" s="95"/>
    </x:row>
    <x:row r="11" ht="23" customHeight="1">
      <x:c r="A11" s="96"/>
      <x:c r="B11" s="96"/>
      <x:c r="C11" s="96"/>
      <x:c r="D11" s="96"/>
      <x:c r="E11" s="96"/>
      <x:c r="F11" s="96"/>
    </x:row>
    <x:row r="12" ht="23" customHeight="1">
      <x:c r="A12" s="96" t="str">
        <x:v>Discount rate</x:v>
      </x:c>
      <x:c r="B12" s="96"/>
      <x:c r="C12" s="96"/>
      <x:c r="D12" s="96"/>
      <x:c r="E12" s="96"/>
      <x:c r="F12" s="96"/>
    </x:row>
    <x:row r="13" ht="23" customHeight="1">
      <x:c r="A13" s="96"/>
      <x:c r="B13" s="96"/>
      <x:c r="C13" s="96"/>
      <x:c r="D13" s="96"/>
      <x:c r="E13" s="96"/>
      <x:c r="F13" s="96"/>
    </x:row>
    <x:row r="14" ht="23" customHeight="1">
      <x:c r="A14" s="96"/>
      <x:c r="B14" s="96"/>
      <x:c r="C14" s="96"/>
      <x:c r="D14" s="96"/>
      <x:c r="E14" s="96"/>
      <x:c r="F14" s="96"/>
    </x:row>
    <x:row r="15" ht="23" customHeight="1">
      <x:c r="A15" s="96" t="str">
        <x:v>Service</x:v>
      </x:c>
      <x:c r="B15" s="96" t="str">
        <x:v>Hours</x:v>
      </x:c>
      <x:c r="C15" s="96" t="str">
        <x:v>Hourly rate</x:v>
      </x:c>
      <x:c r="D15" s="96" t="str">
        <x:v>Subtotal</x:v>
      </x:c>
      <x:c r="E15" s="96" t="str">
        <x:v>Discount</x:v>
      </x:c>
      <x:c r="F15" s="96" t="str">
        <x:v>Final fee</x:v>
      </x:c>
    </x:row>
    <x:row r="16" ht="23" customHeight="1">
      <x:c r="A16" s="96" t="str">
        <x:v>Planning</x:v>
      </x:c>
      <x:c r="B16" s="96"/>
      <x:c r="C16" s="96"/>
      <x:c r="D16" s="96"/>
      <x:c r="E16" s="96"/>
      <x:c r="F16" s="96"/>
    </x:row>
    <x:row r="17" ht="23" customHeight="1">
      <x:c r="A17" s="96" t="str">
        <x:v>Tax</x:v>
      </x:c>
      <x:c r="B17" s="96"/>
      <x:c r="C17" s="96"/>
      <x:c r="D17" s="96"/>
      <x:c r="E17" s="96"/>
      <x:c r="F17" s="96"/>
    </x:row>
    <x:row r="18" ht="23" customHeight="1">
      <x:c r="A18" s="96" t="str">
        <x:v>Review</x:v>
      </x:c>
      <x:c r="B18" s="96"/>
      <x:c r="C18" s="96"/>
      <x:c r="D18" s="96"/>
      <x:c r="E18" s="96"/>
      <x:c r="F18" s="96"/>
    </x:row>
    <x:row r="19" ht="23" customHeight="1">
      <x:c r="A19" s="96" t="str">
        <x:v>Total</x:v>
      </x:c>
      <x:c r="B19" s="96"/>
      <x:c r="C19" s="96"/>
      <x:c r="D19" s="96"/>
      <x:c r="E19" s="96"/>
      <x:c r="F19" s="96"/>
    </x:row>
    <x:row r="20" ht="23" customHeight="1">
      <x:c r="A20" s="96"/>
      <x:c r="B20" s="96"/>
      <x:c r="C20" s="96"/>
      <x:c r="D20" s="96"/>
      <x:c r="E20" s="96"/>
      <x:c r="F20" s="96"/>
    </x:row>
    <x:row r="21" ht="23" customHeight="1">
      <x:c r="A21" s="96"/>
      <x:c r="B21" s="96"/>
      <x:c r="C21" s="96"/>
      <x:c r="D21" s="96"/>
      <x:c r="E21" s="96"/>
      <x:c r="F21" s="96"/>
    </x:row>
    <x:row r="22" ht="34" customHeight="1">
      <x:c r="A22" s="95" t="str">
        <x:v>Explain: When you copy E16 down to E17, which reference changes and which stays fixed? Why?</x:v>
      </x:c>
      <x:c r="B22" s="95"/>
      <x:c r="C22" s="95"/>
      <x:c r="D22" s="95"/>
      <x:c r="E22" s="95"/>
      <x:c r="F22" s="95"/>
    </x:row>
    <x:row r="23" ht="26" customHeight="1">
      <x:c r="A23" s="103"/>
      <x:c r="B23" s="104"/>
      <x:c r="C23" s="104"/>
      <x:c r="D23" s="104"/>
      <x:c r="E23" s="104"/>
      <x:c r="F23" s="105"/>
    </x:row>
    <x:row r="24" ht="26" customHeight="1">
      <x:c r="A24" s="106"/>
      <x:c r="B24" s="107"/>
      <x:c r="C24" s="107"/>
      <x:c r="D24" s="107"/>
      <x:c r="E24" s="107"/>
      <x:c r="F24" s="108"/>
    </x:row>
    <x:row r="25" ht="23" customHeight="1">
      <x:c r="A25" s="96"/>
      <x:c r="B25" s="96"/>
      <x:c r="C25" s="96"/>
      <x:c r="D25" s="96"/>
      <x:c r="E25" s="96"/>
      <x:c r="F25" s="96"/>
    </x:row>
    <x:row r="26" ht="23" customHeight="1">
      <x:c r="A26" s="96"/>
      <x:c r="B26" s="96"/>
      <x:c r="C26" s="96"/>
      <x:c r="D26" s="96"/>
      <x:c r="E26" s="96"/>
      <x:c r="F26" s="96"/>
    </x:row>
    <x:row r="27" ht="23" customHeight="1">
      <x:c r="A27" s="96"/>
      <x:c r="B27" s="96"/>
      <x:c r="C27" s="96"/>
      <x:c r="D27" s="96"/>
      <x:c r="E27" s="96"/>
      <x:c r="F27" s="96"/>
    </x:row>
    <x:row r="28" ht="23" customHeight="1">
      <x:c r="A28" s="96"/>
      <x:c r="B28" s="96"/>
      <x:c r="C28" s="96"/>
      <x:c r="D28" s="96"/>
      <x:c r="E28" s="96"/>
      <x:c r="F28" s="96"/>
    </x:row>
  </x:sheetData>
  <x:mergeCells>
    <x:mergeCell ref="A1:F1"/>
    <x:mergeCell ref="A2:F2"/>
    <x:mergeCell ref="A4:F4"/>
    <x:mergeCell ref="A5:F5"/>
    <x:mergeCell ref="A6:F6"/>
    <x:mergeCell ref="A7:F7"/>
    <x:mergeCell ref="A8:F8"/>
    <x:mergeCell ref="A9:F9"/>
    <x:mergeCell ref="A10:F10"/>
    <x:mergeCell ref="A22:F22"/>
    <x:mergeCell ref="A23:F24"/>
  </x:mergeCells>
  <x:pageMargins left="0.7" right="0.7" top="0.75" bottom="0.75" header="0.3" footer="0.3"/>
</x:worksheet>
</file>