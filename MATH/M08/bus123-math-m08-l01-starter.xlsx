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bethanyevittsair2/Documents/GitHub/BUS123-Solving-Business-Problems-with-Technology/MATH/M08/"/>
    </mc:Choice>
  </mc:AlternateContent>
  <xr:revisionPtr revIDLastSave="0" documentId="8_{53ABEF9C-A8CB-5749-9436-570035837043}" xr6:coauthVersionLast="47" xr6:coauthVersionMax="47" xr10:uidLastSave="{00000000-0000-0000-0000-000000000000}"/>
  <bookViews>
    <workbookView xWindow="0" yWindow="600" windowWidth="38400" windowHeight="20060" activeTab="1" xr2:uid="{00000000-000D-0000-FFFF-FFFF00000000}"/>
  </bookViews>
  <sheets>
    <sheet name="START HERE" sheetId="1" r:id="rId1"/>
    <sheet name="Live You Try It" sheetId="2" r:id="rId2"/>
    <sheet name="Class Challenge" sheetId="3" r:id="rId3"/>
    <sheet name="FormulaReferenceCard" sheetId="4" r:id="rId4"/>
  </sheets>
  <definedNames>
    <definedName name="_xlnm._FilterDatabase" localSheetId="2" hidden="1">'Class Challenge'!$A$5:$I$21</definedName>
    <definedName name="_xlnm._FilterDatabase" localSheetId="1" hidden="1">'Live You Try It'!$A$5:$I$24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4" l="1"/>
  <c r="B15" i="4"/>
  <c r="B14" i="4"/>
  <c r="B13" i="4"/>
  <c r="B12" i="4"/>
  <c r="B11" i="4"/>
  <c r="B10" i="4"/>
  <c r="B9" i="4"/>
  <c r="B8" i="4"/>
  <c r="B7" i="4"/>
  <c r="B6" i="4"/>
  <c r="B26" i="2"/>
  <c r="H24" i="2"/>
  <c r="H23" i="2"/>
  <c r="H22" i="2"/>
  <c r="H21" i="2"/>
  <c r="H20" i="2"/>
  <c r="H19" i="2"/>
  <c r="H16" i="2"/>
  <c r="H15" i="2"/>
  <c r="H14" i="2"/>
  <c r="H13" i="2"/>
  <c r="H11" i="2"/>
  <c r="H10" i="2"/>
  <c r="H8" i="2"/>
  <c r="H7" i="2"/>
  <c r="H6" i="2"/>
</calcChain>
</file>

<file path=xl/sharedStrings.xml><?xml version="1.0" encoding="utf-8"?>
<sst xmlns="http://schemas.openxmlformats.org/spreadsheetml/2006/main" count="221" uniqueCount="203">
  <si>
    <t>BUS123 · MATH-M08-L01 · Simple Interest, Discounting &amp; Present Value</t>
  </si>
  <si>
    <t>Meridian Advisory Group — Live You Try It + Class Challenge Workbook</t>
  </si>
  <si>
    <t>How This Workbook Fits the Lesson</t>
  </si>
  <si>
    <t>1</t>
  </si>
  <si>
    <t>Open this workbook during the slide presentation.</t>
  </si>
  <si>
    <t>2</t>
  </si>
  <si>
    <t>Use the Live You Try It tab when the deck pauses. First copy the slide givens into yellow cells, then build formulas that reference those cells.</t>
  </si>
  <si>
    <t>3</t>
  </si>
  <si>
    <t>Read the feedback cells on Live You Try It as coaching only. This practice is self-graded and is not part of the private rubric.</t>
  </si>
  <si>
    <t>4</t>
  </si>
  <si>
    <t>Use the Class Challenge tab for the graded or next-level activity. Its answer/formula cells are intentionally blank in the student starter.</t>
  </si>
  <si>
    <t>5</t>
  </si>
  <si>
    <t>Keep FormulaReferenceCard open for syntax reminders while you work.</t>
  </si>
  <si>
    <t>Tabs in This Workbook</t>
  </si>
  <si>
    <t>Tab</t>
  </si>
  <si>
    <t>Purpose</t>
  </si>
  <si>
    <t>Live You Try It</t>
  </si>
  <si>
    <t>Self-graded slide pauses using the exact M08 slide numbers: corporate note, unknown principal, receivable PV, and DCF stream.</t>
  </si>
  <si>
    <t>Class Challenge</t>
  </si>
  <si>
    <t>Harder formula-building task with 16 formula questions. Use the provided input cells and build formulas in the yellow answer cells.</t>
  </si>
  <si>
    <t>FormulaReferenceCard</t>
  </si>
  <si>
    <t>Quick syntax reminders for simple interest, present value, =PV(), =FV(), and DCF totals.</t>
  </si>
  <si>
    <t>Color Key</t>
  </si>
  <si>
    <t>Yellow cells</t>
  </si>
  <si>
    <t>Student entry cells. In Live You Try It, enter givens first; in Class Challenge, build the formula/answer.</t>
  </si>
  <si>
    <t>Blue cells</t>
  </si>
  <si>
    <t>Given input cells for the Class Challenge. Use cell references to these values.</t>
  </si>
  <si>
    <t>Green cells</t>
  </si>
  <si>
    <t>Feedback formulas for self-check practice only.</t>
  </si>
  <si>
    <t>Live You Try It · Match the Slide Numbers</t>
  </si>
  <si>
    <t>Self-graded Excel pauses. Type the slide givens into yellow cells first, then build formulas with cell references.</t>
  </si>
  <si>
    <t>Pause</t>
  </si>
  <si>
    <t>Slide</t>
  </si>
  <si>
    <t>What to model</t>
  </si>
  <si>
    <t>Input 1</t>
  </si>
  <si>
    <t>Input 2</t>
  </si>
  <si>
    <t>Input 3</t>
  </si>
  <si>
    <t>Your formula / result</t>
  </si>
  <si>
    <t>Feedback</t>
  </si>
  <si>
    <t>Hint</t>
  </si>
  <si>
    <t>1A</t>
  </si>
  <si>
    <t>Slide 10</t>
  </si>
  <si>
    <t>Convert the 9-month term to years</t>
  </si>
  <si>
    <t>Use months ÷ 12.</t>
  </si>
  <si>
    <t>1B</t>
  </si>
  <si>
    <t>Calculate interest on the corporate note</t>
  </si>
  <si>
    <t>Interest = principal × rate × time.</t>
  </si>
  <si>
    <t>1C</t>
  </si>
  <si>
    <t>Calculate future value of the note</t>
  </si>
  <si>
    <t>FV = principal × (1 + rate × time).</t>
  </si>
  <si>
    <t>Pause 2 · Unknown principal</t>
  </si>
  <si>
    <t>2A</t>
  </si>
  <si>
    <t>Slide 11</t>
  </si>
  <si>
    <t>Convert 90 ordinary-interest days to years</t>
  </si>
  <si>
    <t>Ordinary interest uses a 360-day year.</t>
  </si>
  <si>
    <t>2B</t>
  </si>
  <si>
    <t>Solve for the original principal</t>
  </si>
  <si>
    <t>P = interest ÷ (rate × time).</t>
  </si>
  <si>
    <t>Pause 3 · Discount the receivable</t>
  </si>
  <si>
    <t>3A</t>
  </si>
  <si>
    <t>Slide 14</t>
  </si>
  <si>
    <t>Convert 18 months to years</t>
  </si>
  <si>
    <t>Use months ÷ 12 before discounting.</t>
  </si>
  <si>
    <t>3B</t>
  </si>
  <si>
    <t>Calculate the discount factor</t>
  </si>
  <si>
    <t>Discount factor = 1 + rate × time.</t>
  </si>
  <si>
    <t>3C</t>
  </si>
  <si>
    <t>Discount the $25,000 receivable manually</t>
  </si>
  <si>
    <t>PV = FV ÷ (1 + rate × time).</t>
  </si>
  <si>
    <t>3D</t>
  </si>
  <si>
    <t>Slide 15</t>
  </si>
  <si>
    <t>Use Excel =PV() for the same receivable</t>
  </si>
  <si>
    <t>Pause 4 · DCF stream</t>
  </si>
  <si>
    <t>4A</t>
  </si>
  <si>
    <t>Slide 20</t>
  </si>
  <si>
    <t>DCF payment 1 present value</t>
  </si>
  <si>
    <t>Manual PV for one row.</t>
  </si>
  <si>
    <t>4B</t>
  </si>
  <si>
    <t>DCF payment 2 present value</t>
  </si>
  <si>
    <t>Keep the rate in its own cell.</t>
  </si>
  <si>
    <t>4C</t>
  </si>
  <si>
    <t>DCF payment 3 present value</t>
  </si>
  <si>
    <t>Each row discounts independently.</t>
  </si>
  <si>
    <t>4D</t>
  </si>
  <si>
    <t>DCF payment 4 present value</t>
  </si>
  <si>
    <t>Longer time means a smaller PV.</t>
  </si>
  <si>
    <t>4E</t>
  </si>
  <si>
    <t>DCF payment 5 present value</t>
  </si>
  <si>
    <t>Do not sum future values first.</t>
  </si>
  <si>
    <t>4F</t>
  </si>
  <si>
    <t>Total present value of the stream</t>
  </si>
  <si>
    <t>Sum the present values, not the future values.</t>
  </si>
  <si>
    <t>Self-check score</t>
  </si>
  <si>
    <t>Use during class only</t>
  </si>
  <si>
    <t>Live You Try It is self-graded practice. It is intentionally not included in the private graded rubric.</t>
  </si>
  <si>
    <t>Class Challenge · Simple Interest and Discounting</t>
  </si>
  <si>
    <t>Graded or next-level activity. Use the separated input cells and build formulas in the yellow answer cells.</t>
  </si>
  <si>
    <t>#</t>
  </si>
  <si>
    <t>Skill</t>
  </si>
  <si>
    <t>Scenario</t>
  </si>
  <si>
    <t>Input A</t>
  </si>
  <si>
    <t>Input B</t>
  </si>
  <si>
    <t>Input C</t>
  </si>
  <si>
    <t>Input D</t>
  </si>
  <si>
    <t>Formula / Answer</t>
  </si>
  <si>
    <t>Build Hint</t>
  </si>
  <si>
    <t>C1</t>
  </si>
  <si>
    <t>Day-count</t>
  </si>
  <si>
    <t>Exact interest on the $50,000 Meridian note for 124 days</t>
  </si>
  <si>
    <t>Use days ÷ 365.</t>
  </si>
  <si>
    <t>C2</t>
  </si>
  <si>
    <t>Ordinary interest on the same note</t>
  </si>
  <si>
    <t>Use days ÷ 360.</t>
  </si>
  <si>
    <t>C3</t>
  </si>
  <si>
    <t>Extra interest from the banker's rule</t>
  </si>
  <si>
    <t>Compare ordinary minus exact.</t>
  </si>
  <si>
    <t>C4</t>
  </si>
  <si>
    <t>Forward value</t>
  </si>
  <si>
    <t>Slide worksheet Loan B interest</t>
  </si>
  <si>
    <t>Interest = PRT.</t>
  </si>
  <si>
    <t>C5</t>
  </si>
  <si>
    <t>Slide worksheet Loan C future value</t>
  </si>
  <si>
    <t>Future value = P(1+RT).</t>
  </si>
  <si>
    <t>C6</t>
  </si>
  <si>
    <t>Unknowns</t>
  </si>
  <si>
    <t>Find principal from $19.48 interest at 9.5% for 90 ordinary-interest days</t>
  </si>
  <si>
    <t>Convert time inside the formula.</t>
  </si>
  <si>
    <t>C7</t>
  </si>
  <si>
    <t>Manual PV</t>
  </si>
  <si>
    <t>Manual PV for a $25,000 receivable due in 18 months at 7%</t>
  </si>
  <si>
    <t>Convert months to years inside the denominator.</t>
  </si>
  <si>
    <t>C8</t>
  </si>
  <si>
    <t>Excel PV</t>
  </si>
  <si>
    <t>Use =PV() for the same $25,000 receivable</t>
  </si>
  <si>
    <t>Use the pmt input cell, even though it is 0.</t>
  </si>
  <si>
    <t>C9</t>
  </si>
  <si>
    <t>Round trip</t>
  </si>
  <si>
    <t>Verify the =PV() result grows back to $25,000</t>
  </si>
  <si>
    <t>Reference your C8 result as the pv argument.</t>
  </si>
  <si>
    <t>C10</t>
  </si>
  <si>
    <t>DCF</t>
  </si>
  <si>
    <t>Payment 1 present value</t>
  </si>
  <si>
    <t>Manual PV for payment 1.</t>
  </si>
  <si>
    <t>C11</t>
  </si>
  <si>
    <t>Payment 2 present value</t>
  </si>
  <si>
    <t>Manual PV for payment 2.</t>
  </si>
  <si>
    <t>C12</t>
  </si>
  <si>
    <t>Payment 3 present value</t>
  </si>
  <si>
    <t>Manual PV for payment 3.</t>
  </si>
  <si>
    <t>C13</t>
  </si>
  <si>
    <t>Payment 4 present value</t>
  </si>
  <si>
    <t>Manual PV for payment 4.</t>
  </si>
  <si>
    <t>C14</t>
  </si>
  <si>
    <t>Payment 5 present value</t>
  </si>
  <si>
    <t>Manual PV for payment 5.</t>
  </si>
  <si>
    <t>C15</t>
  </si>
  <si>
    <t>DCF total</t>
  </si>
  <si>
    <t>Total present value of all five payments</t>
  </si>
  <si>
    <t>Sum the present values only.</t>
  </si>
  <si>
    <t>C16</t>
  </si>
  <si>
    <t>Decision</t>
  </si>
  <si>
    <t>Dollar spread versus the $75,000 cash offer</t>
  </si>
  <si>
    <t>Positive means the stream is worth more than the offer.</t>
  </si>
  <si>
    <t>Submission reminder</t>
  </si>
  <si>
    <t>Only the Class Challenge tab is part of the private graded rubric for this workbook. Live You Try It is self-graded practice.</t>
  </si>
  <si>
    <t>FormulaReferenceCard · MATH-M08-L01</t>
  </si>
  <si>
    <t>Syntax reminders for simple interest, present value, and DCF models.</t>
  </si>
  <si>
    <t>Concept</t>
  </si>
  <si>
    <t>Excel Pattern</t>
  </si>
  <si>
    <t>Plain-English Meaning</t>
  </si>
  <si>
    <t>Watch Out For</t>
  </si>
  <si>
    <t>Months to years</t>
  </si>
  <si>
    <t>Converts months into a year fraction before using an annual rate.</t>
  </si>
  <si>
    <t>Do not type 9 as time when the rate is annual.</t>
  </si>
  <si>
    <t>Days to years · exact</t>
  </si>
  <si>
    <t>Converts days using exact interest.</t>
  </si>
  <si>
    <t>Use when the problem says exact interest.</t>
  </si>
  <si>
    <t>Days to years · ordinary</t>
  </si>
  <si>
    <t>Converts days using banker's rule.</t>
  </si>
  <si>
    <t>Produces slightly more interest than exact interest.</t>
  </si>
  <si>
    <t>Simple interest</t>
  </si>
  <si>
    <t>Calculates interest for one principal, rate, and time.</t>
  </si>
  <si>
    <t>Time must already be in years.</t>
  </si>
  <si>
    <t>Future value · simple</t>
  </si>
  <si>
    <t>Moves money forward by adding simple interest.</t>
  </si>
  <si>
    <t>Use cell references for all inputs.</t>
  </si>
  <si>
    <t>Solve for principal</t>
  </si>
  <si>
    <t>Back-solves the original principal.</t>
  </si>
  <si>
    <t>Convert days/months before solving.</t>
  </si>
  <si>
    <t>Discount factor</t>
  </si>
  <si>
    <t>Builds the denominator for manual present value.</t>
  </si>
  <si>
    <t>The factor should be greater than 1.</t>
  </si>
  <si>
    <t>Manual present value</t>
  </si>
  <si>
    <t>Discounts one future value back to today.</t>
  </si>
  <si>
    <t>PV should be less than FV in absolute value.</t>
  </si>
  <si>
    <t>Excel PV function</t>
  </si>
  <si>
    <t>Uses Excel to discount one future lump sum.</t>
  </si>
  <si>
    <t>Excel returns a negative outflow for a positive future value.</t>
  </si>
  <si>
    <t>Excel FV round trip</t>
  </si>
  <si>
    <t>Checks that a PV grows back to the future value.</t>
  </si>
  <si>
    <t>Use the negative PV result from =PV().</t>
  </si>
  <si>
    <t>Adds present values from a stream of future payments.</t>
  </si>
  <si>
    <t>Discount each payment before summing.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</si>
</sst>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.00"/>
    <numFmt numFmtId="165" formatCode="0.0%"/>
    <numFmt numFmtId="166" formatCode="0.0000"/>
  </numFmts>
  <fonts count="10" x14ac:knownFonts="1">
    <font>
      <sz val="11"/>
      <color theme="1"/>
      <name val="Calibri"/>
      <family val="2"/>
      <scheme val="minor"/>
    </font>
    <font>
      <b/>
      <sz val="16"/>
      <color rgb="FFFFFFFF"/>
      <name val="Aptos Display"/>
    </font>
    <font>
      <i/>
      <sz val="11"/>
      <color rgb="FF4A5567"/>
      <name val="Aptos"/>
    </font>
    <font>
      <b/>
      <sz val="13"/>
      <color rgb="FF1A1F2C"/>
      <name val="Aptos Display"/>
    </font>
    <font>
      <sz val="10"/>
      <color rgb="FF1A1F2C"/>
      <name val="Aptos"/>
    </font>
    <font>
      <b/>
      <sz val="10"/>
      <color rgb="FFFFFFFF"/>
      <name val="Aptos"/>
    </font>
    <font>
      <b/>
      <sz val="11"/>
      <color rgb="FF355773"/>
      <name val="Aptos"/>
    </font>
    <font>
      <b/>
      <sz val="11"/>
      <color rgb="FF1A1F2C"/>
      <name val="Aptos"/>
    </font>
    <font>
      <b/>
      <sz val="12"/>
      <color rgb="FF1A1F2C"/>
      <name val="Aptos Display"/>
    </font>
    <font>
      <b/>
      <sz val="10"/>
      <color rgb="FF355773"/>
      <name val="Aptos Mono"/>
    </font>
  </fonts>
  <fills count="10">
    <fill>
      <patternFill patternType="none"/>
    </fill>
    <fill>
      <patternFill patternType="gray125"/>
    </fill>
    <fill>
      <patternFill patternType="solid">
        <fgColor rgb="FF0E1116"/>
      </patternFill>
    </fill>
    <fill>
      <patternFill patternType="solid">
        <fgColor rgb="FFFAF8F3"/>
      </patternFill>
    </fill>
    <fill>
      <patternFill patternType="solid">
        <fgColor rgb="FFF2EEE5"/>
      </patternFill>
    </fill>
    <fill>
      <patternFill patternType="solid">
        <fgColor rgb="FFFFFFFF"/>
      </patternFill>
    </fill>
    <fill>
      <patternFill patternType="solid">
        <fgColor rgb="FF355773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EAF3EC"/>
      </patternFill>
    </fill>
  </fills>
  <borders count="6">
    <border>
      <left/>
      <right/>
      <top/>
      <bottom/>
      <diagonal/>
    </border>
    <border>
      <left style="medium">
        <color rgb="FF4A7C5E"/>
      </left>
      <right style="thin">
        <color rgb="FFE5E1D6"/>
      </right>
      <top style="thin">
        <color rgb="FFE5E1D6"/>
      </top>
      <bottom style="thin">
        <color rgb="FFE5E1D6"/>
      </bottom>
      <diagonal/>
    </border>
    <border>
      <left style="thin">
        <color rgb="FFE5E1D6"/>
      </left>
      <right style="thin">
        <color rgb="FFE5E1D6"/>
      </right>
      <top style="thin">
        <color rgb="FFE5E1D6"/>
      </top>
      <bottom style="thin">
        <color rgb="FFE5E1D6"/>
      </bottom>
      <diagonal/>
    </border>
    <border>
      <left style="medium">
        <color rgb="FFB8843D"/>
      </left>
      <right style="thin">
        <color rgb="FFE5E1D6"/>
      </right>
      <top style="thin">
        <color rgb="FFE5E1D6"/>
      </top>
      <bottom style="thin">
        <color rgb="FFE5E1D6"/>
      </bottom>
      <diagonal/>
    </border>
    <border>
      <left/>
      <right/>
      <top style="thin">
        <color rgb="FFE5E1D6"/>
      </top>
      <bottom style="thin">
        <color rgb="FFE5E1D6"/>
      </bottom>
      <diagonal/>
    </border>
    <border>
      <left/>
      <right style="thin">
        <color rgb="FFE5E1D6"/>
      </right>
      <top style="thin">
        <color rgb="FFE5E1D6"/>
      </top>
      <bottom style="thin">
        <color rgb="FFE5E1D6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4" fillId="5" borderId="2" xfId="0" applyFont="1" applyFill="1" applyBorder="1" applyAlignment="1">
      <alignment vertical="top" wrapText="1"/>
    </xf>
    <xf numFmtId="0" fontId="5" fillId="6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vertical="top" wrapText="1"/>
    </xf>
    <xf numFmtId="0" fontId="4" fillId="8" borderId="2" xfId="0" applyFont="1" applyFill="1" applyBorder="1" applyAlignment="1">
      <alignment vertical="top" wrapText="1"/>
    </xf>
    <xf numFmtId="0" fontId="4" fillId="9" borderId="2" xfId="0" applyFont="1" applyFill="1" applyBorder="1" applyAlignment="1">
      <alignment vertical="top" wrapText="1"/>
    </xf>
    <xf numFmtId="0" fontId="6" fillId="5" borderId="2" xfId="0" applyFont="1" applyFill="1" applyBorder="1" applyAlignment="1">
      <alignment vertical="top" wrapText="1"/>
    </xf>
    <xf numFmtId="0" fontId="7" fillId="5" borderId="2" xfId="0" applyFont="1" applyFill="1" applyBorder="1" applyAlignment="1">
      <alignment vertical="top" wrapText="1"/>
    </xf>
    <xf numFmtId="0" fontId="4" fillId="4" borderId="2" xfId="0" applyFont="1" applyFill="1" applyBorder="1" applyAlignment="1">
      <alignment vertical="top" wrapText="1"/>
    </xf>
    <xf numFmtId="164" fontId="4" fillId="7" borderId="2" xfId="0" applyNumberFormat="1" applyFont="1" applyFill="1" applyBorder="1" applyAlignment="1">
      <alignment vertical="top" wrapText="1"/>
    </xf>
    <xf numFmtId="165" fontId="4" fillId="7" borderId="2" xfId="0" applyNumberFormat="1" applyFont="1" applyFill="1" applyBorder="1" applyAlignment="1">
      <alignment vertical="top" wrapText="1"/>
    </xf>
    <xf numFmtId="166" fontId="4" fillId="7" borderId="2" xfId="0" applyNumberFormat="1" applyFont="1" applyFill="1" applyBorder="1" applyAlignment="1">
      <alignment vertical="top" wrapText="1"/>
    </xf>
    <xf numFmtId="0" fontId="7" fillId="4" borderId="2" xfId="0" applyFont="1" applyFill="1" applyBorder="1" applyAlignment="1">
      <alignment vertical="top" wrapText="1"/>
    </xf>
    <xf numFmtId="164" fontId="4" fillId="8" borderId="2" xfId="0" applyNumberFormat="1" applyFont="1" applyFill="1" applyBorder="1" applyAlignment="1">
      <alignment vertical="top" wrapText="1"/>
    </xf>
    <xf numFmtId="165" fontId="4" fillId="8" borderId="2" xfId="0" applyNumberFormat="1" applyFont="1" applyFill="1" applyBorder="1" applyAlignment="1">
      <alignment vertical="top" wrapText="1"/>
    </xf>
    <xf numFmtId="166" fontId="4" fillId="8" borderId="2" xfId="0" applyNumberFormat="1" applyFont="1" applyFill="1" applyBorder="1" applyAlignment="1">
      <alignment vertical="top" wrapText="1"/>
    </xf>
    <xf numFmtId="0" fontId="9" fillId="9" borderId="2" xfId="0" applyFont="1" applyFill="1" applyBorder="1" applyAlignment="1">
      <alignment vertical="top" wrapText="1"/>
    </xf>
    <xf numFmtId="0" fontId="2" fillId="3" borderId="0" xfId="0" applyFont="1" applyFill="1" applyAlignment="1">
      <alignment wrapText="1"/>
    </xf>
    <xf numFmtId="0" fontId="0" fillId="0" borderId="0" xfId="0"/>
    <xf numFmtId="0" fontId="3" fillId="4" borderId="1" xfId="0" applyFont="1" applyFill="1" applyBorder="1"/>
    <xf numFmtId="0" fontId="0" fillId="0" borderId="4" xfId="0" applyBorder="1"/>
    <xf numFmtId="0" fontId="0" fillId="0" borderId="5" xfId="0" applyBorder="1"/>
    <xf numFmtId="0" fontId="1" fillId="2" borderId="0" xfId="0" applyFont="1" applyFill="1" applyAlignment="1">
      <alignment horizontal="left" vertical="center"/>
    </xf>
    <xf numFmtId="0" fontId="8" fillId="4" borderId="3" xfId="0" applyFont="1" applyFill="1" applyBorder="1"/>
    <xf numFmtId="0" fontId="4" fillId="4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6"/>
  <sheetViews>
    <sheetView showGridLines="0" workbookViewId="0">
      <pane ySplit="15" topLeftCell="A16" activePane="bottomLeft" state="frozen"/>
      <selection pane="bottomLeft" sqref="A1:F1"/>
    </sheetView>
  </sheetViews>
  <sheetFormatPr baseColWidth="10" defaultColWidth="8.83203125" defaultRowHeight="15" x14ac:dyDescent="0.2"/>
  <cols>
    <col min="1" max="1" width="18" customWidth="1"/>
    <col min="2" max="2" width="46" customWidth="1"/>
    <col min="3" max="3" width="58" customWidth="1"/>
    <col min="4" max="6" width="18" customWidth="1"/>
  </cols>
  <sheetData>
    <row r="1" spans="1:6" ht="22" customHeight="1" x14ac:dyDescent="0.2">
      <c r="A1" s="22" t="s">
        <v>0</v>
      </c>
      <c r="B1" s="18"/>
      <c r="C1" s="18"/>
      <c r="D1" s="18"/>
      <c r="E1" s="18"/>
      <c r="F1" s="18"/>
    </row>
    <row r="2" spans="1:6" ht="22" customHeight="1" x14ac:dyDescent="0.2">
      <c r="A2" s="17" t="s">
        <v>1</v>
      </c>
      <c r="B2" s="18"/>
      <c r="C2" s="18"/>
      <c r="D2" s="18"/>
      <c r="E2" s="18"/>
      <c r="F2" s="18"/>
    </row>
    <row r="3" spans="1:6" ht="22" customHeight="1" x14ac:dyDescent="0.2"/>
    <row r="4" spans="1:6" ht="22" customHeight="1" x14ac:dyDescent="0.2"/>
    <row r="5" spans="1:6" ht="22" customHeight="1" x14ac:dyDescent="0.2">
      <c r="A5" s="19" t="s">
        <v>2</v>
      </c>
      <c r="B5" s="20"/>
      <c r="C5" s="21"/>
    </row>
    <row r="6" spans="1:6" ht="22" customHeight="1" x14ac:dyDescent="0.2"/>
    <row r="7" spans="1:6" ht="22" customHeight="1" x14ac:dyDescent="0.2">
      <c r="A7" s="1" t="s">
        <v>3</v>
      </c>
      <c r="B7" s="1" t="s">
        <v>4</v>
      </c>
    </row>
    <row r="8" spans="1:6" ht="22" customHeight="1" x14ac:dyDescent="0.2">
      <c r="A8" s="1" t="s">
        <v>5</v>
      </c>
      <c r="B8" s="1" t="s">
        <v>6</v>
      </c>
    </row>
    <row r="9" spans="1:6" ht="22" customHeight="1" x14ac:dyDescent="0.2">
      <c r="A9" s="1" t="s">
        <v>7</v>
      </c>
      <c r="B9" s="1" t="s">
        <v>8</v>
      </c>
    </row>
    <row r="10" spans="1:6" ht="22" customHeight="1" x14ac:dyDescent="0.2">
      <c r="A10" s="1" t="s">
        <v>9</v>
      </c>
      <c r="B10" s="1" t="s">
        <v>10</v>
      </c>
    </row>
    <row r="11" spans="1:6" ht="22" customHeight="1" x14ac:dyDescent="0.2">
      <c r="A11" s="1" t="s">
        <v>11</v>
      </c>
      <c r="B11" s="1" t="s">
        <v>12</v>
      </c>
    </row>
    <row r="12" spans="1:6" ht="22" customHeight="1" x14ac:dyDescent="0.2"/>
    <row r="13" spans="1:6" ht="22" customHeight="1" x14ac:dyDescent="0.2"/>
    <row r="14" spans="1:6" ht="22" customHeight="1" x14ac:dyDescent="0.2">
      <c r="A14" s="19" t="s">
        <v>13</v>
      </c>
      <c r="B14" s="20"/>
      <c r="C14" s="21"/>
    </row>
    <row r="15" spans="1:6" ht="22" customHeight="1" x14ac:dyDescent="0.2"/>
    <row r="16" spans="1:6" ht="22" customHeight="1" x14ac:dyDescent="0.2">
      <c r="A16" s="2" t="s">
        <v>14</v>
      </c>
      <c r="B16" s="2" t="s">
        <v>15</v>
      </c>
    </row>
    <row r="17" spans="1:3" ht="22" customHeight="1" x14ac:dyDescent="0.2">
      <c r="A17" s="1" t="s">
        <v>16</v>
      </c>
      <c r="B17" s="1" t="s">
        <v>17</v>
      </c>
    </row>
    <row r="18" spans="1:3" ht="22" customHeight="1" x14ac:dyDescent="0.2">
      <c r="A18" s="1" t="s">
        <v>18</v>
      </c>
      <c r="B18" s="1" t="s">
        <v>19</v>
      </c>
    </row>
    <row r="19" spans="1:3" ht="22" customHeight="1" x14ac:dyDescent="0.2">
      <c r="A19" s="1" t="s">
        <v>20</v>
      </c>
      <c r="B19" s="1" t="s">
        <v>21</v>
      </c>
    </row>
    <row r="20" spans="1:3" ht="22" customHeight="1" x14ac:dyDescent="0.2"/>
    <row r="21" spans="1:3" ht="22" customHeight="1" x14ac:dyDescent="0.2"/>
    <row r="22" spans="1:3" ht="22" customHeight="1" x14ac:dyDescent="0.2">
      <c r="A22" s="19" t="s">
        <v>22</v>
      </c>
      <c r="B22" s="20"/>
      <c r="C22" s="21"/>
    </row>
    <row r="23" spans="1:3" ht="22" customHeight="1" x14ac:dyDescent="0.2"/>
    <row r="24" spans="1:3" ht="22" customHeight="1" x14ac:dyDescent="0.2">
      <c r="A24" s="3" t="s">
        <v>23</v>
      </c>
      <c r="B24" s="1" t="s">
        <v>24</v>
      </c>
    </row>
    <row r="25" spans="1:3" ht="22" customHeight="1" x14ac:dyDescent="0.2">
      <c r="A25" s="4" t="s">
        <v>25</v>
      </c>
      <c r="B25" s="1" t="s">
        <v>26</v>
      </c>
    </row>
    <row r="26" spans="1:3" ht="22" customHeight="1" x14ac:dyDescent="0.2">
      <c r="A26" s="5" t="s">
        <v>27</v>
      </c>
      <c r="B26" s="1" t="s">
        <v>28</v>
      </c>
    </row>
  </sheetData>
  <mergeCells count="5">
    <mergeCell ref="A2:F2"/>
    <mergeCell ref="A5:C5"/>
    <mergeCell ref="A14:C14"/>
    <mergeCell ref="A1:F1"/>
    <mergeCell ref="A22:C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7"/>
  <sheetViews>
    <sheetView showGridLines="0" tabSelected="1" workbookViewId="0">
      <pane ySplit="5" topLeftCell="A6" activePane="bottomLeft" state="frozen"/>
      <selection pane="bottomLeft" sqref="A1:I1"/>
    </sheetView>
  </sheetViews>
  <sheetFormatPr baseColWidth="10" defaultColWidth="8.83203125" defaultRowHeight="15" x14ac:dyDescent="0.2"/>
  <cols>
    <col min="1" max="1" width="10" customWidth="1"/>
    <col min="2" max="2" width="12" customWidth="1"/>
    <col min="3" max="3" width="40" customWidth="1"/>
    <col min="4" max="6" width="15" customWidth="1"/>
    <col min="7" max="7" width="22" customWidth="1"/>
    <col min="8" max="9" width="38" customWidth="1"/>
  </cols>
  <sheetData>
    <row r="1" spans="1:9" ht="28" customHeight="1" x14ac:dyDescent="0.2">
      <c r="A1" s="22" t="s">
        <v>29</v>
      </c>
      <c r="B1" s="18"/>
      <c r="C1" s="18"/>
      <c r="D1" s="18"/>
      <c r="E1" s="18"/>
      <c r="F1" s="18"/>
      <c r="G1" s="18"/>
      <c r="H1" s="18"/>
      <c r="I1" s="18"/>
    </row>
    <row r="2" spans="1:9" ht="24" customHeight="1" x14ac:dyDescent="0.2">
      <c r="A2" s="17" t="s">
        <v>30</v>
      </c>
      <c r="B2" s="18"/>
      <c r="C2" s="18"/>
      <c r="D2" s="18"/>
      <c r="E2" s="18"/>
      <c r="F2" s="18"/>
      <c r="G2" s="18"/>
      <c r="H2" s="18"/>
      <c r="I2" s="18"/>
    </row>
    <row r="5" spans="1:9" x14ac:dyDescent="0.2">
      <c r="A5" s="2" t="s">
        <v>31</v>
      </c>
      <c r="B5" s="2" t="s">
        <v>32</v>
      </c>
      <c r="C5" s="2" t="s">
        <v>33</v>
      </c>
      <c r="D5" s="2" t="s">
        <v>34</v>
      </c>
      <c r="E5" s="2" t="s">
        <v>35</v>
      </c>
      <c r="F5" s="2" t="s">
        <v>36</v>
      </c>
      <c r="G5" s="2" t="s">
        <v>37</v>
      </c>
      <c r="H5" s="2" t="s">
        <v>38</v>
      </c>
      <c r="I5" s="2" t="s">
        <v>39</v>
      </c>
    </row>
    <row r="6" spans="1:9" ht="32" customHeight="1" x14ac:dyDescent="0.2">
      <c r="A6" s="6" t="s">
        <v>40</v>
      </c>
      <c r="B6" s="7" t="s">
        <v>41</v>
      </c>
      <c r="C6" s="1" t="s">
        <v>42</v>
      </c>
      <c r="D6" s="3"/>
      <c r="E6" s="3"/>
      <c r="F6" s="3"/>
      <c r="G6" s="3"/>
      <c r="H6" s="5" t="str">
        <f>IF(COUNTA(D6,E6,G6)&lt;3,"Enter givens first, then build the formula",IF(NOT(AND(D6=9,E6=12)),"Check the slide givens in yellow cells",IF(ABS(G6-(D6/E6))&lt;0.0001,"Correct - self-check complete","Try again - use the hint and cell references")))</f>
        <v>Enter givens first, then build the formula</v>
      </c>
      <c r="I6" s="8" t="s">
        <v>43</v>
      </c>
    </row>
    <row r="7" spans="1:9" ht="32" customHeight="1" x14ac:dyDescent="0.2">
      <c r="A7" s="6" t="s">
        <v>44</v>
      </c>
      <c r="B7" s="7" t="s">
        <v>41</v>
      </c>
      <c r="C7" s="1" t="s">
        <v>45</v>
      </c>
      <c r="D7" s="9"/>
      <c r="E7" s="10"/>
      <c r="F7" s="11"/>
      <c r="G7" s="9"/>
      <c r="H7" s="5" t="str">
        <f>IF(COUNTA(D7,E7,F7,G7)&lt;4,"Enter givens first, then build the formula",IF(NOT(AND(D7=8000,ABS(E7-0.055)&lt;0.0001,ABS(F7-0.75)&lt;0.0001)),"Check the slide givens in yellow cells",IF(ABS(G7-(D7*E7*F7))&lt;0.05,"Correct - self-check complete","Try again - use the hint and cell references")))</f>
        <v>Enter givens first, then build the formula</v>
      </c>
      <c r="I7" s="8" t="s">
        <v>46</v>
      </c>
    </row>
    <row r="8" spans="1:9" ht="32" customHeight="1" x14ac:dyDescent="0.2">
      <c r="A8" s="6" t="s">
        <v>47</v>
      </c>
      <c r="B8" s="7" t="s">
        <v>41</v>
      </c>
      <c r="C8" s="1" t="s">
        <v>48</v>
      </c>
      <c r="D8" s="9"/>
      <c r="E8" s="10"/>
      <c r="F8" s="11"/>
      <c r="G8" s="9"/>
      <c r="H8" s="5" t="str">
        <f>IF(COUNTA(D8,E8,F8,G8)&lt;4,"Enter givens first, then build the formula",IF(NOT(AND(D8=8000,ABS(E8-0.055)&lt;0.0001,ABS(F8-0.75)&lt;0.0001)),"Check the slide givens in yellow cells",IF(ABS(G8-(D8*(1+E8*F8)))&lt;0.05,"Correct - self-check complete","Try again - use the hint and cell references")))</f>
        <v>Enter givens first, then build the formula</v>
      </c>
      <c r="I8" s="8" t="s">
        <v>49</v>
      </c>
    </row>
    <row r="9" spans="1:9" x14ac:dyDescent="0.2">
      <c r="A9" s="23" t="s">
        <v>50</v>
      </c>
      <c r="B9" s="20"/>
      <c r="C9" s="20"/>
      <c r="D9" s="20"/>
      <c r="E9" s="20"/>
      <c r="F9" s="20"/>
      <c r="G9" s="20"/>
      <c r="H9" s="20"/>
      <c r="I9" s="21"/>
    </row>
    <row r="10" spans="1:9" ht="32" customHeight="1" x14ac:dyDescent="0.2">
      <c r="A10" s="6" t="s">
        <v>51</v>
      </c>
      <c r="B10" s="7" t="s">
        <v>52</v>
      </c>
      <c r="C10" s="1" t="s">
        <v>53</v>
      </c>
      <c r="D10" s="3"/>
      <c r="E10" s="3"/>
      <c r="F10" s="3"/>
      <c r="G10" s="3"/>
      <c r="H10" s="5" t="str">
        <f>IF(COUNTA(D10,E10,G10)&lt;3,"Enter givens first, then build the formula",IF(NOT(AND(D10=90,E10=360)),"Check the slide givens in yellow cells",IF(ABS(G10-(D10/E10))&lt;0.0001,"Correct - self-check complete","Try again - use the hint and cell references")))</f>
        <v>Enter givens first, then build the formula</v>
      </c>
      <c r="I10" s="8" t="s">
        <v>54</v>
      </c>
    </row>
    <row r="11" spans="1:9" ht="32" customHeight="1" x14ac:dyDescent="0.2">
      <c r="A11" s="6" t="s">
        <v>55</v>
      </c>
      <c r="B11" s="7" t="s">
        <v>52</v>
      </c>
      <c r="C11" s="1" t="s">
        <v>56</v>
      </c>
      <c r="D11" s="3"/>
      <c r="E11" s="10"/>
      <c r="F11" s="11"/>
      <c r="G11" s="9"/>
      <c r="H11" s="5" t="str">
        <f>IF(COUNTA(D11,E11,F11,G11)&lt;4,"Enter givens first, then build the formula",IF(NOT(AND(ABS(D11-19.48)&lt;0.0001,ABS(E11-0.095)&lt;0.0001,ABS(F11-0.25)&lt;0.0001)),"Check the slide givens in yellow cells",IF(ABS(G11-(D11/(E11*F11)))&lt;0.05,"Correct - self-check complete","Try again - use the hint and cell references")))</f>
        <v>Enter givens first, then build the formula</v>
      </c>
      <c r="I11" s="8" t="s">
        <v>57</v>
      </c>
    </row>
    <row r="12" spans="1:9" x14ac:dyDescent="0.2">
      <c r="A12" s="23" t="s">
        <v>58</v>
      </c>
      <c r="B12" s="20"/>
      <c r="C12" s="20"/>
      <c r="D12" s="20"/>
      <c r="E12" s="20"/>
      <c r="F12" s="20"/>
      <c r="G12" s="20"/>
      <c r="H12" s="20"/>
      <c r="I12" s="21"/>
    </row>
    <row r="13" spans="1:9" ht="32" customHeight="1" x14ac:dyDescent="0.2">
      <c r="A13" s="6" t="s">
        <v>59</v>
      </c>
      <c r="B13" s="7" t="s">
        <v>60</v>
      </c>
      <c r="C13" s="1" t="s">
        <v>61</v>
      </c>
      <c r="D13" s="3"/>
      <c r="E13" s="3"/>
      <c r="F13" s="3"/>
      <c r="G13" s="3"/>
      <c r="H13" s="5" t="str">
        <f>IF(COUNTA(D13,E13,G13)&lt;3,"Enter givens first, then build the formula",IF(NOT(AND(D13=18,E13=12)),"Check the slide givens in yellow cells",IF(ABS(G13-(D13/E13))&lt;0.0001,"Correct - self-check complete","Try again - use the hint and cell references")))</f>
        <v>Enter givens first, then build the formula</v>
      </c>
      <c r="I13" s="8" t="s">
        <v>62</v>
      </c>
    </row>
    <row r="14" spans="1:9" ht="32" customHeight="1" x14ac:dyDescent="0.2">
      <c r="A14" s="6" t="s">
        <v>63</v>
      </c>
      <c r="B14" s="7" t="s">
        <v>60</v>
      </c>
      <c r="C14" s="1" t="s">
        <v>64</v>
      </c>
      <c r="D14" s="3"/>
      <c r="E14" s="11"/>
      <c r="F14" s="3"/>
      <c r="G14" s="9"/>
      <c r="H14" s="5" t="str">
        <f>IF(COUNTA(D14,E14,G14)&lt;3,"Enter givens first, then build the formula",IF(NOT(AND(ABS(D14-0.07)&lt;0.0001,ABS(E14-1.5)&lt;0.0001)),"Check the slide givens in yellow cells",IF(ABS(G14-(1+D14*E14))&lt;0.0001,"Correct - self-check complete","Try again - use the hint and cell references")))</f>
        <v>Enter givens first, then build the formula</v>
      </c>
      <c r="I14" s="8" t="s">
        <v>65</v>
      </c>
    </row>
    <row r="15" spans="1:9" ht="32" customHeight="1" x14ac:dyDescent="0.2">
      <c r="A15" s="6" t="s">
        <v>66</v>
      </c>
      <c r="B15" s="7" t="s">
        <v>60</v>
      </c>
      <c r="C15" s="1" t="s">
        <v>67</v>
      </c>
      <c r="D15" s="9"/>
      <c r="E15" s="10"/>
      <c r="F15" s="11"/>
      <c r="G15" s="9"/>
      <c r="H15" s="5" t="str">
        <f>IF(COUNTA(D15,E15,F15,G15)&lt;4,"Enter givens first, then build the formula",IF(NOT(AND(D15=25000,ABS(E15-0.07)&lt;0.0001,ABS(F15-1.5)&lt;0.0001)),"Check the slide givens in yellow cells",IF(ABS(G15-(D15/(1+E15*F15)))&lt;0.05,"Correct - self-check complete","Try again - use the hint and cell references")))</f>
        <v>Enter givens first, then build the formula</v>
      </c>
      <c r="I15" s="8" t="s">
        <v>68</v>
      </c>
    </row>
    <row r="16" spans="1:9" ht="32" customHeight="1" x14ac:dyDescent="0.2">
      <c r="A16" s="6" t="s">
        <v>69</v>
      </c>
      <c r="B16" s="7" t="s">
        <v>70</v>
      </c>
      <c r="C16" s="1" t="s">
        <v>71</v>
      </c>
      <c r="D16" s="10"/>
      <c r="E16" s="11"/>
      <c r="F16" s="3"/>
      <c r="G16" s="9"/>
      <c r="H16" s="5" t="str">
        <f>IF(COUNTA(D16,E16,F16,G16)&lt;4,"Enter givens first, then build the formula",IF(NOT(AND(ABS(D16-0.07)&lt;0.0001,ABS(E16-1.5)&lt;0.0001,F16=25000)),"Check the slide givens in yellow cells",IF(ABS(G16-(PV(D16,E16,0,F16)))&lt;0.05,"Correct - self-check complete","Try again - use the hint and cell references")))</f>
        <v>Enter givens first, then build the formula</v>
      </c>
      <c r="I16" s="8"/>
    </row>
    <row r="18" spans="1:9" x14ac:dyDescent="0.2">
      <c r="A18" s="23" t="s">
        <v>72</v>
      </c>
      <c r="B18" s="20"/>
      <c r="C18" s="20"/>
      <c r="D18" s="20"/>
      <c r="E18" s="20"/>
      <c r="F18" s="20"/>
      <c r="G18" s="20"/>
      <c r="H18" s="20"/>
      <c r="I18" s="21"/>
    </row>
    <row r="19" spans="1:9" ht="32" customHeight="1" x14ac:dyDescent="0.2">
      <c r="A19" s="6" t="s">
        <v>73</v>
      </c>
      <c r="B19" s="7" t="s">
        <v>74</v>
      </c>
      <c r="C19" s="1" t="s">
        <v>75</v>
      </c>
      <c r="D19" s="9"/>
      <c r="E19" s="10"/>
      <c r="F19" s="11"/>
      <c r="G19" s="9"/>
      <c r="H19" s="5" t="str">
        <f>IF(COUNTA(D19,E19,F19,G19)&lt;4,"Enter givens first, then build the formula",IF(NOT(AND(D19=18000,ABS(E19-0.06)&lt;0.0001,F19=1)),"Check the slide givens in yellow cells",IF(ABS(G19-(D19/(1+E19*F19)))&lt;0.05,"Correct - self-check complete","Try again - use the hint and cell references")))</f>
        <v>Enter givens first, then build the formula</v>
      </c>
      <c r="I19" s="8" t="s">
        <v>76</v>
      </c>
    </row>
    <row r="20" spans="1:9" ht="32" customHeight="1" x14ac:dyDescent="0.2">
      <c r="A20" s="6" t="s">
        <v>77</v>
      </c>
      <c r="B20" s="7" t="s">
        <v>74</v>
      </c>
      <c r="C20" s="1" t="s">
        <v>78</v>
      </c>
      <c r="D20" s="9"/>
      <c r="E20" s="10"/>
      <c r="F20" s="11"/>
      <c r="G20" s="9"/>
      <c r="H20" s="5" t="str">
        <f>IF(COUNTA(D20,E20,F20,G20)&lt;4,"Enter givens first, then build the formula",IF(NOT(AND(D20=22000,ABS(E20-0.06)&lt;0.0001,F20=2)),"Check the slide givens in yellow cells",IF(ABS(G20-(D20/(1+E20*F20)))&lt;0.05,"Correct - self-check complete","Try again - use the hint and cell references")))</f>
        <v>Enter givens first, then build the formula</v>
      </c>
      <c r="I20" s="8" t="s">
        <v>79</v>
      </c>
    </row>
    <row r="21" spans="1:9" ht="32" customHeight="1" x14ac:dyDescent="0.2">
      <c r="A21" s="6" t="s">
        <v>80</v>
      </c>
      <c r="B21" s="7" t="s">
        <v>74</v>
      </c>
      <c r="C21" s="1" t="s">
        <v>81</v>
      </c>
      <c r="D21" s="9"/>
      <c r="E21" s="10"/>
      <c r="F21" s="11"/>
      <c r="G21" s="9"/>
      <c r="H21" s="5" t="str">
        <f>IF(COUNTA(D21,E21,F21,G21)&lt;4,"Enter givens first, then build the formula",IF(NOT(AND(D21=25000,ABS(E21-0.06)&lt;0.0001,F21=3)),"Check the slide givens in yellow cells",IF(ABS(G21-(D21/(1+E21*F21)))&lt;0.05,"Correct - self-check complete","Try again - use the hint and cell references")))</f>
        <v>Enter givens first, then build the formula</v>
      </c>
      <c r="I21" s="8" t="s">
        <v>82</v>
      </c>
    </row>
    <row r="22" spans="1:9" ht="32" customHeight="1" x14ac:dyDescent="0.2">
      <c r="A22" s="6" t="s">
        <v>83</v>
      </c>
      <c r="B22" s="7" t="s">
        <v>74</v>
      </c>
      <c r="C22" s="1" t="s">
        <v>84</v>
      </c>
      <c r="D22" s="9"/>
      <c r="E22" s="10"/>
      <c r="F22" s="11"/>
      <c r="G22" s="9"/>
      <c r="H22" s="5" t="str">
        <f>IF(COUNTA(D22,E22,F22,G22)&lt;4,"Enter givens first, then build the formula",IF(NOT(AND(D22=20000,ABS(E22-0.06)&lt;0.0001,F22=4)),"Check the slide givens in yellow cells",IF(ABS(G22-(D22/(1+E22*F22)))&lt;0.05,"Correct - self-check complete","Try again - use the hint and cell references")))</f>
        <v>Enter givens first, then build the formula</v>
      </c>
      <c r="I22" s="8" t="s">
        <v>85</v>
      </c>
    </row>
    <row r="23" spans="1:9" ht="32" customHeight="1" x14ac:dyDescent="0.2">
      <c r="A23" s="6" t="s">
        <v>86</v>
      </c>
      <c r="B23" s="7" t="s">
        <v>74</v>
      </c>
      <c r="C23" s="1" t="s">
        <v>87</v>
      </c>
      <c r="D23" s="9"/>
      <c r="E23" s="10"/>
      <c r="F23" s="11"/>
      <c r="G23" s="9"/>
      <c r="H23" s="5" t="str">
        <f>IF(COUNTA(D23,E23,F23,G23)&lt;4,"Enter givens first, then build the formula",IF(NOT(AND(D23=15000,ABS(E23-0.06)&lt;0.0001,F23=5)),"Check the slide givens in yellow cells",IF(ABS(G23-(D23/(1+E23*F23)))&lt;0.05,"Correct - self-check complete","Try again - use the hint and cell references")))</f>
        <v>Enter givens first, then build the formula</v>
      </c>
      <c r="I23" s="8" t="s">
        <v>88</v>
      </c>
    </row>
    <row r="24" spans="1:9" ht="32" customHeight="1" x14ac:dyDescent="0.2">
      <c r="A24" s="6" t="s">
        <v>89</v>
      </c>
      <c r="B24" s="7" t="s">
        <v>74</v>
      </c>
      <c r="C24" s="1" t="s">
        <v>90</v>
      </c>
      <c r="D24" s="9"/>
      <c r="E24" s="3"/>
      <c r="F24" s="3"/>
      <c r="G24" s="9"/>
      <c r="H24" s="5" t="str">
        <f>IF(G24="","Build the total formula",IF(ABS(G24-SUM(G19:G23))&lt;0.05,"Correct - self-check complete","Try again - total the PV rows"))</f>
        <v>Build the total formula</v>
      </c>
      <c r="I24" s="8" t="s">
        <v>91</v>
      </c>
    </row>
    <row r="26" spans="1:9" ht="48" x14ac:dyDescent="0.2">
      <c r="A26" s="12" t="s">
        <v>92</v>
      </c>
      <c r="B26" s="8" t="str">
        <f>COUNTIF(H6:H24,"Correct*")&amp;" of 15 complete"</f>
        <v>0 of 15 complete</v>
      </c>
    </row>
    <row r="27" spans="1:9" ht="105" x14ac:dyDescent="0.2">
      <c r="A27" s="12" t="s">
        <v>93</v>
      </c>
      <c r="B27" s="8" t="s">
        <v>94</v>
      </c>
    </row>
  </sheetData>
  <autoFilter ref="A5:I24" xr:uid="{00000000-0009-0000-0000-000001000000}"/>
  <mergeCells count="5">
    <mergeCell ref="A2:I2"/>
    <mergeCell ref="A1:I1"/>
    <mergeCell ref="A9:I9"/>
    <mergeCell ref="A18:I18"/>
    <mergeCell ref="A12:I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3"/>
  <sheetViews>
    <sheetView showGridLines="0" workbookViewId="0">
      <pane ySplit="5" topLeftCell="A6" activePane="bottomLeft" state="frozen"/>
      <selection pane="bottomLeft"/>
    </sheetView>
  </sheetViews>
  <sheetFormatPr baseColWidth="10" defaultColWidth="8.83203125" defaultRowHeight="15" x14ac:dyDescent="0.2"/>
  <cols>
    <col min="1" max="1" width="9" customWidth="1"/>
    <col min="2" max="2" width="16" customWidth="1"/>
    <col min="3" max="3" width="42" customWidth="1"/>
    <col min="4" max="7" width="14" customWidth="1"/>
    <col min="8" max="8" width="24" customWidth="1"/>
    <col min="9" max="9" width="36" customWidth="1"/>
  </cols>
  <sheetData>
    <row r="1" spans="1:9" ht="28" customHeight="1" x14ac:dyDescent="0.2">
      <c r="A1" s="22" t="s">
        <v>95</v>
      </c>
      <c r="B1" s="18"/>
      <c r="C1" s="18"/>
      <c r="D1" s="18"/>
      <c r="E1" s="18"/>
      <c r="F1" s="18"/>
      <c r="G1" s="18"/>
      <c r="H1" s="18"/>
      <c r="I1" s="18"/>
    </row>
    <row r="2" spans="1:9" ht="24" customHeight="1" x14ac:dyDescent="0.2">
      <c r="A2" s="17" t="s">
        <v>96</v>
      </c>
      <c r="B2" s="18"/>
      <c r="C2" s="18"/>
      <c r="D2" s="18"/>
      <c r="E2" s="18"/>
      <c r="F2" s="18"/>
      <c r="G2" s="18"/>
      <c r="H2" s="18"/>
      <c r="I2" s="18"/>
    </row>
    <row r="5" spans="1:9" x14ac:dyDescent="0.2">
      <c r="A5" s="2" t="s">
        <v>97</v>
      </c>
      <c r="B5" s="2" t="s">
        <v>98</v>
      </c>
      <c r="C5" s="2" t="s">
        <v>99</v>
      </c>
      <c r="D5" s="2" t="s">
        <v>100</v>
      </c>
      <c r="E5" s="2" t="s">
        <v>101</v>
      </c>
      <c r="F5" s="2" t="s">
        <v>102</v>
      </c>
      <c r="G5" s="2" t="s">
        <v>103</v>
      </c>
      <c r="H5" s="2" t="s">
        <v>104</v>
      </c>
      <c r="I5" s="2" t="s">
        <v>105</v>
      </c>
    </row>
    <row r="6" spans="1:9" ht="34" customHeight="1" x14ac:dyDescent="0.2">
      <c r="A6" s="6" t="s">
        <v>106</v>
      </c>
      <c r="B6" s="1" t="s">
        <v>107</v>
      </c>
      <c r="C6" s="1" t="s">
        <v>108</v>
      </c>
      <c r="D6" s="13">
        <v>50000</v>
      </c>
      <c r="E6" s="14">
        <v>0.05</v>
      </c>
      <c r="F6" s="4">
        <v>124</v>
      </c>
      <c r="G6" s="4">
        <v>365</v>
      </c>
      <c r="H6" s="9"/>
      <c r="I6" s="8" t="s">
        <v>109</v>
      </c>
    </row>
    <row r="7" spans="1:9" ht="34" customHeight="1" x14ac:dyDescent="0.2">
      <c r="A7" s="6" t="s">
        <v>110</v>
      </c>
      <c r="B7" s="1" t="s">
        <v>107</v>
      </c>
      <c r="C7" s="1" t="s">
        <v>111</v>
      </c>
      <c r="D7" s="13">
        <v>50000</v>
      </c>
      <c r="E7" s="14">
        <v>0.05</v>
      </c>
      <c r="F7" s="4">
        <v>124</v>
      </c>
      <c r="G7" s="4">
        <v>360</v>
      </c>
      <c r="H7" s="9"/>
      <c r="I7" s="8" t="s">
        <v>112</v>
      </c>
    </row>
    <row r="8" spans="1:9" ht="34" customHeight="1" x14ac:dyDescent="0.2">
      <c r="A8" s="6" t="s">
        <v>113</v>
      </c>
      <c r="B8" s="1" t="s">
        <v>107</v>
      </c>
      <c r="C8" s="1" t="s">
        <v>114</v>
      </c>
      <c r="D8" s="13">
        <v>50000</v>
      </c>
      <c r="E8" s="14">
        <v>0.05</v>
      </c>
      <c r="F8" s="4">
        <v>124</v>
      </c>
      <c r="G8" s="4"/>
      <c r="H8" s="9"/>
      <c r="I8" s="8" t="s">
        <v>115</v>
      </c>
    </row>
    <row r="9" spans="1:9" ht="34" customHeight="1" x14ac:dyDescent="0.2">
      <c r="A9" s="6" t="s">
        <v>116</v>
      </c>
      <c r="B9" s="1" t="s">
        <v>117</v>
      </c>
      <c r="C9" s="1" t="s">
        <v>118</v>
      </c>
      <c r="D9" s="13">
        <v>12000</v>
      </c>
      <c r="E9" s="14">
        <v>5.5E-2</v>
      </c>
      <c r="F9" s="15">
        <v>0.75</v>
      </c>
      <c r="G9" s="4"/>
      <c r="H9" s="9"/>
      <c r="I9" s="8" t="s">
        <v>119</v>
      </c>
    </row>
    <row r="10" spans="1:9" ht="34" customHeight="1" x14ac:dyDescent="0.2">
      <c r="A10" s="6" t="s">
        <v>120</v>
      </c>
      <c r="B10" s="1" t="s">
        <v>117</v>
      </c>
      <c r="C10" s="1" t="s">
        <v>121</v>
      </c>
      <c r="D10" s="13">
        <v>30000</v>
      </c>
      <c r="E10" s="14">
        <v>7.1999999999999995E-2</v>
      </c>
      <c r="F10" s="15">
        <v>0.5</v>
      </c>
      <c r="G10" s="4"/>
      <c r="H10" s="9"/>
      <c r="I10" s="8" t="s">
        <v>122</v>
      </c>
    </row>
    <row r="11" spans="1:9" ht="34" customHeight="1" x14ac:dyDescent="0.2">
      <c r="A11" s="6" t="s">
        <v>123</v>
      </c>
      <c r="B11" s="1" t="s">
        <v>124</v>
      </c>
      <c r="C11" s="1" t="s">
        <v>125</v>
      </c>
      <c r="D11" s="4">
        <v>19.48</v>
      </c>
      <c r="E11" s="14">
        <v>9.5000000000000001E-2</v>
      </c>
      <c r="F11" s="4">
        <v>90</v>
      </c>
      <c r="G11" s="4">
        <v>360</v>
      </c>
      <c r="H11" s="9"/>
      <c r="I11" s="8" t="s">
        <v>126</v>
      </c>
    </row>
    <row r="12" spans="1:9" ht="34" customHeight="1" x14ac:dyDescent="0.2">
      <c r="A12" s="6" t="s">
        <v>127</v>
      </c>
      <c r="B12" s="1" t="s">
        <v>128</v>
      </c>
      <c r="C12" s="1" t="s">
        <v>129</v>
      </c>
      <c r="D12" s="13">
        <v>25000</v>
      </c>
      <c r="E12" s="14">
        <v>7.0000000000000007E-2</v>
      </c>
      <c r="F12" s="4">
        <v>18</v>
      </c>
      <c r="G12" s="4">
        <v>12</v>
      </c>
      <c r="H12" s="9"/>
      <c r="I12" s="8" t="s">
        <v>130</v>
      </c>
    </row>
    <row r="13" spans="1:9" ht="34" customHeight="1" x14ac:dyDescent="0.2">
      <c r="A13" s="6" t="s">
        <v>131</v>
      </c>
      <c r="B13" s="1" t="s">
        <v>132</v>
      </c>
      <c r="C13" s="1" t="s">
        <v>133</v>
      </c>
      <c r="D13" s="13">
        <v>25000</v>
      </c>
      <c r="E13" s="14">
        <v>7.0000000000000007E-2</v>
      </c>
      <c r="F13" s="15">
        <v>1.5</v>
      </c>
      <c r="G13" s="4">
        <v>0</v>
      </c>
      <c r="H13" s="9"/>
      <c r="I13" s="8" t="s">
        <v>134</v>
      </c>
    </row>
    <row r="14" spans="1:9" ht="34" customHeight="1" x14ac:dyDescent="0.2">
      <c r="A14" s="6" t="s">
        <v>135</v>
      </c>
      <c r="B14" s="1" t="s">
        <v>136</v>
      </c>
      <c r="C14" s="1" t="s">
        <v>137</v>
      </c>
      <c r="D14" s="4"/>
      <c r="E14" s="14">
        <v>7.0000000000000007E-2</v>
      </c>
      <c r="F14" s="15">
        <v>1.5</v>
      </c>
      <c r="G14" s="4">
        <v>0</v>
      </c>
      <c r="H14" s="9"/>
      <c r="I14" s="8" t="s">
        <v>138</v>
      </c>
    </row>
    <row r="15" spans="1:9" ht="34" customHeight="1" x14ac:dyDescent="0.2">
      <c r="A15" s="6" t="s">
        <v>139</v>
      </c>
      <c r="B15" s="1" t="s">
        <v>140</v>
      </c>
      <c r="C15" s="1" t="s">
        <v>141</v>
      </c>
      <c r="D15" s="13">
        <v>18000</v>
      </c>
      <c r="E15" s="14">
        <v>0.06</v>
      </c>
      <c r="F15" s="15">
        <v>1</v>
      </c>
      <c r="G15" s="4"/>
      <c r="H15" s="9"/>
      <c r="I15" s="8" t="s">
        <v>142</v>
      </c>
    </row>
    <row r="16" spans="1:9" ht="34" customHeight="1" x14ac:dyDescent="0.2">
      <c r="A16" s="6" t="s">
        <v>143</v>
      </c>
      <c r="B16" s="1" t="s">
        <v>140</v>
      </c>
      <c r="C16" s="1" t="s">
        <v>144</v>
      </c>
      <c r="D16" s="13">
        <v>22000</v>
      </c>
      <c r="E16" s="14">
        <v>0.06</v>
      </c>
      <c r="F16" s="15">
        <v>2</v>
      </c>
      <c r="G16" s="4"/>
      <c r="H16" s="9"/>
      <c r="I16" s="8" t="s">
        <v>145</v>
      </c>
    </row>
    <row r="17" spans="1:9" ht="34" customHeight="1" x14ac:dyDescent="0.2">
      <c r="A17" s="6" t="s">
        <v>146</v>
      </c>
      <c r="B17" s="1" t="s">
        <v>140</v>
      </c>
      <c r="C17" s="1" t="s">
        <v>147</v>
      </c>
      <c r="D17" s="13">
        <v>25000</v>
      </c>
      <c r="E17" s="14">
        <v>0.06</v>
      </c>
      <c r="F17" s="15">
        <v>3</v>
      </c>
      <c r="G17" s="4"/>
      <c r="H17" s="9"/>
      <c r="I17" s="8" t="s">
        <v>148</v>
      </c>
    </row>
    <row r="18" spans="1:9" ht="34" customHeight="1" x14ac:dyDescent="0.2">
      <c r="A18" s="6" t="s">
        <v>149</v>
      </c>
      <c r="B18" s="1" t="s">
        <v>140</v>
      </c>
      <c r="C18" s="1" t="s">
        <v>150</v>
      </c>
      <c r="D18" s="13">
        <v>20000</v>
      </c>
      <c r="E18" s="14">
        <v>0.06</v>
      </c>
      <c r="F18" s="15">
        <v>4</v>
      </c>
      <c r="G18" s="4"/>
      <c r="H18" s="9"/>
      <c r="I18" s="8" t="s">
        <v>151</v>
      </c>
    </row>
    <row r="19" spans="1:9" ht="34" customHeight="1" x14ac:dyDescent="0.2">
      <c r="A19" s="6" t="s">
        <v>152</v>
      </c>
      <c r="B19" s="1" t="s">
        <v>140</v>
      </c>
      <c r="C19" s="1" t="s">
        <v>153</v>
      </c>
      <c r="D19" s="13">
        <v>15000</v>
      </c>
      <c r="E19" s="14">
        <v>0.06</v>
      </c>
      <c r="F19" s="15">
        <v>5</v>
      </c>
      <c r="G19" s="4"/>
      <c r="H19" s="9"/>
      <c r="I19" s="8" t="s">
        <v>154</v>
      </c>
    </row>
    <row r="20" spans="1:9" ht="34" customHeight="1" x14ac:dyDescent="0.2">
      <c r="A20" s="6" t="s">
        <v>155</v>
      </c>
      <c r="B20" s="1" t="s">
        <v>156</v>
      </c>
      <c r="C20" s="1" t="s">
        <v>157</v>
      </c>
      <c r="D20" s="4"/>
      <c r="E20" s="4"/>
      <c r="F20" s="4"/>
      <c r="G20" s="4"/>
      <c r="H20" s="9"/>
      <c r="I20" s="8" t="s">
        <v>158</v>
      </c>
    </row>
    <row r="21" spans="1:9" ht="34" customHeight="1" x14ac:dyDescent="0.2">
      <c r="A21" s="6" t="s">
        <v>159</v>
      </c>
      <c r="B21" s="1" t="s">
        <v>160</v>
      </c>
      <c r="C21" s="1" t="s">
        <v>161</v>
      </c>
      <c r="D21" s="13">
        <v>75000</v>
      </c>
      <c r="E21" s="4"/>
      <c r="F21" s="4"/>
      <c r="G21" s="4"/>
      <c r="H21" s="9"/>
      <c r="I21" s="8" t="s">
        <v>162</v>
      </c>
    </row>
    <row r="23" spans="1:9" ht="48" x14ac:dyDescent="0.2">
      <c r="A23" s="12" t="s">
        <v>163</v>
      </c>
      <c r="B23" s="24" t="s">
        <v>164</v>
      </c>
      <c r="C23" s="20"/>
      <c r="D23" s="20"/>
      <c r="E23" s="20"/>
      <c r="F23" s="20"/>
      <c r="G23" s="20"/>
      <c r="H23" s="20"/>
      <c r="I23" s="21"/>
    </row>
  </sheetData>
  <autoFilter ref="A5:I21" xr:uid="{00000000-0009-0000-0000-000002000000}"/>
  <mergeCells count="3">
    <mergeCell ref="A1:I1"/>
    <mergeCell ref="A2:I2"/>
    <mergeCell ref="B23:I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6"/>
  <sheetViews>
    <sheetView showGridLines="0" workbookViewId="0">
      <pane ySplit="5" topLeftCell="A6" activePane="bottomLeft" state="frozen"/>
      <selection pane="bottomLeft"/>
    </sheetView>
  </sheetViews>
  <sheetFormatPr baseColWidth="10" defaultColWidth="8.83203125" defaultRowHeight="15" x14ac:dyDescent="0.2"/>
  <cols>
    <col min="1" max="1" width="26" customWidth="1"/>
    <col min="2" max="2" width="32" customWidth="1"/>
    <col min="3" max="3" width="48" customWidth="1"/>
    <col min="4" max="4" width="46" customWidth="1"/>
    <col min="5" max="5" width="18" customWidth="1"/>
  </cols>
  <sheetData>
    <row r="1" spans="1:5" ht="28" customHeight="1" x14ac:dyDescent="0.2">
      <c r="A1" s="22" t="s">
        <v>165</v>
      </c>
      <c r="B1" s="18"/>
      <c r="C1" s="18"/>
      <c r="D1" s="18"/>
      <c r="E1" s="18"/>
    </row>
    <row r="2" spans="1:5" ht="24" customHeight="1" x14ac:dyDescent="0.2">
      <c r="A2" s="17" t="s">
        <v>166</v>
      </c>
      <c r="B2" s="18"/>
      <c r="C2" s="18"/>
      <c r="D2" s="18"/>
      <c r="E2" s="18"/>
    </row>
    <row r="5" spans="1:5" x14ac:dyDescent="0.2">
      <c r="A5" s="2" t="s">
        <v>167</v>
      </c>
      <c r="B5" s="2" t="s">
        <v>168</v>
      </c>
      <c r="C5" s="2" t="s">
        <v>169</v>
      </c>
      <c r="D5" s="2" t="s">
        <v>170</v>
      </c>
    </row>
    <row r="6" spans="1:5" ht="31" customHeight="1" x14ac:dyDescent="0.2">
      <c r="A6" s="1" t="s">
        <v>171</v>
      </c>
      <c r="B6" s="16" t="e">
        <f>Months/12</f>
        <v>#NAME?</v>
      </c>
      <c r="C6" s="1" t="s">
        <v>172</v>
      </c>
      <c r="D6" s="1" t="s">
        <v>173</v>
      </c>
    </row>
    <row r="7" spans="1:5" ht="31" customHeight="1" x14ac:dyDescent="0.2">
      <c r="A7" s="1" t="s">
        <v>174</v>
      </c>
      <c r="B7" s="16" t="e">
        <f>Days/365</f>
        <v>#NAME?</v>
      </c>
      <c r="C7" s="1" t="s">
        <v>175</v>
      </c>
      <c r="D7" s="1" t="s">
        <v>176</v>
      </c>
    </row>
    <row r="8" spans="1:5" ht="31" customHeight="1" x14ac:dyDescent="0.2">
      <c r="A8" s="1" t="s">
        <v>177</v>
      </c>
      <c r="B8" s="16" t="e">
        <f>Days/360</f>
        <v>#NAME?</v>
      </c>
      <c r="C8" s="1" t="s">
        <v>178</v>
      </c>
      <c r="D8" s="1" t="s">
        <v>179</v>
      </c>
    </row>
    <row r="9" spans="1:5" ht="31" customHeight="1" x14ac:dyDescent="0.2">
      <c r="A9" s="1" t="s">
        <v>180</v>
      </c>
      <c r="B9" s="16" t="e">
        <f>Principal*rate*Time</f>
        <v>#NAME?</v>
      </c>
      <c r="C9" s="1" t="s">
        <v>181</v>
      </c>
      <c r="D9" s="1" t="s">
        <v>182</v>
      </c>
    </row>
    <row r="10" spans="1:5" ht="31" customHeight="1" x14ac:dyDescent="0.2">
      <c r="A10" s="1" t="s">
        <v>183</v>
      </c>
      <c r="B10" s="16" t="e">
        <f>Principal*(1+rate*Time)</f>
        <v>#NAME?</v>
      </c>
      <c r="C10" s="1" t="s">
        <v>184</v>
      </c>
      <c r="D10" s="1" t="s">
        <v>185</v>
      </c>
    </row>
    <row r="11" spans="1:5" ht="31" customHeight="1" x14ac:dyDescent="0.2">
      <c r="A11" s="1" t="s">
        <v>186</v>
      </c>
      <c r="B11" s="16" t="e">
        <f>Interest/(rate*Time)</f>
        <v>#NAME?</v>
      </c>
      <c r="C11" s="1" t="s">
        <v>187</v>
      </c>
      <c r="D11" s="1" t="s">
        <v>188</v>
      </c>
    </row>
    <row r="12" spans="1:5" ht="31" customHeight="1" x14ac:dyDescent="0.2">
      <c r="A12" s="1" t="s">
        <v>189</v>
      </c>
      <c r="B12" s="16" t="e">
        <f>1+rate*Time</f>
        <v>#NAME?</v>
      </c>
      <c r="C12" s="1" t="s">
        <v>190</v>
      </c>
      <c r="D12" s="1" t="s">
        <v>191</v>
      </c>
    </row>
    <row r="13" spans="1:5" ht="31" customHeight="1" x14ac:dyDescent="0.2">
      <c r="A13" s="1" t="s">
        <v>192</v>
      </c>
      <c r="B13" s="16" t="e">
        <f>fv/(1+rate*Time)</f>
        <v>#NAME?</v>
      </c>
      <c r="C13" s="1" t="s">
        <v>193</v>
      </c>
      <c r="D13" s="1" t="s">
        <v>194</v>
      </c>
    </row>
    <row r="14" spans="1:5" ht="31" customHeight="1" x14ac:dyDescent="0.2">
      <c r="A14" s="1" t="s">
        <v>195</v>
      </c>
      <c r="B14" s="16" t="e">
        <f>PV(rate,nper,0,fv)</f>
        <v>#NAME?</v>
      </c>
      <c r="C14" s="1" t="s">
        <v>196</v>
      </c>
      <c r="D14" s="1" t="s">
        <v>197</v>
      </c>
    </row>
    <row r="15" spans="1:5" ht="31" customHeight="1" x14ac:dyDescent="0.2">
      <c r="A15" s="1" t="s">
        <v>198</v>
      </c>
      <c r="B15" s="16" t="e">
        <f>FV(rate,nper,0,pv)</f>
        <v>#NAME?</v>
      </c>
      <c r="C15" s="1" t="s">
        <v>199</v>
      </c>
      <c r="D15" s="1" t="s">
        <v>200</v>
      </c>
    </row>
    <row r="16" spans="1:5" ht="31" customHeight="1" x14ac:dyDescent="0.2">
      <c r="A16" s="1" t="s">
        <v>156</v>
      </c>
      <c r="B16" s="16" t="e">
        <f>SUM(PVRange)</f>
        <v>#NAME?</v>
      </c>
      <c r="C16" s="1" t="s">
        <v>201</v>
      </c>
      <c r="D16" s="1" t="s">
        <v>202</v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START HERE</vt:lpstr>
      <vt:lpstr>Live You Try It</vt:lpstr>
      <vt:lpstr>Class Challenge</vt:lpstr>
      <vt:lpstr>FormulaReferenceCard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Bethany Evitts</cp:lastModifiedBy>
  <dcterms:created xsi:type="dcterms:W3CDTF">2026-06-24T13:55:16Z</dcterms:created>
  <dcterms:modified xsi:type="dcterms:W3CDTF">2026-06-24T14:17:24Z</dcterms:modified>
</cp:coreProperties>
</file>