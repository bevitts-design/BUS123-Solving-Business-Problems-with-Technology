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ales Tax" sheetId="2" state="visible" r:id="rId4"/>
    <sheet name="Excise Tax" sheetId="3" state="visible" r:id="rId5"/>
    <sheet name="Property Tax" sheetId="4" state="visible" r:id="rId6"/>
    <sheet name="Formula Ref Car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<sst xmlns="http://schemas.openxmlformats.org/spreadsheetml/2006/main" count="124" uniqueCount="122">
  <si>
    <t xml:space="preserve">BUS123 · MATH-M07-L01 · Sales, Excise &amp; Property Taxes</t>
  </si>
  <si>
    <t xml:space="preserve">About This Workbook</t>
  </si>
  <si>
    <t xml:space="preserve">Course</t>
  </si>
  <si>
    <t xml:space="preserve">BUS123 — Solving Business Problems with Technology</t>
  </si>
  <si>
    <t xml:space="preserve">Module</t>
  </si>
  <si>
    <t xml:space="preserve">MATH-M07 · Lesson 01</t>
  </si>
  <si>
    <t xml:space="preserve">Topic</t>
  </si>
  <si>
    <t xml:space="preserve">Sales Tax, Excise Tax, and Property Tax</t>
  </si>
  <si>
    <t xml:space="preserve">Company</t>
  </si>
  <si>
    <t xml:space="preserve">Tidal Goods Co. · Meridian Advisory Group</t>
  </si>
  <si>
    <t xml:space="preserve">Est. Time</t>
  </si>
  <si>
    <t xml:space="preserve">30–35 minutes in class</t>
  </si>
  <si>
    <t xml:space="preserve">Learning Objectives</t>
  </si>
  <si>
    <t xml:space="preserve">  ☐  I can compute sales tax with a trade discount and shipping in the correct order.</t>
  </si>
  <si>
    <t xml:space="preserve">  ☐  I can calculate total cost when both excise tax and sales tax apply to one item.</t>
  </si>
  <si>
    <t xml:space="preserve">  ☐  I can perform the full 3-step property tax calculation (assessed value → tax rate → annual tax due).</t>
  </si>
  <si>
    <t xml:space="preserve">  ☐  I can back-calculate actual pre-tax sales from a total-receipts figure.</t>
  </si>
  <si>
    <t xml:space="preserve">Color Key</t>
  </si>
  <si>
    <t xml:space="preserve">Yellow cell</t>
  </si>
  <si>
    <t xml:space="preserve">Your input — enter a value here</t>
  </si>
  <si>
    <t xml:space="preserve">White formula cell</t>
  </si>
  <si>
    <t xml:space="preserve">Auto-calculated — do not type here</t>
  </si>
  <si>
    <t xml:space="preserve">Green result cell</t>
  </si>
  <si>
    <t xml:space="preserve">Final answer — check your work</t>
  </si>
  <si>
    <t xml:space="preserve">Navigation</t>
  </si>
  <si>
    <t xml:space="preserve">→  Sales Tax</t>
  </si>
  <si>
    <t xml:space="preserve">Tidal Goods Co. order with trade discount + shipping</t>
  </si>
  <si>
    <t xml:space="preserve">→  Excise Tax</t>
  </si>
  <si>
    <t xml:space="preserve">Meridian Advisory Group appliance purchase — both taxes</t>
  </si>
  <si>
    <t xml:space="preserve">→  Property Tax</t>
  </si>
  <si>
    <t xml:space="preserve">Meridian Advisory Group office — full 3-step calculation</t>
  </si>
  <si>
    <t xml:space="preserve">→  Formula Ref</t>
  </si>
  <si>
    <t xml:space="preserve">Quick reference for all formulas used in this module</t>
  </si>
  <si>
    <t xml:space="preserve">Sales Tax — Tidal Goods Co.</t>
  </si>
  <si>
    <t xml:space="preserve">Tidal Goods Co. is processing a wholesale order. Enter the given values in the yellow cells, then use formulas to complete the calculation chain.</t>
  </si>
  <si>
    <t xml:space="preserve">PART A — Sales Tax with Trade Discount &amp; Shipping</t>
  </si>
  <si>
    <t xml:space="preserve">GIVEN VALUES — enter in yellow cells</t>
  </si>
  <si>
    <t xml:space="preserve">Retail Price ($)</t>
  </si>
  <si>
    <t xml:space="preserve">Trade Discount ($)</t>
  </si>
  <si>
    <t xml:space="preserve">Sales Tax Rate (enter as decimal, e.g. 0.06)</t>
  </si>
  <si>
    <t xml:space="preserve">Shipping Charge ($)</t>
  </si>
  <si>
    <t xml:space="preserve">CALCULATIONS — formulas only, no typing</t>
  </si>
  <si>
    <t xml:space="preserve">Step 1 — Taxable Subtotal ($)</t>
  </si>
  <si>
    <t xml:space="preserve">Step 2 — Tax Owed ($)</t>
  </si>
  <si>
    <t xml:space="preserve">Step 3 — Total Price w/Shipping ($)</t>
  </si>
  <si>
    <t xml:space="preserve">PART B — Back-Calculate Actual Sales from Register Receipts</t>
  </si>
  <si>
    <t xml:space="preserve">Tidal Goods Co.'s register shows total receipts including tax. Find the actual pre-tax sales.</t>
  </si>
  <si>
    <t xml:space="preserve">Total Register Receipts (including tax) ($)</t>
  </si>
  <si>
    <t xml:space="preserve">Tax Rate (enter as decimal)</t>
  </si>
  <si>
    <t xml:space="preserve">FORMULA</t>
  </si>
  <si>
    <t xml:space="preserve">Actual Pre-Tax Sales ($)</t>
  </si>
  <si>
    <t xml:space="preserve">💡 Reflection: What happens to the tax owed (Step 2) if you apply the trade discount AFTER calculating tax instead of before? Why does order matter?</t>
  </si>
  <si>
    <t xml:space="preserve">Excise Tax — Meridian Advisory Group</t>
  </si>
  <si>
    <t xml:space="preserve">Meridian Advisory Group is purchasing a commercial appliance for their client hospitality suite. Both sales tax and excise tax apply. Enter given values in yellow cells.</t>
  </si>
  <si>
    <t xml:space="preserve">PART A — Total Cost with Sales Tax + Excise Tax</t>
  </si>
  <si>
    <t xml:space="preserve">Base Cost of Appliance ($)</t>
  </si>
  <si>
    <t xml:space="preserve">Sales Tax Rate (enter as decimal)</t>
  </si>
  <si>
    <t xml:space="preserve">Excise Tax Rate (enter as decimal)</t>
  </si>
  <si>
    <t xml:space="preserve">APPROACH 1 — Calculate each tax separately</t>
  </si>
  <si>
    <t xml:space="preserve">Sales Tax Amount ($)</t>
  </si>
  <si>
    <t xml:space="preserve">Excise Tax Amount ($)</t>
  </si>
  <si>
    <t xml:space="preserve">Total Cost — Approach 1 ($)</t>
  </si>
  <si>
    <t xml:space="preserve">APPROACH 2 — Combined rate shortcut</t>
  </si>
  <si>
    <t xml:space="preserve">Combined Tax Rate</t>
  </si>
  <si>
    <t xml:space="preserve">Total Cost — Approach 2 ($)</t>
  </si>
  <si>
    <t xml:space="preserve">✓ Approaches 1 and 2 should be equal:</t>
  </si>
  <si>
    <t xml:space="preserve">Do both approaches give the same total?</t>
  </si>
  <si>
    <t xml:space="preserve">PART B — Excise Tax Concept Check</t>
  </si>
  <si>
    <t xml:space="preserve">⚠  Common Error: Do NOT apply the second tax to the already-taxed total. Both rates are always calculated from the original base cost. Approach 2 works because adding the rates first is mathematically equivalent.</t>
  </si>
  <si>
    <t xml:space="preserve">What-if: Change the base cost to $10,000. Do both totals update automatically?</t>
  </si>
  <si>
    <t xml:space="preserve">Property Tax — Meridian Advisory Group</t>
  </si>
  <si>
    <t xml:space="preserve">Meridian Advisory Group is evaluating office space. Complete the three-step property tax calculation. Tax rate must be rounded to 4 decimal places.</t>
  </si>
  <si>
    <t xml:space="preserve">Market Value of Office Property ($)</t>
  </si>
  <si>
    <t xml:space="preserve">Assessment Rate (enter as decimal, e.g. 0.40)</t>
  </si>
  <si>
    <t xml:space="preserve">Town's Annual Budget Need ($)</t>
  </si>
  <si>
    <t xml:space="preserve">Total Assessed Value of All Property in Town ($)</t>
  </si>
  <si>
    <t xml:space="preserve">STEP 1 — Assessed Value</t>
  </si>
  <si>
    <t xml:space="preserve">Assessed Value = Assessment Rate × Market Value ($)</t>
  </si>
  <si>
    <t xml:space="preserve">STEP 2 — Tax Rate  (round to nearest ten-thousandth)</t>
  </si>
  <si>
    <t xml:space="preserve">Raw Tax Rate (before rounding)</t>
  </si>
  <si>
    <t xml:space="preserve">Tax Rate Rounded to 4 Decimal Places (ten-thousandths)</t>
  </si>
  <si>
    <t xml:space="preserve">STEP 3 — Annual Tax Due</t>
  </si>
  <si>
    <t xml:space="preserve">Annual Property Tax Due ($) = Rounded Tax Rate × Assessed Value</t>
  </si>
  <si>
    <t xml:space="preserve">SUMMARY</t>
  </si>
  <si>
    <t xml:space="preserve">Market Value</t>
  </si>
  <si>
    <t xml:space="preserve">Assessment Rate</t>
  </si>
  <si>
    <t xml:space="preserve">Assessed Value</t>
  </si>
  <si>
    <t xml:space="preserve">Tax Rate (4 decimals)</t>
  </si>
  <si>
    <t xml:space="preserve">Annual Tax Due</t>
  </si>
  <si>
    <t xml:space="preserve">💡 NNN Lease Alert: If Meridian signs a Triple Net lease instead of owning, this annual tax amount becomes part of their variable rent obligation. A 10% rise in the town's budget need would raise their tax proportionally.</t>
  </si>
  <si>
    <t xml:space="preserve">Formula Reference Card — MATH-M07-L01</t>
  </si>
  <si>
    <t xml:space="preserve">Formula / Rule</t>
  </si>
  <si>
    <t xml:space="preserve">Algebraic Form</t>
  </si>
  <si>
    <t xml:space="preserve">Excel Syntax</t>
  </si>
  <si>
    <t xml:space="preserve">Sales Tax — Taxable Subtotal</t>
  </si>
  <si>
    <t xml:space="preserve">Price − Trade Discount</t>
  </si>
  <si>
    <t xml:space="preserve">'=Price_Cell - Discount_Cell</t>
  </si>
  <si>
    <t xml:space="preserve">Sales Tax — Tax Owed</t>
  </si>
  <si>
    <t xml:space="preserve">Taxable Subtotal × Tax Rate</t>
  </si>
  <si>
    <t xml:space="preserve">'=Taxable_Cell * Rate_Cell</t>
  </si>
  <si>
    <t xml:space="preserve">Sales Tax — Total Price</t>
  </si>
  <si>
    <t xml:space="preserve">Taxable + Tax + Shipping</t>
  </si>
  <si>
    <t xml:space="preserve">'=Taxable + Tax + Shipping</t>
  </si>
  <si>
    <t xml:space="preserve">Back-Calculate Actual Sales</t>
  </si>
  <si>
    <t xml:space="preserve">Total Receipts ÷ (1 + Tax Rate)</t>
  </si>
  <si>
    <t xml:space="preserve">'=TotalReceipts / (1+Rate)</t>
  </si>
  <si>
    <t xml:space="preserve">Excise Tax — Each tax separately</t>
  </si>
  <si>
    <t xml:space="preserve">Base × Sales Rate ; Base × Excise Rate</t>
  </si>
  <si>
    <t xml:space="preserve">'=Base*SalesRate  |  =Base*ExciseRate</t>
  </si>
  <si>
    <t xml:space="preserve">Excise Tax — Combined shortcut</t>
  </si>
  <si>
    <t xml:space="preserve">Base × (1 + Sales Rate + Excise Rate)</t>
  </si>
  <si>
    <t xml:space="preserve">'=Base*(1+SalesRate+ExciseRate)</t>
  </si>
  <si>
    <t xml:space="preserve">Property — Assessed Value</t>
  </si>
  <si>
    <t xml:space="preserve">Assessment Rate × Market Value</t>
  </si>
  <si>
    <t xml:space="preserve">'=AssessRate * MarketValue</t>
  </si>
  <si>
    <t xml:space="preserve">Property — Tax Rate</t>
  </si>
  <si>
    <t xml:space="preserve">Town Budget ÷ Total Assessed Value</t>
  </si>
  <si>
    <t xml:space="preserve">'=ROUND(Budget/TotalAV, 4)</t>
  </si>
  <si>
    <t xml:space="preserve">Property — Annual Tax Due</t>
  </si>
  <si>
    <t xml:space="preserve">Rounded Tax Rate × Assessed Value</t>
  </si>
  <si>
    <t xml:space="preserve">'=TaxRate * AssessedValue</t>
  </si>
  <si>
    <t xml:space="preserve">KEY RULE: Tax rate for property tax must ALWAYS be rounded to 4 decimal places (ten-thousandths) using =ROUND(formula, 4)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</si>
</sst>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%"/>
    <numFmt numFmtId="167" formatCode="0.0000%"/>
    <numFmt numFmtId="168" formatCode="0.00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ptos"/>
      <family val="0"/>
      <charset val="1"/>
    </font>
    <font>
      <b val="true"/>
      <sz val="12"/>
      <color rgb="FFFFFFFF"/>
      <name val="Aptos"/>
      <family val="0"/>
      <charset val="1"/>
    </font>
    <font>
      <b val="true"/>
      <sz val="11"/>
      <color rgb="FF1A1F2C"/>
      <name val="Aptos"/>
      <family val="0"/>
      <charset val="1"/>
    </font>
    <font>
      <sz val="11"/>
      <color rgb="FF1A1F2C"/>
      <name val="Aptos"/>
      <family val="0"/>
      <charset val="1"/>
    </font>
    <font>
      <b val="true"/>
      <sz val="11"/>
      <color rgb="FF1A6B3C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b val="true"/>
      <sz val="16"/>
      <color rgb="FFFFFFFF"/>
      <name val="Aptos"/>
      <family val="0"/>
      <charset val="1"/>
    </font>
    <font>
      <b val="true"/>
      <i val="true"/>
      <sz val="10"/>
      <color rgb="FFB8843D"/>
      <name val="Aptos"/>
      <family val="0"/>
      <charset val="1"/>
    </font>
    <font>
      <b val="true"/>
      <sz val="11"/>
      <color rgb="FF0A3D6B"/>
      <name val="Aptos"/>
      <family val="0"/>
      <charset val="1"/>
    </font>
    <font>
      <b val="true"/>
      <i val="true"/>
      <sz val="10"/>
      <color rgb="FF4A7C5E"/>
      <name val="Aptos"/>
      <family val="0"/>
      <charset val="1"/>
    </font>
    <font>
      <sz val="11"/>
      <color rgb="FF1A6B3C"/>
      <name val="Aptos"/>
      <family val="0"/>
      <charset val="1"/>
    </font>
    <font>
      <i val="true"/>
      <sz val="10"/>
      <color rgb="FF4A5567"/>
      <name val="Aptos"/>
      <family val="0"/>
      <charset val="1"/>
    </font>
    <font>
      <i val="true"/>
      <sz val="10"/>
      <color rgb="FF9C4A2B"/>
      <name val="Aptos"/>
      <family val="0"/>
      <charset val="1"/>
    </font>
    <font>
      <sz val="10"/>
      <color rgb="FF1A6B3C"/>
      <name val="Courier New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0E1116"/>
        <bgColor rgb="FF1A1F2C"/>
      </patternFill>
    </fill>
    <fill>
      <patternFill patternType="solid">
        <fgColor rgb="FFB8843D"/>
        <bgColor rgb="FF969696"/>
      </patternFill>
    </fill>
    <fill>
      <patternFill patternType="solid">
        <fgColor rgb="FF4A7C5E"/>
        <bgColor rgb="FF4A5567"/>
      </patternFill>
    </fill>
    <fill>
      <patternFill patternType="solid">
        <fgColor rgb="FFF2EEE5"/>
        <bgColor rgb="FFFAE8E0"/>
      </patternFill>
    </fill>
    <fill>
      <patternFill patternType="solid">
        <fgColor rgb="FFFFD966"/>
        <bgColor rgb="FFFFCC00"/>
      </patternFill>
    </fill>
    <fill>
      <patternFill patternType="solid">
        <fgColor rgb="FFFFFFFF"/>
        <bgColor rgb="FFEBF5F0"/>
      </patternFill>
    </fill>
    <fill>
      <patternFill patternType="solid">
        <fgColor rgb="FFE2EFDA"/>
        <bgColor rgb="FFF2EEE5"/>
      </patternFill>
    </fill>
    <fill>
      <patternFill patternType="solid">
        <fgColor rgb="FFEBF5F0"/>
        <bgColor rgb="FFF2EEE5"/>
      </patternFill>
    </fill>
    <fill>
      <patternFill patternType="solid">
        <fgColor rgb="FFFAE8E0"/>
        <bgColor rgb="FFF2EEE5"/>
      </patternFill>
    </fill>
    <fill>
      <patternFill patternType="solid">
        <fgColor rgb="FF9C4A2B"/>
        <bgColor rgb="FF99336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  <diagonal/>
    </border>
    <border diagonalUp="false" diagonalDown="false">
      <left style="thin">
        <color rgb="FFE5E1D6"/>
      </left>
      <right/>
      <top style="thin">
        <color rgb="FFE5E1D6"/>
      </top>
      <bottom style="thin">
        <color rgb="FFE5E1D6"/>
      </bottom>
      <diagonal/>
    </border>
    <border diagonalUp="false" diagonalDown="false">
      <left style="medium">
        <color rgb="FFB8843D"/>
      </left>
      <right style="medium">
        <color rgb="FFB8843D"/>
      </right>
      <top style="medium">
        <color rgb="FFB8843D"/>
      </top>
      <bottom style="medium">
        <color rgb="FFB8843D"/>
      </bottom>
      <diagonal/>
    </border>
    <border diagonalUp="false" diagonalDown="false">
      <left style="medium">
        <color rgb="FF9C4A2B"/>
      </left>
      <right/>
      <top style="thin">
        <color rgb="FFE5E1D6"/>
      </top>
      <bottom style="thin">
        <color rgb="FFE5E1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9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4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1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B8843D"/>
      <rgbColor rgb="FF800080"/>
      <rgbColor rgb="FF008080"/>
      <rgbColor rgb="FFC0C0C0"/>
      <rgbColor rgb="FF808080"/>
      <rgbColor rgb="FF9999FF"/>
      <rgbColor rgb="FF993366"/>
      <rgbColor rgb="FFF2EEE5"/>
      <rgbColor rgb="FFEBF5F0"/>
      <rgbColor rgb="FF660066"/>
      <rgbColor rgb="FFFF8080"/>
      <rgbColor rgb="FF0066CC"/>
      <rgbColor rgb="FFE5E1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AE8E0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4A5567"/>
      <rgbColor rgb="FF969696"/>
      <rgbColor rgb="FF0A3D6B"/>
      <rgbColor rgb="FF4A7C5E"/>
      <rgbColor rgb="FF0E1116"/>
      <rgbColor rgb="FF333300"/>
      <rgbColor rgb="FF9C4A2B"/>
      <rgbColor rgb="FF993366"/>
      <rgbColor rgb="FF333399"/>
      <rgbColor rgb="FF1A1F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52"/>
    <col collapsed="false" customWidth="true" hidden="false" outlineLevel="0" max="4" min="4" style="1" width="3"/>
  </cols>
  <sheetData>
    <row r="1" customFormat="false" ht="13.5" hidden="false" customHeight="true" outlineLevel="0" collapsed="false"/>
    <row r="2" customFormat="false" ht="51.75" hidden="false" customHeight="true" outlineLevel="0" collapsed="false">
      <c r="B2" s="2" t="s">
        <v>0</v>
      </c>
      <c r="C2" s="2"/>
    </row>
    <row r="3" customFormat="false" ht="13.5" hidden="false" customHeight="true" outlineLevel="0" collapsed="false"/>
    <row r="4" customFormat="false" ht="6" hidden="false" customHeight="true" outlineLevel="0" collapsed="false">
      <c r="B4" s="3"/>
      <c r="C4" s="3"/>
    </row>
    <row r="5" customFormat="false" ht="9.75" hidden="false" customHeight="true" outlineLevel="0" collapsed="false"/>
    <row r="6" customFormat="false" ht="27.75" hidden="false" customHeight="true" outlineLevel="0" collapsed="false">
      <c r="B6" s="4" t="s">
        <v>1</v>
      </c>
      <c r="C6" s="4"/>
    </row>
    <row r="7" customFormat="false" ht="21.75" hidden="false" customHeight="true" outlineLevel="0" collapsed="false">
      <c r="B7" s="5" t="s">
        <v>2</v>
      </c>
      <c r="C7" s="6" t="s">
        <v>3</v>
      </c>
    </row>
    <row r="8" customFormat="false" ht="21.75" hidden="false" customHeight="true" outlineLevel="0" collapsed="false">
      <c r="B8" s="5" t="s">
        <v>4</v>
      </c>
      <c r="C8" s="6" t="s">
        <v>5</v>
      </c>
    </row>
    <row r="9" customFormat="false" ht="21.75" hidden="false" customHeight="true" outlineLevel="0" collapsed="false">
      <c r="B9" s="5" t="s">
        <v>6</v>
      </c>
      <c r="C9" s="6" t="s">
        <v>7</v>
      </c>
    </row>
    <row r="10" customFormat="false" ht="21.75" hidden="false" customHeight="true" outlineLevel="0" collapsed="false">
      <c r="B10" s="5" t="s">
        <v>8</v>
      </c>
      <c r="C10" s="6" t="s">
        <v>9</v>
      </c>
    </row>
    <row r="11" customFormat="false" ht="21.75" hidden="false" customHeight="true" outlineLevel="0" collapsed="false">
      <c r="B11" s="5" t="s">
        <v>10</v>
      </c>
      <c r="C11" s="6" t="s">
        <v>11</v>
      </c>
    </row>
    <row r="12" customFormat="false" ht="9.75" hidden="false" customHeight="true" outlineLevel="0" collapsed="false"/>
    <row r="13" customFormat="false" ht="27.75" hidden="false" customHeight="true" outlineLevel="0" collapsed="false">
      <c r="B13" s="4" t="s">
        <v>12</v>
      </c>
      <c r="C13" s="4"/>
    </row>
    <row r="14" customFormat="false" ht="21.75" hidden="false" customHeight="true" outlineLevel="0" collapsed="false">
      <c r="B14" s="7" t="s">
        <v>13</v>
      </c>
      <c r="C14" s="7"/>
    </row>
    <row r="15" customFormat="false" ht="21.75" hidden="false" customHeight="true" outlineLevel="0" collapsed="false">
      <c r="B15" s="7" t="s">
        <v>14</v>
      </c>
      <c r="C15" s="7"/>
    </row>
    <row r="16" customFormat="false" ht="21.75" hidden="false" customHeight="true" outlineLevel="0" collapsed="false">
      <c r="B16" s="7" t="s">
        <v>15</v>
      </c>
      <c r="C16" s="7"/>
    </row>
    <row r="17" customFormat="false" ht="21.75" hidden="false" customHeight="true" outlineLevel="0" collapsed="false">
      <c r="B17" s="7" t="s">
        <v>16</v>
      </c>
      <c r="C17" s="7"/>
    </row>
    <row r="18" customFormat="false" ht="9.75" hidden="false" customHeight="true" outlineLevel="0" collapsed="false"/>
    <row r="19" customFormat="false" ht="27.75" hidden="false" customHeight="true" outlineLevel="0" collapsed="false">
      <c r="B19" s="4" t="s">
        <v>17</v>
      </c>
      <c r="C19" s="4"/>
    </row>
    <row r="20" customFormat="false" ht="21.75" hidden="false" customHeight="true" outlineLevel="0" collapsed="false">
      <c r="B20" s="8" t="s">
        <v>18</v>
      </c>
      <c r="C20" s="6" t="s">
        <v>19</v>
      </c>
    </row>
    <row r="21" customFormat="false" ht="21.75" hidden="false" customHeight="true" outlineLevel="0" collapsed="false">
      <c r="B21" s="9" t="s">
        <v>20</v>
      </c>
      <c r="C21" s="6" t="s">
        <v>21</v>
      </c>
    </row>
    <row r="22" customFormat="false" ht="21.75" hidden="false" customHeight="true" outlineLevel="0" collapsed="false">
      <c r="B22" s="10" t="s">
        <v>22</v>
      </c>
      <c r="C22" s="6" t="s">
        <v>23</v>
      </c>
    </row>
    <row r="23" customFormat="false" ht="9.75" hidden="false" customHeight="true" outlineLevel="0" collapsed="false"/>
    <row r="24" customFormat="false" ht="27.75" hidden="false" customHeight="true" outlineLevel="0" collapsed="false">
      <c r="B24" s="4" t="s">
        <v>24</v>
      </c>
      <c r="C24" s="4"/>
    </row>
    <row r="25" customFormat="false" ht="21.75" hidden="false" customHeight="true" outlineLevel="0" collapsed="false">
      <c r="B25" s="11" t="s">
        <v>25</v>
      </c>
      <c r="C25" s="6" t="s">
        <v>26</v>
      </c>
    </row>
    <row r="26" customFormat="false" ht="21.75" hidden="false" customHeight="true" outlineLevel="0" collapsed="false">
      <c r="B26" s="11" t="s">
        <v>27</v>
      </c>
      <c r="C26" s="6" t="s">
        <v>28</v>
      </c>
    </row>
    <row r="27" customFormat="false" ht="21.75" hidden="false" customHeight="true" outlineLevel="0" collapsed="false">
      <c r="B27" s="11" t="s">
        <v>29</v>
      </c>
      <c r="C27" s="6" t="s">
        <v>30</v>
      </c>
    </row>
    <row r="28" customFormat="false" ht="21.75" hidden="false" customHeight="true" outlineLevel="0" collapsed="false">
      <c r="B28" s="11" t="s">
        <v>31</v>
      </c>
      <c r="C28" s="6" t="s">
        <v>32</v>
      </c>
    </row>
  </sheetData>
  <mergeCells count="9">
    <mergeCell ref="B2:C2"/>
    <mergeCell ref="B6:C6"/>
    <mergeCell ref="B13:C13"/>
    <mergeCell ref="B14:C14"/>
    <mergeCell ref="B15:C15"/>
    <mergeCell ref="B16:C16"/>
    <mergeCell ref="B17:C17"/>
    <mergeCell ref="B19:C19"/>
    <mergeCell ref="B24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3"/>
  </cols>
  <sheetData>
    <row r="1" customFormat="false" ht="13.5" hidden="false" customHeight="true" outlineLevel="0" collapsed="false"/>
    <row r="2" customFormat="false" ht="43.5" hidden="false" customHeight="true" outlineLevel="0" collapsed="false">
      <c r="B2" s="12" t="s">
        <v>33</v>
      </c>
      <c r="C2" s="12"/>
    </row>
    <row r="3" customFormat="false" ht="6" hidden="false" customHeight="true" outlineLevel="0" collapsed="false">
      <c r="B3" s="3"/>
      <c r="C3" s="3"/>
    </row>
    <row r="4" customFormat="false" ht="9.75" hidden="false" customHeight="true" outlineLevel="0" collapsed="false"/>
    <row r="5" customFormat="false" ht="21.75" hidden="false" customHeight="true" outlineLevel="0" collapsed="false">
      <c r="B5" s="7" t="s">
        <v>34</v>
      </c>
      <c r="C5" s="7"/>
    </row>
    <row r="6" customFormat="false" ht="7.5" hidden="false" customHeight="true" outlineLevel="0" collapsed="false"/>
    <row r="7" customFormat="false" ht="27.75" hidden="false" customHeight="true" outlineLevel="0" collapsed="false">
      <c r="B7" s="4" t="s">
        <v>35</v>
      </c>
      <c r="C7" s="4"/>
    </row>
    <row r="8" customFormat="false" ht="21.75" hidden="false" customHeight="true" outlineLevel="0" collapsed="false">
      <c r="B8" s="13" t="s">
        <v>36</v>
      </c>
    </row>
    <row r="9" customFormat="false" ht="25.5" hidden="false" customHeight="true" outlineLevel="0" collapsed="false">
      <c r="B9" s="5" t="s">
        <v>37</v>
      </c>
      <c r="C9" s="14"/>
    </row>
    <row r="10" customFormat="false" ht="25.5" hidden="false" customHeight="true" outlineLevel="0" collapsed="false">
      <c r="B10" s="5" t="s">
        <v>38</v>
      </c>
      <c r="C10" s="14"/>
    </row>
    <row r="11" customFormat="false" ht="25.5" hidden="false" customHeight="true" outlineLevel="0" collapsed="false">
      <c r="B11" s="5" t="s">
        <v>39</v>
      </c>
      <c r="C11" s="15"/>
    </row>
    <row r="12" customFormat="false" ht="25.5" hidden="false" customHeight="true" outlineLevel="0" collapsed="false">
      <c r="B12" s="5" t="s">
        <v>40</v>
      </c>
      <c r="C12" s="14"/>
    </row>
    <row r="13" customFormat="false" ht="7.5" hidden="false" customHeight="true" outlineLevel="0" collapsed="false"/>
    <row r="14" customFormat="false" ht="21.75" hidden="false" customHeight="true" outlineLevel="0" collapsed="false">
      <c r="B14" s="16" t="s">
        <v>41</v>
      </c>
    </row>
    <row r="15" customFormat="false" ht="25.5" hidden="false" customHeight="true" outlineLevel="0" collapsed="false">
      <c r="B15" s="17" t="s">
        <v>42</v>
      </c>
      <c r="C15" s="18" t="n">
        <f aca="false">C9-C10</f>
        <v>0</v>
      </c>
    </row>
    <row r="16" customFormat="false" ht="25.5" hidden="false" customHeight="true" outlineLevel="0" collapsed="false">
      <c r="B16" s="17" t="s">
        <v>43</v>
      </c>
      <c r="C16" s="18" t="n">
        <f aca="false">C15*C11</f>
        <v>0</v>
      </c>
    </row>
    <row r="17" customFormat="false" ht="25.5" hidden="false" customHeight="true" outlineLevel="0" collapsed="false">
      <c r="B17" s="19" t="s">
        <v>44</v>
      </c>
      <c r="C17" s="20" t="n">
        <f aca="false">C15+C16+C12</f>
        <v>0</v>
      </c>
    </row>
    <row r="18" customFormat="false" ht="9.75" hidden="false" customHeight="true" outlineLevel="0" collapsed="false"/>
    <row r="19" customFormat="false" ht="27.75" hidden="false" customHeight="true" outlineLevel="0" collapsed="false">
      <c r="B19" s="4" t="s">
        <v>45</v>
      </c>
      <c r="C19" s="4"/>
    </row>
    <row r="20" customFormat="false" ht="21.75" hidden="false" customHeight="true" outlineLevel="0" collapsed="false">
      <c r="B20" s="7" t="s">
        <v>46</v>
      </c>
      <c r="C20" s="7"/>
    </row>
    <row r="21" customFormat="false" ht="25.5" hidden="false" customHeight="true" outlineLevel="0" collapsed="false">
      <c r="B21" s="5" t="s">
        <v>47</v>
      </c>
      <c r="C21" s="14"/>
    </row>
    <row r="22" customFormat="false" ht="25.5" hidden="false" customHeight="true" outlineLevel="0" collapsed="false">
      <c r="B22" s="5" t="s">
        <v>48</v>
      </c>
      <c r="C22" s="15"/>
    </row>
    <row r="23" customFormat="false" ht="7.5" hidden="false" customHeight="true" outlineLevel="0" collapsed="false"/>
    <row r="24" customFormat="false" ht="21.75" hidden="false" customHeight="true" outlineLevel="0" collapsed="false">
      <c r="B24" s="16" t="s">
        <v>49</v>
      </c>
    </row>
    <row r="25" customFormat="false" ht="25.5" hidden="false" customHeight="true" outlineLevel="0" collapsed="false">
      <c r="B25" s="19" t="s">
        <v>50</v>
      </c>
      <c r="C25" s="20" t="n">
        <f aca="false">C21/(1+C22)</f>
        <v>0</v>
      </c>
    </row>
    <row r="26" customFormat="false" ht="9.75" hidden="false" customHeight="true" outlineLevel="0" collapsed="false"/>
    <row r="27" customFormat="false" ht="31.5" hidden="false" customHeight="true" outlineLevel="0" collapsed="false">
      <c r="B27" s="21" t="s">
        <v>51</v>
      </c>
      <c r="C27" s="21"/>
    </row>
  </sheetData>
  <mergeCells count="6">
    <mergeCell ref="B2:C2"/>
    <mergeCell ref="B5:C5"/>
    <mergeCell ref="B7:C7"/>
    <mergeCell ref="B19:C19"/>
    <mergeCell ref="B20:C20"/>
    <mergeCell ref="B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3" min="3" style="1" width="20"/>
    <col collapsed="false" customWidth="true" hidden="false" outlineLevel="0" max="4" min="4" style="1" width="3"/>
  </cols>
  <sheetData>
    <row r="1" customFormat="false" ht="13.5" hidden="false" customHeight="true" outlineLevel="0" collapsed="false"/>
    <row r="2" customFormat="false" ht="43.5" hidden="false" customHeight="true" outlineLevel="0" collapsed="false">
      <c r="B2" s="12" t="s">
        <v>52</v>
      </c>
      <c r="C2" s="12"/>
    </row>
    <row r="3" customFormat="false" ht="6" hidden="false" customHeight="true" outlineLevel="0" collapsed="false">
      <c r="B3" s="3"/>
      <c r="C3" s="3"/>
    </row>
    <row r="4" customFormat="false" ht="9.75" hidden="false" customHeight="true" outlineLevel="0" collapsed="false"/>
    <row r="5" customFormat="false" ht="27.75" hidden="false" customHeight="true" outlineLevel="0" collapsed="false">
      <c r="B5" s="7" t="s">
        <v>53</v>
      </c>
      <c r="C5" s="7"/>
    </row>
    <row r="6" customFormat="false" ht="7.5" hidden="false" customHeight="true" outlineLevel="0" collapsed="false"/>
    <row r="7" customFormat="false" ht="27.75" hidden="false" customHeight="true" outlineLevel="0" collapsed="false">
      <c r="B7" s="4" t="s">
        <v>54</v>
      </c>
      <c r="C7" s="4"/>
    </row>
    <row r="8" customFormat="false" ht="21.75" hidden="false" customHeight="true" outlineLevel="0" collapsed="false">
      <c r="B8" s="13" t="s">
        <v>36</v>
      </c>
    </row>
    <row r="9" customFormat="false" ht="25.5" hidden="false" customHeight="true" outlineLevel="0" collapsed="false">
      <c r="B9" s="5" t="s">
        <v>55</v>
      </c>
      <c r="C9" s="14"/>
    </row>
    <row r="10" customFormat="false" ht="25.5" hidden="false" customHeight="true" outlineLevel="0" collapsed="false">
      <c r="B10" s="5" t="s">
        <v>56</v>
      </c>
      <c r="C10" s="15"/>
    </row>
    <row r="11" customFormat="false" ht="25.5" hidden="false" customHeight="true" outlineLevel="0" collapsed="false">
      <c r="B11" s="5" t="s">
        <v>57</v>
      </c>
      <c r="C11" s="15"/>
    </row>
    <row r="12" customFormat="false" ht="7.5" hidden="false" customHeight="true" outlineLevel="0" collapsed="false"/>
    <row r="13" customFormat="false" ht="21.75" hidden="false" customHeight="true" outlineLevel="0" collapsed="false">
      <c r="B13" s="16" t="s">
        <v>58</v>
      </c>
    </row>
    <row r="14" customFormat="false" ht="25.5" hidden="false" customHeight="true" outlineLevel="0" collapsed="false">
      <c r="B14" s="17" t="s">
        <v>59</v>
      </c>
      <c r="C14" s="18" t="n">
        <f aca="false">C9*C10</f>
        <v>0</v>
      </c>
    </row>
    <row r="15" customFormat="false" ht="25.5" hidden="false" customHeight="true" outlineLevel="0" collapsed="false">
      <c r="B15" s="17" t="s">
        <v>60</v>
      </c>
      <c r="C15" s="18" t="n">
        <f aca="false">C9*C11</f>
        <v>0</v>
      </c>
    </row>
    <row r="16" customFormat="false" ht="25.5" hidden="false" customHeight="true" outlineLevel="0" collapsed="false">
      <c r="B16" s="19" t="s">
        <v>61</v>
      </c>
      <c r="C16" s="20" t="n">
        <f aca="false">C9+C14+C15</f>
        <v>0</v>
      </c>
    </row>
    <row r="17" customFormat="false" ht="7.5" hidden="false" customHeight="true" outlineLevel="0" collapsed="false"/>
    <row r="18" customFormat="false" ht="21.75" hidden="false" customHeight="true" outlineLevel="0" collapsed="false">
      <c r="B18" s="16" t="s">
        <v>62</v>
      </c>
    </row>
    <row r="19" customFormat="false" ht="25.5" hidden="false" customHeight="true" outlineLevel="0" collapsed="false">
      <c r="B19" s="17" t="s">
        <v>63</v>
      </c>
      <c r="C19" s="22" t="n">
        <f aca="false">C10+C11</f>
        <v>0</v>
      </c>
    </row>
    <row r="20" customFormat="false" ht="25.5" hidden="false" customHeight="true" outlineLevel="0" collapsed="false">
      <c r="B20" s="19" t="s">
        <v>64</v>
      </c>
      <c r="C20" s="20" t="n">
        <f aca="false">C9*(1+C19)</f>
        <v>0</v>
      </c>
    </row>
    <row r="21" customFormat="false" ht="7.5" hidden="false" customHeight="true" outlineLevel="0" collapsed="false"/>
    <row r="22" customFormat="false" ht="25.5" hidden="false" customHeight="true" outlineLevel="0" collapsed="false">
      <c r="B22" s="23" t="s">
        <v>65</v>
      </c>
      <c r="C22" s="23"/>
    </row>
    <row r="23" customFormat="false" ht="25.5" hidden="false" customHeight="true" outlineLevel="0" collapsed="false">
      <c r="B23" s="6" t="s">
        <v>66</v>
      </c>
      <c r="C23" s="10" t="str">
        <f aca="false">IF(C16=C20,"✓ Yes — correct","✗ Check your formulas")</f>
        <v>✓ Yes — correct</v>
      </c>
    </row>
    <row r="24" customFormat="false" ht="9.75" hidden="false" customHeight="true" outlineLevel="0" collapsed="false"/>
    <row r="25" customFormat="false" ht="27.75" hidden="false" customHeight="true" outlineLevel="0" collapsed="false">
      <c r="B25" s="4" t="s">
        <v>67</v>
      </c>
      <c r="C25" s="4"/>
    </row>
    <row r="26" customFormat="false" ht="27.75" hidden="false" customHeight="true" outlineLevel="0" collapsed="false">
      <c r="B26" s="24" t="s">
        <v>68</v>
      </c>
      <c r="C26" s="24"/>
    </row>
    <row r="27" customFormat="false" ht="9.75" hidden="false" customHeight="true" outlineLevel="0" collapsed="false"/>
    <row r="28" customFormat="false" ht="21.75" hidden="false" customHeight="true" outlineLevel="0" collapsed="false">
      <c r="B28" s="21" t="s">
        <v>69</v>
      </c>
      <c r="C28" s="21"/>
    </row>
  </sheetData>
  <mergeCells count="7">
    <mergeCell ref="B2:C2"/>
    <mergeCell ref="B5:C5"/>
    <mergeCell ref="B7:C7"/>
    <mergeCell ref="B22:C22"/>
    <mergeCell ref="B25:C25"/>
    <mergeCell ref="B26:C26"/>
    <mergeCell ref="B28:C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3" min="3" style="1" width="20"/>
    <col collapsed="false" customWidth="true" hidden="false" outlineLevel="0" max="4" min="4" style="1" width="3"/>
  </cols>
  <sheetData>
    <row r="1" customFormat="false" ht="13.5" hidden="false" customHeight="true" outlineLevel="0" collapsed="false"/>
    <row r="2" customFormat="false" ht="43.5" hidden="false" customHeight="true" outlineLevel="0" collapsed="false">
      <c r="B2" s="12" t="s">
        <v>70</v>
      </c>
      <c r="C2" s="12"/>
    </row>
    <row r="3" customFormat="false" ht="6" hidden="false" customHeight="true" outlineLevel="0" collapsed="false">
      <c r="B3" s="3"/>
      <c r="C3" s="3"/>
    </row>
    <row r="4" customFormat="false" ht="9.75" hidden="false" customHeight="true" outlineLevel="0" collapsed="false"/>
    <row r="5" customFormat="false" ht="27.75" hidden="false" customHeight="true" outlineLevel="0" collapsed="false">
      <c r="B5" s="7" t="s">
        <v>71</v>
      </c>
      <c r="C5" s="7"/>
    </row>
    <row r="6" customFormat="false" ht="7.5" hidden="false" customHeight="true" outlineLevel="0" collapsed="false"/>
    <row r="7" customFormat="false" ht="27.75" hidden="false" customHeight="true" outlineLevel="0" collapsed="false">
      <c r="B7" s="4" t="s">
        <v>36</v>
      </c>
      <c r="C7" s="4"/>
    </row>
    <row r="8" customFormat="false" ht="25.5" hidden="false" customHeight="true" outlineLevel="0" collapsed="false">
      <c r="B8" s="5" t="s">
        <v>72</v>
      </c>
      <c r="C8" s="14"/>
    </row>
    <row r="9" customFormat="false" ht="25.5" hidden="false" customHeight="true" outlineLevel="0" collapsed="false">
      <c r="B9" s="5" t="s">
        <v>73</v>
      </c>
      <c r="C9" s="15"/>
    </row>
    <row r="10" customFormat="false" ht="25.5" hidden="false" customHeight="true" outlineLevel="0" collapsed="false">
      <c r="B10" s="5" t="s">
        <v>74</v>
      </c>
      <c r="C10" s="14"/>
    </row>
    <row r="11" customFormat="false" ht="25.5" hidden="false" customHeight="true" outlineLevel="0" collapsed="false">
      <c r="B11" s="5" t="s">
        <v>75</v>
      </c>
      <c r="C11" s="14"/>
    </row>
    <row r="12" customFormat="false" ht="7.5" hidden="false" customHeight="true" outlineLevel="0" collapsed="false"/>
    <row r="13" customFormat="false" ht="27.75" hidden="false" customHeight="true" outlineLevel="0" collapsed="false">
      <c r="B13" s="4" t="s">
        <v>76</v>
      </c>
      <c r="C13" s="4"/>
    </row>
    <row r="14" customFormat="false" ht="25.5" hidden="false" customHeight="true" outlineLevel="0" collapsed="false">
      <c r="B14" s="19" t="s">
        <v>77</v>
      </c>
      <c r="C14" s="20" t="n">
        <f aca="false">IFERROR(C9*C8,"")</f>
        <v>0</v>
      </c>
    </row>
    <row r="15" customFormat="false" ht="7.5" hidden="false" customHeight="true" outlineLevel="0" collapsed="false"/>
    <row r="16" customFormat="false" ht="27.75" hidden="false" customHeight="true" outlineLevel="0" collapsed="false">
      <c r="B16" s="4" t="s">
        <v>78</v>
      </c>
      <c r="C16" s="4"/>
    </row>
    <row r="17" customFormat="false" ht="25.5" hidden="false" customHeight="true" outlineLevel="0" collapsed="false">
      <c r="B17" s="17" t="s">
        <v>79</v>
      </c>
      <c r="C17" s="25" t="str">
        <f aca="false">IFERROR(C10/C11,"")</f>
        <v/>
      </c>
    </row>
    <row r="18" customFormat="false" ht="25.5" hidden="false" customHeight="true" outlineLevel="0" collapsed="false">
      <c r="B18" s="19" t="s">
        <v>80</v>
      </c>
      <c r="C18" s="26" t="str">
        <f aca="false">IFERROR(ROUND(C10/C11,4),"")</f>
        <v/>
      </c>
    </row>
    <row r="19" customFormat="false" ht="7.5" hidden="false" customHeight="true" outlineLevel="0" collapsed="false"/>
    <row r="20" customFormat="false" ht="27.75" hidden="false" customHeight="true" outlineLevel="0" collapsed="false">
      <c r="B20" s="4" t="s">
        <v>81</v>
      </c>
      <c r="C20" s="4"/>
    </row>
    <row r="21" customFormat="false" ht="25.5" hidden="false" customHeight="true" outlineLevel="0" collapsed="false">
      <c r="B21" s="19" t="s">
        <v>82</v>
      </c>
      <c r="C21" s="20" t="str">
        <f aca="false">IFERROR(C18*C14,"")</f>
        <v/>
      </c>
    </row>
    <row r="22" customFormat="false" ht="9.75" hidden="false" customHeight="true" outlineLevel="0" collapsed="false"/>
    <row r="23" customFormat="false" ht="27.75" hidden="false" customHeight="true" outlineLevel="0" collapsed="false">
      <c r="B23" s="4" t="s">
        <v>83</v>
      </c>
      <c r="C23" s="4"/>
    </row>
    <row r="24" customFormat="false" ht="21.75" hidden="false" customHeight="true" outlineLevel="0" collapsed="false">
      <c r="B24" s="17" t="s">
        <v>84</v>
      </c>
      <c r="C24" s="27" t="n">
        <f aca="false">IFERROR(C8,"")</f>
        <v>0</v>
      </c>
    </row>
    <row r="25" customFormat="false" ht="21.75" hidden="false" customHeight="true" outlineLevel="0" collapsed="false">
      <c r="B25" s="17" t="s">
        <v>85</v>
      </c>
      <c r="C25" s="27" t="n">
        <f aca="false">IFERROR(C9,"")</f>
        <v>0</v>
      </c>
    </row>
    <row r="26" customFormat="false" ht="21.75" hidden="false" customHeight="true" outlineLevel="0" collapsed="false">
      <c r="B26" s="17" t="s">
        <v>86</v>
      </c>
      <c r="C26" s="28" t="n">
        <f aca="false">IFERROR(C14,"")</f>
        <v>0</v>
      </c>
    </row>
    <row r="27" customFormat="false" ht="21.75" hidden="false" customHeight="true" outlineLevel="0" collapsed="false">
      <c r="B27" s="17" t="s">
        <v>87</v>
      </c>
      <c r="C27" s="27" t="str">
        <f aca="false">IFERROR(C18,"")</f>
        <v/>
      </c>
    </row>
    <row r="28" customFormat="false" ht="21.75" hidden="false" customHeight="true" outlineLevel="0" collapsed="false">
      <c r="B28" s="17" t="s">
        <v>88</v>
      </c>
      <c r="C28" s="29" t="str">
        <f aca="false">IFERROR(C21,"")</f>
        <v/>
      </c>
    </row>
    <row r="29" customFormat="false" ht="31.5" hidden="false" customHeight="true" outlineLevel="0" collapsed="false">
      <c r="B29" s="21" t="s">
        <v>89</v>
      </c>
      <c r="C29" s="21"/>
    </row>
  </sheetData>
  <mergeCells count="8">
    <mergeCell ref="B2:C2"/>
    <mergeCell ref="B5:C5"/>
    <mergeCell ref="B7:C7"/>
    <mergeCell ref="B13:C13"/>
    <mergeCell ref="B16:C16"/>
    <mergeCell ref="B20:C20"/>
    <mergeCell ref="B23:C23"/>
    <mergeCell ref="B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2"/>
    <col collapsed="false" customWidth="true" hidden="false" outlineLevel="0" max="3" min="3" style="1" width="36"/>
    <col collapsed="false" customWidth="true" hidden="false" outlineLevel="0" max="4" min="4" style="1" width="26"/>
    <col collapsed="false" customWidth="true" hidden="false" outlineLevel="0" max="5" min="5" style="1" width="3"/>
  </cols>
  <sheetData>
    <row r="1" customFormat="false" ht="13.5" hidden="false" customHeight="true" outlineLevel="0" collapsed="false"/>
    <row r="2" customFormat="false" ht="43.5" hidden="false" customHeight="true" outlineLevel="0" collapsed="false">
      <c r="B2" s="12" t="s">
        <v>90</v>
      </c>
      <c r="C2" s="12"/>
      <c r="D2" s="12"/>
    </row>
    <row r="3" customFormat="false" ht="6" hidden="false" customHeight="true" outlineLevel="0" collapsed="false">
      <c r="B3" s="3"/>
      <c r="C3" s="3"/>
      <c r="D3" s="3"/>
    </row>
    <row r="4" customFormat="false" ht="9.75" hidden="false" customHeight="true" outlineLevel="0" collapsed="false"/>
    <row r="5" customFormat="false" ht="27.75" hidden="false" customHeight="true" outlineLevel="0" collapsed="false">
      <c r="B5" s="30" t="s">
        <v>91</v>
      </c>
      <c r="C5" s="30" t="s">
        <v>92</v>
      </c>
      <c r="D5" s="30" t="s">
        <v>93</v>
      </c>
    </row>
    <row r="6" customFormat="false" ht="25.5" hidden="false" customHeight="true" outlineLevel="0" collapsed="false">
      <c r="B6" s="31" t="s">
        <v>94</v>
      </c>
      <c r="C6" s="17" t="s">
        <v>95</v>
      </c>
      <c r="D6" s="32" t="s">
        <v>96</v>
      </c>
    </row>
    <row r="7" customFormat="false" ht="25.5" hidden="false" customHeight="true" outlineLevel="0" collapsed="false">
      <c r="B7" s="33" t="s">
        <v>97</v>
      </c>
      <c r="C7" s="34" t="s">
        <v>98</v>
      </c>
      <c r="D7" s="35" t="s">
        <v>99</v>
      </c>
    </row>
    <row r="8" customFormat="false" ht="25.5" hidden="false" customHeight="true" outlineLevel="0" collapsed="false">
      <c r="B8" s="31" t="s">
        <v>100</v>
      </c>
      <c r="C8" s="17" t="s">
        <v>101</v>
      </c>
      <c r="D8" s="32" t="s">
        <v>102</v>
      </c>
    </row>
    <row r="9" customFormat="false" ht="25.5" hidden="false" customHeight="true" outlineLevel="0" collapsed="false">
      <c r="B9" s="33" t="s">
        <v>103</v>
      </c>
      <c r="C9" s="34" t="s">
        <v>104</v>
      </c>
      <c r="D9" s="35" t="s">
        <v>105</v>
      </c>
    </row>
    <row r="10" customFormat="false" ht="25.5" hidden="false" customHeight="true" outlineLevel="0" collapsed="false">
      <c r="B10" s="31" t="s">
        <v>106</v>
      </c>
      <c r="C10" s="17" t="s">
        <v>107</v>
      </c>
      <c r="D10" s="32" t="s">
        <v>108</v>
      </c>
    </row>
    <row r="11" customFormat="false" ht="25.5" hidden="false" customHeight="true" outlineLevel="0" collapsed="false">
      <c r="B11" s="33" t="s">
        <v>109</v>
      </c>
      <c r="C11" s="34" t="s">
        <v>110</v>
      </c>
      <c r="D11" s="35" t="s">
        <v>111</v>
      </c>
    </row>
    <row r="12" customFormat="false" ht="25.5" hidden="false" customHeight="true" outlineLevel="0" collapsed="false">
      <c r="B12" s="31" t="s">
        <v>112</v>
      </c>
      <c r="C12" s="17" t="s">
        <v>113</v>
      </c>
      <c r="D12" s="32" t="s">
        <v>114</v>
      </c>
    </row>
    <row r="13" customFormat="false" ht="25.5" hidden="false" customHeight="true" outlineLevel="0" collapsed="false">
      <c r="B13" s="33" t="s">
        <v>115</v>
      </c>
      <c r="C13" s="34" t="s">
        <v>116</v>
      </c>
      <c r="D13" s="35" t="s">
        <v>117</v>
      </c>
    </row>
    <row r="14" customFormat="false" ht="25.5" hidden="false" customHeight="true" outlineLevel="0" collapsed="false">
      <c r="B14" s="31" t="s">
        <v>118</v>
      </c>
      <c r="C14" s="17" t="s">
        <v>119</v>
      </c>
      <c r="D14" s="32" t="s">
        <v>120</v>
      </c>
    </row>
    <row r="15" customFormat="false" ht="9.75" hidden="false" customHeight="true" outlineLevel="0" collapsed="false"/>
    <row r="16" customFormat="false" ht="27.75" hidden="false" customHeight="true" outlineLevel="0" collapsed="false">
      <c r="B16" s="36" t="s">
        <v>121</v>
      </c>
      <c r="C16" s="36"/>
      <c r="D16" s="36"/>
    </row>
  </sheetData>
  <mergeCells count="2">
    <mergeCell ref="B2:D2"/>
    <mergeCell ref="B16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2026-05-28T16:58:00Z</dcterms:created>
  <dc:creator>openpyxl</dc:creator>
  <dc:description/>
  <dc:language>en-US</dc:language>
  <cp:lastModifiedBy/>
  <dcterms:modified xsi:type="dcterms:W3CDTF">2026-05-28T16:58:37Z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