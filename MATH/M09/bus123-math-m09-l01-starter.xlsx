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20060" tabRatio="6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\$#,##0.00"/>
  </numFmts>
  <fonts count="6">
    <font>
      <name val="Calibri"/>
      <family val="2"/>
      <color theme="1"/>
      <sz val="11"/>
      <scheme val="minor"/>
    </font>
    <font>
      <name val="DM Sans"/>
      <b val="1"/>
      <color rgb="FFFFFFFF"/>
      <sz val="16"/>
    </font>
    <font>
      <name val="Calibri"/>
      <family val="2"/>
      <color theme="1"/>
      <sz val="11"/>
      <scheme val="minor"/>
    </font>
    <font>
      <name val="DM Sans"/>
      <color rgb="FF4A5567"/>
      <sz val="10"/>
    </font>
    <font>
      <name val="DM Sans"/>
      <b val="1"/>
      <color rgb="FFFFFFFF"/>
      <sz val="11"/>
    </font>
    <font>
      <name val="DM Sans"/>
      <color rgb="FF355773"/>
      <sz val="10"/>
    </font>
  </fonts>
  <fills count="10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F2EEE5"/>
      </patternFill>
    </fill>
    <fill>
      <patternFill patternType="solid">
        <fgColor rgb="FF4A7C5E"/>
      </patternFill>
    </fill>
    <fill>
      <patternFill patternType="solid">
        <fgColor rgb="FFB8843D"/>
      </patternFill>
    </fill>
    <fill>
      <patternFill patternType="solid">
        <fgColor rgb="FF9C4A2B"/>
      </patternFill>
    </fill>
    <fill>
      <patternFill patternType="solid">
        <fgColor rgb="FFFFD966"/>
      </patternFill>
    </fill>
    <fill>
      <patternFill patternType="solid">
        <fgColor rgb="FFDDEBF7"/>
      </patternFill>
    </fill>
    <fill>
      <patternFill patternType="solid">
        <fgColor rgb="FFEAF3E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D0"/>
      </bottom>
      <diagonal/>
    </border>
  </borders>
  <cellStyleXfs count="1">
    <xf numFmtId="0" fontId="2" fillId="0" borderId="0"/>
  </cellStyleXfs>
  <cellXfs count="24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2" fillId="8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10" fontId="2" fillId="8" borderId="1" applyAlignment="1" pivotButton="0" quotePrefix="0" xfId="0">
      <alignment vertical="top" wrapText="1"/>
    </xf>
    <xf numFmtId="2" fontId="2" fillId="8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 wrapText="1"/>
    </xf>
    <xf numFmtId="164" fontId="2" fillId="8" borderId="1" applyAlignment="1" pivotButton="0" quotePrefix="0" xfId="0">
      <alignment horizontal="center" vertical="center" wrapText="1"/>
    </xf>
    <xf numFmtId="10" fontId="2" fillId="8" borderId="1" applyAlignment="1" pivotButton="0" quotePrefix="0" xfId="0">
      <alignment horizontal="center" vertical="center" wrapText="1"/>
    </xf>
    <xf numFmtId="2" fontId="2" fillId="8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4" topLeftCell="A5" activePane="bottomLeft" state="frozen"/>
      <selection pane="bottomLeft" activeCell="A1" sqref="A1:F1"/>
    </sheetView>
  </sheetViews>
  <sheetFormatPr baseColWidth="10" defaultColWidth="8.83203125" defaultRowHeight="15"/>
  <cols>
    <col width="12" customWidth="1" min="1" max="1"/>
    <col width="70" customWidth="1" min="2" max="2"/>
    <col width="20" customWidth="1" min="3" max="3"/>
    <col width="16" customWidth="1" min="4" max="6"/>
  </cols>
  <sheetData>
    <row r="1" ht="26" customHeight="1">
      <c r="A1" s="14" t="inlineStr">
        <is>
          <t>BUS123 - MATH-M09-L01</t>
        </is>
      </c>
      <c r="B1" s="17" t="n"/>
      <c r="C1" s="17" t="n"/>
      <c r="D1" s="17" t="n"/>
      <c r="E1" s="17" t="n"/>
      <c r="F1" s="17" t="n"/>
    </row>
    <row r="2" ht="32" customHeight="1">
      <c r="A2" s="11" t="inlineStr">
        <is>
          <t>Compound Interest and Future Value</t>
        </is>
      </c>
      <c r="B2" s="17" t="n"/>
      <c r="C2" s="17" t="n"/>
      <c r="D2" s="17" t="n"/>
      <c r="E2" s="17" t="n"/>
      <c r="F2" s="17" t="n"/>
    </row>
    <row r="3">
      <c r="A3" s="12" t="n"/>
      <c r="B3" s="12" t="n"/>
      <c r="C3" s="12" t="n"/>
      <c r="D3" s="12" t="n"/>
      <c r="E3" s="12" t="n"/>
      <c r="F3" s="12" t="n"/>
    </row>
    <row r="4" ht="22" customHeight="1">
      <c r="A4" s="16" t="inlineStr">
        <is>
          <t>How to Use This Workbook</t>
        </is>
      </c>
      <c r="B4" s="17" t="n"/>
      <c r="C4" s="17" t="n"/>
      <c r="D4" s="17" t="n"/>
      <c r="E4" s="17" t="n"/>
      <c r="F4" s="17" t="n"/>
    </row>
    <row r="5" ht="16" customHeight="1">
      <c r="A5" s="12" t="inlineStr">
        <is>
          <t>1</t>
        </is>
      </c>
      <c r="B5" s="12" t="inlineStr">
        <is>
          <t>Open the slide deck and stop at each Live You Try It pause.</t>
        </is>
      </c>
      <c r="C5" s="12" t="n"/>
      <c r="D5" s="12" t="n"/>
      <c r="E5" s="12" t="n"/>
      <c r="F5" s="12" t="n"/>
    </row>
    <row r="6" ht="16" customHeight="1">
      <c r="A6" s="12" t="inlineStr">
        <is>
          <t>2</t>
        </is>
      </c>
      <c r="B6" s="12" t="inlineStr">
        <is>
          <t>Enter the slide givens into the yellow input cells first.</t>
        </is>
      </c>
      <c r="C6" s="12" t="n"/>
      <c r="D6" s="12" t="n"/>
      <c r="E6" s="12" t="n"/>
      <c r="F6" s="12" t="n"/>
    </row>
    <row r="7" ht="16" customHeight="1">
      <c r="A7" s="12" t="inlineStr">
        <is>
          <t>3</t>
        </is>
      </c>
      <c r="B7" s="12" t="inlineStr">
        <is>
          <t>Build formulas by referencing the input cells. Do not type numbers inside formulas.</t>
        </is>
      </c>
      <c r="C7" s="12" t="n"/>
      <c r="D7" s="12" t="n"/>
      <c r="E7" s="12" t="n"/>
      <c r="F7" s="12" t="n"/>
    </row>
    <row r="8" ht="16" customHeight="1">
      <c r="A8" s="12" t="inlineStr">
        <is>
          <t>4</t>
        </is>
      </c>
      <c r="B8" s="12" t="inlineStr">
        <is>
          <t>Use the feedback cells to revise your Live You Try It work.</t>
        </is>
      </c>
      <c r="C8" s="12" t="n"/>
      <c r="D8" s="12" t="n"/>
      <c r="E8" s="12" t="n"/>
      <c r="F8" s="12" t="n"/>
    </row>
    <row r="9" ht="32" customHeight="1">
      <c r="A9" s="12" t="inlineStr">
        <is>
          <t>5</t>
        </is>
      </c>
      <c r="B9" s="12" t="inlineStr">
        <is>
          <t>Complete Class Challenge with formulas. The blue answer cells start blank in the public starter.</t>
        </is>
      </c>
      <c r="C9" s="12" t="n"/>
      <c r="D9" s="12" t="n"/>
      <c r="E9" s="12" t="n"/>
      <c r="F9" s="12" t="n"/>
    </row>
    <row r="10">
      <c r="A10" s="12" t="n"/>
      <c r="B10" s="12" t="n"/>
      <c r="C10" s="12" t="n"/>
      <c r="D10" s="12" t="n"/>
      <c r="E10" s="12" t="n"/>
      <c r="F10" s="12" t="n"/>
    </row>
    <row r="11" ht="22" customHeight="1">
      <c r="A11" s="13" t="inlineStr">
        <is>
          <t>Required Public Tabs</t>
        </is>
      </c>
      <c r="B11" s="17" t="n"/>
      <c r="C11" s="17" t="n"/>
      <c r="D11" s="17" t="n"/>
      <c r="E11" s="17" t="n"/>
      <c r="F11" s="17" t="n"/>
    </row>
    <row r="12" ht="16" customHeight="1">
      <c r="A12" s="12" t="inlineStr">
        <is>
          <t>Live You Try It</t>
        </is>
      </c>
      <c r="B12" s="12" t="inlineStr">
        <is>
          <t>Self-graded practice with hints and feedback; not part of the private rubric.</t>
        </is>
      </c>
      <c r="C12" s="12" t="n"/>
      <c r="D12" s="12" t="n"/>
      <c r="E12" s="12" t="n"/>
      <c r="F12" s="12" t="n"/>
    </row>
    <row r="13" ht="32" customHeight="1">
      <c r="A13" s="12" t="inlineStr">
        <is>
          <t>Class Challenge</t>
        </is>
      </c>
      <c r="B13" s="12" t="inlineStr">
        <is>
          <t>The only graded/next-level activity tab.</t>
        </is>
      </c>
      <c r="C13" s="12" t="n"/>
      <c r="D13" s="12" t="n"/>
      <c r="E13" s="12" t="n"/>
      <c r="F13" s="12" t="n"/>
    </row>
    <row r="14" ht="32" customHeight="1">
      <c r="A14" s="12" t="inlineStr">
        <is>
          <t>FormulaReferenceCard</t>
        </is>
      </c>
      <c r="B14" s="12" t="inlineStr">
        <is>
          <t>Formula syntax reminders for this lesson.</t>
        </is>
      </c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 ht="22" customHeight="1">
      <c r="A17" s="15" t="inlineStr">
        <is>
          <t>I Can</t>
        </is>
      </c>
      <c r="B17" s="17" t="n"/>
      <c r="C17" s="17" t="n"/>
      <c r="D17" s="17" t="n"/>
      <c r="E17" s="17" t="n"/>
      <c r="F17" s="17" t="n"/>
    </row>
    <row r="18" ht="16" customHeight="1">
      <c r="A18" s="12" t="n">
        <v>1</v>
      </c>
      <c r="B18" s="12" t="inlineStr">
        <is>
          <t>Explain why compound interest grows differently from simple interest.</t>
        </is>
      </c>
      <c r="C18" s="12" t="n"/>
      <c r="D18" s="12" t="n"/>
      <c r="E18" s="12" t="n"/>
      <c r="F18" s="12" t="n"/>
    </row>
    <row r="19" ht="16" customHeight="1">
      <c r="A19" s="12" t="n">
        <v>2</v>
      </c>
      <c r="B19" s="12" t="inlineStr">
        <is>
          <t>Build =FV() formulas with correct sign convention.</t>
        </is>
      </c>
      <c r="C19" s="12" t="n"/>
      <c r="D19" s="12" t="n"/>
      <c r="E19" s="12" t="n"/>
      <c r="F19" s="12" t="n"/>
    </row>
    <row r="20" ht="16" customHeight="1">
      <c r="A20" s="12" t="n">
        <v>3</v>
      </c>
      <c r="B20" s="12" t="inlineStr">
        <is>
          <t>Adjust rate and nper for non-annual compounding.</t>
        </is>
      </c>
      <c r="C20" s="12" t="n"/>
      <c r="D20" s="12" t="n"/>
      <c r="E20" s="12" t="n"/>
      <c r="F20" s="12" t="n"/>
    </row>
    <row r="21" ht="16" customHeight="1">
      <c r="A21" s="12" t="n">
        <v>4</v>
      </c>
      <c r="B21" s="12" t="inlineStr">
        <is>
          <t>Use Rule of 72 as an estimate and verify with Excel.</t>
        </is>
      </c>
      <c r="C21" s="12" t="n"/>
      <c r="D21" s="12" t="n"/>
      <c r="E21" s="12" t="n"/>
      <c r="F21" s="12" t="n"/>
    </row>
    <row r="22">
      <c r="A22" s="12" t="n"/>
      <c r="B22" s="12" t="n"/>
      <c r="C22" s="12" t="n"/>
      <c r="D22" s="12" t="n"/>
      <c r="E22" s="12" t="n"/>
      <c r="F22" s="12" t="n"/>
    </row>
  </sheetData>
  <mergeCells count="5">
    <mergeCell ref="A2:F2"/>
    <mergeCell ref="A11:F11"/>
    <mergeCell ref="A1:F1"/>
    <mergeCell ref="A17:F17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5" topLeftCell="A6" activePane="bottomLeft" state="frozen"/>
      <selection pane="bottomLeft" activeCell="A1" sqref="A1:J1"/>
    </sheetView>
  </sheetViews>
  <sheetFormatPr baseColWidth="10" defaultColWidth="8.83203125" defaultRowHeight="15"/>
  <cols>
    <col width="13" customWidth="1" min="1" max="1"/>
    <col width="10" customWidth="1" min="2" max="2"/>
    <col width="38" customWidth="1" min="3" max="3"/>
    <col width="14" customWidth="1" min="4" max="7"/>
    <col width="20" customWidth="1" min="8" max="8"/>
    <col width="34" customWidth="1" min="9" max="9"/>
    <col width="28" customWidth="1" min="10" max="10"/>
  </cols>
  <sheetData>
    <row r="1" ht="26" customHeight="1">
      <c r="A1" s="14" t="inlineStr">
        <is>
          <t>MATH-M09-L01 - Live You Try It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 ht="32" customHeight="1">
      <c r="A2" s="11" t="inlineStr">
        <is>
          <t>Self-graded Excel pauses. Enter slide givens into yellow cells, then build formulas with cell references.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</row>
    <row r="4" ht="22" customHeight="1">
      <c r="A4" s="16" t="inlineStr">
        <is>
          <t>Practice Rows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</row>
    <row r="5" ht="32" customHeight="1">
      <c r="A5" s="2" t="inlineStr">
        <is>
          <t>Pause</t>
        </is>
      </c>
      <c r="B5" s="2" t="inlineStr">
        <is>
          <t>Slide</t>
        </is>
      </c>
      <c r="C5" s="2" t="inlineStr">
        <is>
          <t>Build This</t>
        </is>
      </c>
      <c r="D5" s="2" t="inlineStr">
        <is>
          <t>Input 1</t>
        </is>
      </c>
      <c r="E5" s="2" t="inlineStr">
        <is>
          <t>Input 2</t>
        </is>
      </c>
      <c r="F5" s="2" t="inlineStr">
        <is>
          <t>Input 3</t>
        </is>
      </c>
      <c r="G5" s="2" t="inlineStr">
        <is>
          <t>Input 4</t>
        </is>
      </c>
      <c r="H5" s="2" t="inlineStr">
        <is>
          <t>Your Formula / Answer</t>
        </is>
      </c>
      <c r="I5" s="2" t="inlineStr">
        <is>
          <t>Formula Hint</t>
        </is>
      </c>
      <c r="J5" s="2" t="inlineStr">
        <is>
          <t>Feedback</t>
        </is>
      </c>
    </row>
    <row r="6" ht="30" customHeight="1">
      <c r="A6" s="12" t="inlineStr">
        <is>
          <t>Annual FV</t>
        </is>
      </c>
      <c r="B6" s="12" t="inlineStr">
        <is>
          <t>09</t>
        </is>
      </c>
      <c r="C6" s="12" t="inlineStr">
        <is>
          <t>Rebuild the worked example future value.</t>
        </is>
      </c>
      <c r="D6" s="3" t="n"/>
      <c r="E6" s="3" t="n"/>
      <c r="F6" s="3" t="n"/>
      <c r="G6" s="3" t="n"/>
      <c r="H6" s="4" t="n"/>
      <c r="I6" s="5" t="inlineStr">
        <is>
          <t>Use =FV(rate, nper, pmt, -pv). PMT is 0 for a lump sum.</t>
        </is>
      </c>
      <c r="J6" s="6">
        <f>IF(H6="","Enter the FV formula.",IF(ABS(H6-44994.56)&lt;0.02,"Correct - the future value matches the slide.","Check signs and cell references."))</f>
        <v/>
      </c>
    </row>
    <row r="7" ht="16" customHeight="1">
      <c r="A7" s="12" t="inlineStr">
        <is>
          <t>Annual FV</t>
        </is>
      </c>
      <c r="B7" s="12" t="inlineStr">
        <is>
          <t>10</t>
        </is>
      </c>
      <c r="C7" s="12" t="inlineStr">
        <is>
          <t>Manual verification for the same example.</t>
        </is>
      </c>
      <c r="D7" s="3" t="n"/>
      <c r="E7" s="3" t="n"/>
      <c r="F7" s="3" t="n"/>
      <c r="G7" s="3" t="n"/>
      <c r="H7" s="4" t="n"/>
      <c r="I7" s="5" t="inlineStr">
        <is>
          <t>Use PV*(1+rate)^years.</t>
        </is>
      </c>
      <c r="J7" s="6">
        <f>IF(H7="","Enter the manual formula.",IF(ABS(H7-44994.56)&lt;0.02,"Correct - manual verification matches FV.","Check exponent and references."))</f>
        <v/>
      </c>
    </row>
    <row r="8" ht="16" customHeight="1">
      <c r="A8" s="12" t="inlineStr">
        <is>
          <t>Quarterly</t>
        </is>
      </c>
      <c r="B8" s="12" t="inlineStr">
        <is>
          <t>14</t>
        </is>
      </c>
      <c r="C8" s="12" t="inlineStr">
        <is>
          <t>Calculate the quarterly rate per period.</t>
        </is>
      </c>
      <c r="D8" s="3" t="n"/>
      <c r="E8" s="3" t="n"/>
      <c r="F8" s="3" t="n"/>
      <c r="G8" s="3" t="n"/>
      <c r="H8" s="7" t="n"/>
      <c r="I8" s="5" t="inlineStr">
        <is>
          <t>Annual rate divided by periods per year.</t>
        </is>
      </c>
      <c r="J8" s="6">
        <f>IF(H8="","Enter the rate-per-period formula.",IF(ABS(H8-0.015)&lt;0.00001,"Correct - quarterly rate is 1.5%.","Divide annual rate by 4."))</f>
        <v/>
      </c>
    </row>
    <row r="9" ht="16" customHeight="1">
      <c r="A9" s="12" t="inlineStr">
        <is>
          <t>Quarterly</t>
        </is>
      </c>
      <c r="B9" s="12" t="inlineStr">
        <is>
          <t>14</t>
        </is>
      </c>
      <c r="C9" s="12" t="inlineStr">
        <is>
          <t>Calculate total quarterly periods.</t>
        </is>
      </c>
      <c r="D9" s="3" t="n"/>
      <c r="E9" s="3" t="n"/>
      <c r="F9" s="3" t="n"/>
      <c r="G9" s="3" t="n"/>
      <c r="H9" s="8" t="n"/>
      <c r="I9" s="5" t="inlineStr">
        <is>
          <t>Years times periods per year.</t>
        </is>
      </c>
      <c r="J9" s="6">
        <f>IF(H9="","Enter the total-periods formula.",IF(H9=20,"Correct - 5 years x 4 quarters = 20.","Multiply years by periods per year."))</f>
        <v/>
      </c>
    </row>
    <row r="10" ht="30" customHeight="1">
      <c r="A10" s="12" t="inlineStr">
        <is>
          <t>Quarterly</t>
        </is>
      </c>
      <c r="B10" s="12" t="inlineStr">
        <is>
          <t>14</t>
        </is>
      </c>
      <c r="C10" s="12" t="inlineStr">
        <is>
          <t>Build the quarterly FV formula.</t>
        </is>
      </c>
      <c r="D10" s="3" t="n"/>
      <c r="E10" s="3" t="n"/>
      <c r="F10" s="3" t="n"/>
      <c r="G10" s="3" t="n"/>
      <c r="H10" s="4" t="n"/>
      <c r="I10" s="5" t="inlineStr">
        <is>
          <t>Use adjusted rate and adjusted nper inside =FV().</t>
        </is>
      </c>
      <c r="J10" s="6">
        <f>IF(H10="","Enter the quarterly FV formula.",IF(ABS(H10-33671.38)&lt;0.02,"Correct - quarterly FV matches the formula result.","Check both rate and nper adjustments."))</f>
        <v/>
      </c>
    </row>
    <row r="11" ht="16" customHeight="1">
      <c r="A11" s="12" t="inlineStr">
        <is>
          <t>Rule of 72</t>
        </is>
      </c>
      <c r="B11" s="12" t="inlineStr">
        <is>
          <t>13</t>
        </is>
      </c>
      <c r="C11" s="12" t="inlineStr">
        <is>
          <t>Estimate years to double at 7%.</t>
        </is>
      </c>
      <c r="D11" s="3" t="n"/>
      <c r="E11" s="3" t="n"/>
      <c r="F11" s="3" t="n"/>
      <c r="G11" s="3" t="n"/>
      <c r="H11" s="8" t="n"/>
      <c r="I11" s="5" t="inlineStr">
        <is>
          <t>Rule of 72 uses rate as a whole percent.</t>
        </is>
      </c>
      <c r="J11" s="6">
        <f>IF(H11="","Enter the Rule of 72 formula.",IF(ABS(H11-10.2857)&lt;0.02,"Correct - about 10.3 years.","Use 72 divided by 7, not 0.07."))</f>
        <v/>
      </c>
    </row>
    <row r="12" ht="16" customHeight="1">
      <c r="A12" s="12" t="inlineStr">
        <is>
          <t>Rule of 72</t>
        </is>
      </c>
      <c r="B12" s="12" t="inlineStr">
        <is>
          <t>13</t>
        </is>
      </c>
      <c r="C12" s="12" t="inlineStr">
        <is>
          <t>Verify the 7% estimate with =FV() over 10 years.</t>
        </is>
      </c>
      <c r="D12" s="3" t="n"/>
      <c r="E12" s="3" t="n"/>
      <c r="F12" s="3" t="n"/>
      <c r="G12" s="3" t="n"/>
      <c r="H12" s="4" t="n"/>
      <c r="I12" s="5" t="inlineStr">
        <is>
          <t>Use the slide's 10-year verification.</t>
        </is>
      </c>
      <c r="J12" s="6">
        <f>IF(H12="","Enter the FV check formula.",IF(ABS(H12-1967.15)&lt;0.02,"Correct - close to doubling.","Use 10 years for the slide verification."))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 ht="16" customHeight="1">
      <c r="A14" s="12" t="inlineStr">
        <is>
          <t>Self-check score</t>
        </is>
      </c>
      <c r="B14" s="6">
        <f>COUNTIF(J6:J12,"Correct*")&amp;" of 7 complete"</f>
        <v/>
      </c>
      <c r="C14" s="12" t="n"/>
      <c r="D14" s="12" t="n"/>
      <c r="E14" s="12" t="n"/>
      <c r="F14" s="12" t="n"/>
      <c r="G14" s="12" t="n"/>
      <c r="H14" s="12" t="n"/>
      <c r="I14" s="12" t="n"/>
      <c r="J14" s="12" t="n"/>
    </row>
  </sheetData>
  <mergeCells count="3">
    <mergeCell ref="A1:J1"/>
    <mergeCell ref="A4:J4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tabSelected="1" workbookViewId="0">
      <pane ySplit="5" topLeftCell="A6" activePane="bottomLeft" state="frozen"/>
      <selection pane="bottomLeft" activeCell="P13" sqref="P13"/>
    </sheetView>
  </sheetViews>
  <sheetFormatPr baseColWidth="10" defaultColWidth="8.83203125" defaultRowHeight="15"/>
  <cols>
    <col width="7" customWidth="1" min="1" max="1"/>
    <col width="58" customWidth="1" min="2" max="2"/>
    <col width="12" customWidth="1" min="3" max="6"/>
    <col width="12" customWidth="1" min="4" max="4"/>
    <col width="12" customWidth="1" min="5" max="5"/>
    <col width="12" customWidth="1" min="6" max="6"/>
    <col width="18" customWidth="1" min="7" max="7"/>
    <col width="34" customWidth="1" min="8" max="8"/>
    <col hidden="1" width="34" customWidth="1" min="9" max="9"/>
  </cols>
  <sheetData>
    <row r="1" ht="26" customHeight="1">
      <c r="A1" s="14" t="inlineStr">
        <is>
          <t>MATH-M09-L01 - Class Challenge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</row>
    <row r="2" ht="42" customHeight="1">
      <c r="A2" s="11" t="inlineStr">
        <is>
          <t>Read each scenario, enter the needed inputs into the yellow cells, then put the final answer in the blue cell. The grader checks the final answer.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</row>
    <row r="4" ht="22" customHeight="1">
      <c r="A4" s="15" t="inlineStr">
        <is>
          <t>Graded / Next-Level Activity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</row>
    <row r="5" ht="32" customHeight="1">
      <c r="A5" s="2" t="inlineStr">
        <is>
          <t>#</t>
        </is>
      </c>
      <c r="B5" s="2" t="inlineStr">
        <is>
          <t>Scenario</t>
        </is>
      </c>
      <c r="C5" s="2" t="inlineStr">
        <is>
          <t>Input 1</t>
        </is>
      </c>
      <c r="D5" s="2" t="inlineStr">
        <is>
          <t>Input 2</t>
        </is>
      </c>
      <c r="E5" s="2" t="inlineStr">
        <is>
          <t>Input 3</t>
        </is>
      </c>
      <c r="F5" s="2" t="inlineStr">
        <is>
          <t>Input 4</t>
        </is>
      </c>
      <c r="G5" s="2" t="inlineStr">
        <is>
          <t>Formula / Answer</t>
        </is>
      </c>
      <c r="H5" s="2" t="inlineStr">
        <is>
          <t>Hint</t>
        </is>
      </c>
      <c r="I5" s="2" t="inlineStr">
        <is>
          <t>Expected Formula (private)</t>
        </is>
      </c>
    </row>
    <row r="6" ht="34" customHeight="1">
      <c r="A6" s="18" t="n">
        <v>1</v>
      </c>
      <c r="B6" s="19" t="inlineStr">
        <is>
          <t>Find the simple-interest ending value for $1,000 invested at 5% annually for 30 years.</t>
        </is>
      </c>
      <c r="C6" s="20" t="n"/>
      <c r="D6" s="20" t="n"/>
      <c r="E6" s="20" t="n"/>
      <c r="F6" s="18" t="n"/>
      <c r="G6" s="21" t="n"/>
      <c r="H6" s="5" t="inlineStr">
        <is>
          <t>Simple interest uses 1 + rate x time.</t>
        </is>
      </c>
      <c r="I6" s="9" t="n"/>
    </row>
    <row r="7" ht="34" customHeight="1">
      <c r="A7" s="18" t="n">
        <v>2</v>
      </c>
      <c r="B7" s="19" t="inlineStr">
        <is>
          <t>Find the compound-interest future value for $1,000 invested at 5% annually for 30 years.</t>
        </is>
      </c>
      <c r="C7" s="20" t="n"/>
      <c r="D7" s="20" t="n"/>
      <c r="E7" s="20" t="n"/>
      <c r="F7" s="18" t="n"/>
      <c r="G7" s="21" t="n"/>
      <c r="H7" s="5" t="inlineStr">
        <is>
          <t>Use =FV with pmt=0 and negative pv.</t>
        </is>
      </c>
      <c r="I7" s="9" t="n"/>
    </row>
    <row r="8" ht="48" customHeight="1">
      <c r="A8" s="18" t="n">
        <v>3</v>
      </c>
      <c r="B8" s="19" t="inlineStr">
        <is>
          <t>Find the compound-interest advantage by comparing the $1,000 simple-interest and compound-interest results from rows 6 and 7.</t>
        </is>
      </c>
      <c r="C8" s="18" t="n"/>
      <c r="D8" s="18" t="n"/>
      <c r="E8" s="18" t="n"/>
      <c r="F8" s="18" t="n"/>
      <c r="G8" s="21" t="n"/>
      <c r="H8" s="5" t="inlineStr">
        <is>
          <t>Subtract the simple result from the compound result.</t>
        </is>
      </c>
      <c r="I8" s="9" t="n"/>
    </row>
    <row r="9" ht="34" customHeight="1">
      <c r="A9" s="18" t="n">
        <v>4</v>
      </c>
      <c r="B9" s="19" t="inlineStr">
        <is>
          <t>Find the annual-compounding future value for $25,000 invested at 6% for 5 years.</t>
        </is>
      </c>
      <c r="C9" s="20" t="n"/>
      <c r="D9" s="20" t="n"/>
      <c r="E9" s="20" t="n"/>
      <c r="F9" s="20" t="n"/>
      <c r="G9" s="21" t="n"/>
      <c r="H9" s="5" t="inlineStr">
        <is>
          <t>Annual: periods per year is 1.</t>
        </is>
      </c>
      <c r="I9" s="9" t="n"/>
    </row>
    <row r="10" ht="48" customHeight="1">
      <c r="A10" s="18" t="n">
        <v>5</v>
      </c>
      <c r="B10" s="19" t="inlineStr">
        <is>
          <t>Find the monthly-compounding future value for $25,000 invested at 6% for 5 years, with 12 periods per year.</t>
        </is>
      </c>
      <c r="C10" s="20" t="n"/>
      <c r="D10" s="20" t="n"/>
      <c r="E10" s="20" t="n"/>
      <c r="F10" s="20" t="n"/>
      <c r="G10" s="21" t="n"/>
      <c r="H10" s="5" t="inlineStr">
        <is>
          <t>Adjust both rate and nper for monthly compounding.</t>
        </is>
      </c>
      <c r="I10" s="9" t="n"/>
    </row>
    <row r="11" ht="48" customHeight="1">
      <c r="A11" s="18" t="n">
        <v>6</v>
      </c>
      <c r="B11" s="19" t="inlineStr">
        <is>
          <t>Find the gain from monthly compounding by comparing the $25,000 annual and monthly results from rows 9 and 10.</t>
        </is>
      </c>
      <c r="C11" s="18" t="n"/>
      <c r="D11" s="18" t="n"/>
      <c r="E11" s="18" t="n"/>
      <c r="F11" s="18" t="n"/>
      <c r="G11" s="21" t="n"/>
      <c r="H11" s="5" t="inlineStr">
        <is>
          <t>Compare the two FV cells.</t>
        </is>
      </c>
      <c r="I11" s="9" t="n"/>
    </row>
    <row r="12" ht="48" customHeight="1">
      <c r="A12" s="18" t="n">
        <v>7</v>
      </c>
      <c r="B12" s="19" t="inlineStr">
        <is>
          <t>Find the daily-compounding future value for $25,000 invested at 6% for 5 years, with 365 periods per year.</t>
        </is>
      </c>
      <c r="C12" s="20" t="n"/>
      <c r="D12" s="20" t="n"/>
      <c r="E12" s="20" t="n"/>
      <c r="F12" s="20" t="n"/>
      <c r="G12" s="21" t="n"/>
      <c r="H12" s="5" t="inlineStr">
        <is>
          <t>Daily uses 365 periods per year.</t>
        </is>
      </c>
      <c r="I12" s="9" t="n"/>
    </row>
    <row r="13" ht="48" customHeight="1">
      <c r="A13" s="18" t="n">
        <v>8</v>
      </c>
      <c r="B13" s="19" t="inlineStr">
        <is>
          <t>Find the gain from daily compounding by comparing the $25,000 daily and monthly results from rows 12 and 10.</t>
        </is>
      </c>
      <c r="C13" s="18" t="n"/>
      <c r="D13" s="18" t="n"/>
      <c r="E13" s="18" t="n"/>
      <c r="F13" s="18" t="n"/>
      <c r="G13" s="21" t="n"/>
      <c r="H13" s="5" t="inlineStr">
        <is>
          <t>Compare daily FV to monthly FV.</t>
        </is>
      </c>
      <c r="I13" s="9" t="n"/>
    </row>
    <row r="14" ht="34" customHeight="1">
      <c r="A14" s="18" t="n">
        <v>9</v>
      </c>
      <c r="B14" s="19" t="inlineStr">
        <is>
          <t>Find the quarterly rate per period for a 6% annual rate with 4 compounding periods per year.</t>
        </is>
      </c>
      <c r="C14" s="20" t="n"/>
      <c r="D14" s="20" t="n"/>
      <c r="E14" s="20" t="n"/>
      <c r="F14" s="20" t="n"/>
      <c r="G14" s="22" t="n"/>
      <c r="H14" s="5" t="inlineStr">
        <is>
          <t>Annual rate divided by periods per year.</t>
        </is>
      </c>
      <c r="I14" s="9" t="n"/>
    </row>
    <row r="15" ht="34" customHeight="1">
      <c r="A15" s="18" t="n">
        <v>10</v>
      </c>
      <c r="B15" s="19" t="inlineStr">
        <is>
          <t>Find the total number of quarterly periods for a 5-year investment with 4 periods per year.</t>
        </is>
      </c>
      <c r="C15" s="20" t="n"/>
      <c r="D15" s="20" t="n"/>
      <c r="E15" s="20" t="n"/>
      <c r="F15" s="20" t="n"/>
      <c r="G15" s="23" t="n"/>
      <c r="H15" s="5" t="inlineStr">
        <is>
          <t>Years times periods per year.</t>
        </is>
      </c>
      <c r="I15" s="9" t="n"/>
    </row>
    <row r="16" ht="48" customHeight="1">
      <c r="A16" s="18" t="n">
        <v>11</v>
      </c>
      <c r="B16" s="19" t="inlineStr">
        <is>
          <t>Find the quarterly-compounding future value for $25,000 invested at 6% for 5 years, with 4 periods per year.</t>
        </is>
      </c>
      <c r="C16" s="20" t="n"/>
      <c r="D16" s="20" t="n"/>
      <c r="E16" s="20" t="n"/>
      <c r="F16" s="20" t="n"/>
      <c r="G16" s="21" t="n"/>
      <c r="H16" s="5" t="inlineStr">
        <is>
          <t>Use adjusted quarterly rate and periods.</t>
        </is>
      </c>
      <c r="I16" s="9" t="n"/>
    </row>
    <row r="17" ht="34" customHeight="1">
      <c r="A17" s="18" t="n">
        <v>12</v>
      </c>
      <c r="B17" s="19" t="inlineStr">
        <is>
          <t>Use the Rule of 72 to estimate doubling time for a 7% annual return.</t>
        </is>
      </c>
      <c r="C17" s="20" t="n"/>
      <c r="D17" s="20" t="n"/>
      <c r="E17" s="18" t="n"/>
      <c r="F17" s="18" t="n"/>
      <c r="G17" s="23" t="n"/>
      <c r="H17" s="5" t="inlineStr">
        <is>
          <t>Rate must be a whole percent in the denominator.</t>
        </is>
      </c>
      <c r="I17" s="9" t="n"/>
    </row>
    <row r="18" ht="34" customHeight="1">
      <c r="A18" s="18" t="n">
        <v>13</v>
      </c>
      <c r="B18" s="19" t="inlineStr">
        <is>
          <t>Use =FV() to verify the future value of $1,000 invested at 7% annually for 10 years.</t>
        </is>
      </c>
      <c r="C18" s="20" t="n"/>
      <c r="D18" s="20" t="n"/>
      <c r="E18" s="20" t="n"/>
      <c r="F18" s="18" t="n"/>
      <c r="G18" s="21" t="n"/>
      <c r="H18" s="5" t="inlineStr">
        <is>
          <t>This is the slide's quick verification.</t>
        </is>
      </c>
      <c r="I18" s="9" t="n"/>
    </row>
    <row r="19" ht="34" customHeight="1">
      <c r="A19" s="18" t="n">
        <v>14</v>
      </c>
      <c r="B19" s="19" t="inlineStr">
        <is>
          <t>Find Account A future value for $100,000 invested at 4% annually for 10 years.</t>
        </is>
      </c>
      <c r="C19" s="20" t="n"/>
      <c r="D19" s="20" t="n"/>
      <c r="E19" s="20" t="n"/>
      <c r="F19" s="20" t="n"/>
      <c r="G19" s="21" t="n"/>
      <c r="H19" s="5" t="inlineStr">
        <is>
          <t>Annual account from the discussion prompt.</t>
        </is>
      </c>
      <c r="I19" s="9" t="n"/>
    </row>
    <row r="20" ht="62" customHeight="1">
      <c r="A20" s="18" t="n">
        <v>15</v>
      </c>
      <c r="B20" s="19" t="inlineStr">
        <is>
          <t>Find Account B future value minus Account A future value if Account B invests $100,000 at 3.8% with monthly compounding for 10 years, while Account A invests $100,000 at 4% annually for 10 years.</t>
        </is>
      </c>
      <c r="C20" s="20" t="n"/>
      <c r="D20" s="20" t="n"/>
      <c r="E20" s="20" t="n"/>
      <c r="F20" s="20" t="n"/>
      <c r="G20" s="21" t="n"/>
      <c r="H20" s="5" t="inlineStr">
        <is>
          <t>Monthly FV minus Account A's FV.</t>
        </is>
      </c>
      <c r="I20" s="9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</sheetData>
  <mergeCells count="3">
    <mergeCell ref="A1:I1"/>
    <mergeCell ref="A4:I4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5" customWidth="1" min="2" max="2"/>
    <col width="42" customWidth="1" min="3" max="3"/>
    <col width="38" customWidth="1" min="4" max="4"/>
  </cols>
  <sheetData>
    <row r="1" ht="26" customHeight="1">
      <c r="A1" s="14" t="inlineStr">
        <is>
          <t>MATH-M09-L01 - Formula Reference Card</t>
        </is>
      </c>
      <c r="B1" s="17" t="n"/>
      <c r="C1" s="17" t="n"/>
      <c r="D1" s="17" t="n"/>
    </row>
    <row r="2" ht="32" customHeight="1">
      <c r="A2" s="11" t="inlineStr">
        <is>
          <t>Syntax reminders. Decide which formula fits before using the card.</t>
        </is>
      </c>
      <c r="B2" s="17" t="n"/>
      <c r="C2" s="17" t="n"/>
      <c r="D2" s="17" t="n"/>
    </row>
    <row r="3">
      <c r="A3" s="12" t="n"/>
      <c r="B3" s="12" t="n"/>
      <c r="C3" s="12" t="n"/>
      <c r="D3" s="12" t="n"/>
    </row>
    <row r="4" ht="32" customHeight="1">
      <c r="A4" s="2" t="inlineStr">
        <is>
          <t>Concept</t>
        </is>
      </c>
      <c r="B4" s="2" t="inlineStr">
        <is>
          <t>Excel Pattern</t>
        </is>
      </c>
      <c r="C4" s="2" t="inlineStr">
        <is>
          <t>Plain-English Meaning</t>
        </is>
      </c>
      <c r="D4" s="2" t="inlineStr">
        <is>
          <t>Watch Out For</t>
        </is>
      </c>
    </row>
    <row r="5" ht="16" customHeight="1">
      <c r="A5" s="12" t="inlineStr">
        <is>
          <t>Compound FV manual</t>
        </is>
      </c>
      <c r="B5" s="10">
        <f>PV*(1+Rate)^Nper</f>
        <v/>
      </c>
      <c r="C5" s="12" t="inlineStr">
        <is>
          <t>Applies interest on interest over multiple periods.</t>
        </is>
      </c>
      <c r="D5" s="12" t="inlineStr">
        <is>
          <t>Rate and periods must use the same timing.</t>
        </is>
      </c>
    </row>
    <row r="6" ht="16" customHeight="1">
      <c r="A6" s="12" t="inlineStr">
        <is>
          <t>FV function</t>
        </is>
      </c>
      <c r="B6" s="10">
        <f>FV(Rate,Nper,0,PV)</f>
        <v/>
      </c>
      <c r="C6" s="12" t="inlineStr">
        <is>
          <t>Lets Excel calculate future value for a lump sum.</t>
        </is>
      </c>
      <c r="D6" s="12" t="inlineStr">
        <is>
          <t>Use a negative pv for money invested today.</t>
        </is>
      </c>
    </row>
    <row r="7" ht="32" customHeight="1">
      <c r="A7" s="12" t="inlineStr">
        <is>
          <t>Rate per period</t>
        </is>
      </c>
      <c r="B7" s="10">
        <f>AnnualRate/PeriodsPerYear</f>
        <v/>
      </c>
      <c r="C7" s="12" t="inlineStr">
        <is>
          <t>Converts an annual rate to the compounding period.</t>
        </is>
      </c>
      <c r="D7" s="12" t="inlineStr">
        <is>
          <t>Adjust the rate when compounding is not annual.</t>
        </is>
      </c>
    </row>
    <row r="8" ht="16" customHeight="1">
      <c r="A8" s="12" t="inlineStr">
        <is>
          <t>Total periods</t>
        </is>
      </c>
      <c r="B8" s="10">
        <f>Years*PeriodsPerYear</f>
        <v/>
      </c>
      <c r="C8" s="12" t="inlineStr">
        <is>
          <t>Converts years into total compounding periods.</t>
        </is>
      </c>
      <c r="D8" s="12" t="inlineStr">
        <is>
          <t>Adjust nper whenever you adjust the rate.</t>
        </is>
      </c>
    </row>
    <row r="9" ht="16" customHeight="1">
      <c r="A9" s="12" t="inlineStr">
        <is>
          <t>Rule of 72</t>
        </is>
      </c>
      <c r="B9" s="10">
        <f>72/RatePercent</f>
        <v/>
      </c>
      <c r="C9" s="12" t="inlineStr">
        <is>
          <t>Estimates how many years it takes money to double.</t>
        </is>
      </c>
      <c r="D9" s="12" t="inlineStr">
        <is>
          <t>It is an estimate; verify with FV.</t>
        </is>
      </c>
    </row>
    <row r="10" ht="32" customHeight="1">
      <c r="A10" s="12" t="inlineStr">
        <is>
          <t>Sanity check</t>
        </is>
      </c>
      <c r="B10" s="10">
        <f>ABS(FVResult)&gt;ABS(PV)</f>
        <v/>
      </c>
      <c r="C10" s="12" t="inlineStr">
        <is>
          <t>Confirms future value is larger than the starting investment.</t>
        </is>
      </c>
      <c r="D10" s="12" t="inlineStr">
        <is>
          <t>If it fails, check signs and timing.</t>
        </is>
      </c>
    </row>
    <row r="11">
      <c r="A11" s="12" t="n"/>
      <c r="B11" s="12" t="n"/>
      <c r="C11" s="12" t="n"/>
      <c r="D11" s="12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2026-06-24T14:34:45Z</dcterms:created>
  <dcterms:modified xmlns:dcterms="http://purl.org/dc/terms/" xmlns:xsi="http://www.w3.org/2001/XMLSchema-instance" xsi:type="dcterms:W3CDTF">2026-06-25T12:21:46Z</dcterms:modified>
  <cp:lastModifiedBy>Bethany Evitts</cp:lastModifiedBy>
</cp:coreProperties>
</file>