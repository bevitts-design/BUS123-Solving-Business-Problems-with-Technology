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bethanyevittsair2/Documents/GitHub/BUS123-Solving-Business-Problems-with-Technology/MATH/M11/"/>
    </mc:Choice>
  </mc:AlternateContent>
  <xr:revisionPtr revIDLastSave="0" documentId="13_ncr:1_{E4FD32C0-F0DD-9A4E-89A8-D7B20327E086}" xr6:coauthVersionLast="47" xr6:coauthVersionMax="47" xr10:uidLastSave="{00000000-0000-0000-0000-000000000000}"/>
  <bookViews>
    <workbookView xWindow="0" yWindow="600" windowWidth="38400" windowHeight="20120" xr2:uid="{00000000-000D-0000-FFFF-FFFF00000000}"/>
  </bookViews>
  <sheets>
    <sheet name="START HERE" sheetId="1" r:id="rId1"/>
    <sheet name="Live You Try It" sheetId="2" r:id="rId2"/>
    <sheet name="Class Challenge" sheetId="3" r:id="rId3"/>
    <sheet name="FormulaReferenceCard" sheetId="4" r:id="rId4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2" l="1"/>
  <c r="J16" i="2"/>
  <c r="J15" i="2"/>
  <c r="J14" i="2"/>
  <c r="J13" i="2"/>
  <c r="J12" i="2"/>
  <c r="J11" i="2"/>
  <c r="J10" i="2"/>
  <c r="J9" i="2"/>
  <c r="J8" i="2"/>
  <c r="J7" i="2"/>
</calcChain>
</file>

<file path=xl/sharedStrings.xml><?xml version="1.0" encoding="utf-8"?>
<sst xmlns="http://schemas.openxmlformats.org/spreadsheetml/2006/main" count="187" uniqueCount="146">
  <si>
    <t>BUS123 · MATH-M11-L01 · Financial Reports Workbook</t>
  </si>
  <si>
    <t>Harborside Medical Center · Fall 2026</t>
  </si>
  <si>
    <t>Use this workbook with the M11 slide deck. Live You Try It is self-graded practice; Class Challenge is the graded or next-level activity.</t>
  </si>
  <si>
    <t>Student Name:</t>
  </si>
  <si>
    <t>Date:</t>
  </si>
  <si>
    <t>Course:</t>
  </si>
  <si>
    <t>BUS123 — Solving Business Problems with Technology</t>
  </si>
  <si>
    <t>Workbook Tabs</t>
  </si>
  <si>
    <t>Live You Try It</t>
  </si>
  <si>
    <t>Self-graded practice tied to the worked examples in the slides. Enter slide givens in yellow cells first, then build formulas that reference those cells.</t>
  </si>
  <si>
    <t>Class Challenge</t>
  </si>
  <si>
    <t>Fifteen scenario questions. Extract the required inputs from each scenario into yellow cells, then build a formula in the final answer cell.</t>
  </si>
  <si>
    <t>FormulaReferenceCard</t>
  </si>
  <si>
    <t>Formula syntax reminders for the M11 activity. Use it as a reference, not as a replacement for reading the scenario.</t>
  </si>
  <si>
    <t>Color Key</t>
  </si>
  <si>
    <t>Yellow</t>
  </si>
  <si>
    <t>Student-editable input or answer cell.</t>
  </si>
  <si>
    <t>Green</t>
  </si>
  <si>
    <t>Formula-driven feedback for Live You Try It.</t>
  </si>
  <si>
    <t>No instructor tabs</t>
  </si>
  <si>
    <t>The public starter contains no answer key, grading map, rubric, or sample submission data.</t>
  </si>
  <si>
    <t>Live You Try It · Self-Graded Excel Pauses</t>
  </si>
  <si>
    <t>Use the exact givens from the slide deck. This tab is practice only and is not part of the private graded rubric.</t>
  </si>
  <si>
    <t>Workflow: enter the slide givens in the yellow input cells first, then build your result formula by referencing those input cells. The feedback cell checks your result against your entered inputs.</t>
  </si>
  <si>
    <t>Pause</t>
  </si>
  <si>
    <t>Source</t>
  </si>
  <si>
    <t>Task</t>
  </si>
  <si>
    <t>Input 1</t>
  </si>
  <si>
    <t>Input 2</t>
  </si>
  <si>
    <t>Input 3</t>
  </si>
  <si>
    <t>Input 4</t>
  </si>
  <si>
    <t>Input 5</t>
  </si>
  <si>
    <t>Your Formula / Result</t>
  </si>
  <si>
    <t>Feedback</t>
  </si>
  <si>
    <t>Hint</t>
  </si>
  <si>
    <t>Pause 1</t>
  </si>
  <si>
    <t>Slide 8</t>
  </si>
  <si>
    <t>Total assets from the balance sheet example</t>
  </si>
  <si>
    <t>Reference the four input cells, then use SUM.</t>
  </si>
  <si>
    <t>Total liabilities plus equity</t>
  </si>
  <si>
    <t>Add liabilities first, then include equity in the same formula.</t>
  </si>
  <si>
    <t>Pause 2</t>
  </si>
  <si>
    <t>Slide 10</t>
  </si>
  <si>
    <t>Gross profit</t>
  </si>
  <si>
    <t>Gross profit is revenue minus cost of services.</t>
  </si>
  <si>
    <t>Net income</t>
  </si>
  <si>
    <t>Net income is gross profit minus operating expenses.</t>
  </si>
  <si>
    <t>Pause 3</t>
  </si>
  <si>
    <t>Slide 12</t>
  </si>
  <si>
    <t>Net change in cash</t>
  </si>
  <si>
    <t>Enter the investing outflow as a negative number.</t>
  </si>
  <si>
    <t>Closing cash</t>
  </si>
  <si>
    <t>Closing cash equals opening cash plus the net change.</t>
  </si>
  <si>
    <t>Pause 4</t>
  </si>
  <si>
    <t>Slide 15</t>
  </si>
  <si>
    <t>2026 net revenue trend %</t>
  </si>
  <si>
    <t>Current year divided by base year.</t>
  </si>
  <si>
    <t>2026 net income trend %</t>
  </si>
  <si>
    <t>Keep the base year in the denominator.</t>
  </si>
  <si>
    <t>Pause 5</t>
  </si>
  <si>
    <t>Slide 17</t>
  </si>
  <si>
    <t>Profit margin</t>
  </si>
  <si>
    <t>Profit margin is net income divided by net revenue.</t>
  </si>
  <si>
    <t>Total debt to total assets</t>
  </si>
  <si>
    <t>Debt-to-assets uses liabilities in the numerator.</t>
  </si>
  <si>
    <t>Return on equity</t>
  </si>
  <si>
    <t>ROE asks how much income each dollar of equity produced.</t>
  </si>
  <si>
    <t>Class Challenge · Financial Report Analysis</t>
  </si>
  <si>
    <t>Extract inputs from each scenario into yellow cells, then build a formula in the final answer cell. Only final result cells are graded.</t>
  </si>
  <si>
    <t>Important: public input and final answer cells start blank. Use as many yellow input cells as each scenario requires; leave unused input cells blank.</t>
  </si>
  <si>
    <t>Q</t>
  </si>
  <si>
    <t>Scenario</t>
  </si>
  <si>
    <t>Final Answer</t>
  </si>
  <si>
    <t>Unit</t>
  </si>
  <si>
    <t>Slide 8 lists Cash $412,000, Accounts Receivable $680,000, Medical Supplies $95,000, and Equipment net $1,840,000. Calculate total assets.</t>
  </si>
  <si>
    <t>Dollars</t>
  </si>
  <si>
    <t>Sum the asset inputs.</t>
  </si>
  <si>
    <t>Slide 8 lists Accounts Payable $220,000, Salaries Payable $185,000, and Long-term Loan $900,000. Calculate total liabilities.</t>
  </si>
  <si>
    <t>Sum the liability inputs.</t>
  </si>
  <si>
    <t>Using total assets of $3,027,000 and total liabilities of $1,305,000 from Slide 8, calculate owner's equity.</t>
  </si>
  <si>
    <t>Assets minus liabilities.</t>
  </si>
  <si>
    <t>Slide 8 shows total assets of $3,027,000, total liabilities of $1,305,000, and owner's equity of $1,722,000. Calculate Assets minus (Liabilities plus Equity).</t>
  </si>
  <si>
    <t>A balanced sheet should produce zero.</t>
  </si>
  <si>
    <t>Slide 10 shows Patient Service Revenue of $4,250,000 and Cost of Services of $2,380,000. Calculate gross profit.</t>
  </si>
  <si>
    <t>Revenue minus cost of services.</t>
  </si>
  <si>
    <t>Slide 10 shows Gross Profit of $1,870,000 and Operating Expenses of $1,420,000. Calculate net income.</t>
  </si>
  <si>
    <t>Gross profit minus operating expenses.</t>
  </si>
  <si>
    <t>Slide 12 shows Operating cash flow +$310,000, Investing cash flow -$580,000, and Financing cash flow +$220,000. Calculate net change in cash.</t>
  </si>
  <si>
    <t>Add all three cash-flow sections.</t>
  </si>
  <si>
    <t>Slide 12 shows Opening Cash of $462,000 and Net Change in Cash of -$50,000. Calculate closing cash.</t>
  </si>
  <si>
    <t>Opening cash plus net change.</t>
  </si>
  <si>
    <t>Slide 15 shows 2024 base Net Revenue of $3,800,000 and 2025 Net Revenue of $4,100,000. Calculate the 2025 trend percentage.</t>
  </si>
  <si>
    <t>Percent</t>
  </si>
  <si>
    <t>Slide 15 shows 2024 base Net Revenue of $3,800,000 and 2026 Net Revenue of $4,250,000. Calculate the 2026 trend percentage.</t>
  </si>
  <si>
    <t>Slide 15 shows 2024 base Net Income of $320,000 and 2025 Net Income of $390,000. Calculate the 2025 trend percentage.</t>
  </si>
  <si>
    <t>Slide 15 shows 2024 base Net Income of $320,000 and 2026 Net Income of $450,000. Calculate the 2026 trend percentage.</t>
  </si>
  <si>
    <t>Slide 17 uses Net Income of $450,000 and Net Revenue of $4,250,000. Calculate profit margin.</t>
  </si>
  <si>
    <t>Net income divided by net revenue.</t>
  </si>
  <si>
    <t>Slide 17 uses Total Liabilities of $1,305,000 and Total Assets of $3,027,000. Calculate total debt to total assets.</t>
  </si>
  <si>
    <t>Liabilities divided by assets.</t>
  </si>
  <si>
    <t>Slide 17 uses Net Income of $450,000 and Owner's Equity of $1,722,000. Calculate return on equity.</t>
  </si>
  <si>
    <t>Net income divided by owner's equity.</t>
  </si>
  <si>
    <t>Formula Reference Card · M11 Financial Reports</t>
  </si>
  <si>
    <t>Use these patterns after deciding which inputs the scenario requires.</t>
  </si>
  <si>
    <t>Concept</t>
  </si>
  <si>
    <t>Excel Pattern</t>
  </si>
  <si>
    <t>Plain-English Meaning</t>
  </si>
  <si>
    <t>Watch Out For</t>
  </si>
  <si>
    <t>Accounting equation</t>
  </si>
  <si>
    <t>Assets = Liabilities + Equity</t>
  </si>
  <si>
    <t>Checks whether the balance sheet balances.</t>
  </si>
  <si>
    <t>Use the same date for both sides.</t>
  </si>
  <si>
    <t>Total assets</t>
  </si>
  <si>
    <t xml:space="preserve"> =SUM(asset_input_cells)</t>
  </si>
  <si>
    <t>Adds all asset lines.</t>
  </si>
  <si>
    <t>Do not mix assets with liabilities.</t>
  </si>
  <si>
    <t>Owner equity</t>
  </si>
  <si>
    <t xml:space="preserve"> =TotalAssets-TotalLiabilities</t>
  </si>
  <si>
    <t>Shows what remains for owners after debts.</t>
  </si>
  <si>
    <t>Equity is the plug only after assets and liabilities are complete.</t>
  </si>
  <si>
    <t xml:space="preserve"> =Revenue-CostOfServices</t>
  </si>
  <si>
    <t>Profit before operating expenses.</t>
  </si>
  <si>
    <t>Cost of services is subtracted.</t>
  </si>
  <si>
    <t xml:space="preserve"> =GrossProfit-OperatingExpenses</t>
  </si>
  <si>
    <t>Bottom-line profit.</t>
  </si>
  <si>
    <t>Profit is not the same as cash.</t>
  </si>
  <si>
    <t xml:space="preserve"> =OperatingCashFlow+InvestingCashFlow+FinancingCashFlow</t>
  </si>
  <si>
    <t>Combines cash-flow sections.</t>
  </si>
  <si>
    <t>Enter outflows as negative numbers.</t>
  </si>
  <si>
    <t xml:space="preserve"> =OpeningCash+NetChangeInCash</t>
  </si>
  <si>
    <t>Reconciles cash flow to the balance sheet.</t>
  </si>
  <si>
    <t>Should match the balance sheet cash line.</t>
  </si>
  <si>
    <t>Trend percentage</t>
  </si>
  <si>
    <t xml:space="preserve"> =CurrentYearAmount/BaseYearAmount</t>
  </si>
  <si>
    <t>Expresses each year relative to the base year.</t>
  </si>
  <si>
    <t>Base year equals 100%.</t>
  </si>
  <si>
    <t xml:space="preserve"> =NetIncome/NetRevenue</t>
  </si>
  <si>
    <t>Profit earned per dollar of revenue.</t>
  </si>
  <si>
    <t>Format as a percent.</t>
  </si>
  <si>
    <t>Debt to assets</t>
  </si>
  <si>
    <t xml:space="preserve"> =TotalLiabilities/TotalAssets</t>
  </si>
  <si>
    <t>Percent of assets funded by debt.</t>
  </si>
  <si>
    <t>Lower usually means less leverage risk.</t>
  </si>
  <si>
    <t xml:space="preserve"> =NetIncome/OwnerEquity</t>
  </si>
  <si>
    <t>Return generated on owner capital.</t>
  </si>
  <si>
    <t>Compare to industry targets.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</si>
</sst>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"/>
    <numFmt numFmtId="165" formatCode="0.0%"/>
  </numFmts>
  <fonts count="8" x14ac:knownFonts="1">
    <font>
      <sz val="11"/>
      <color theme="1"/>
      <name val="Calibri"/>
      <family val="2"/>
      <scheme val="minor"/>
    </font>
    <font>
      <b/>
      <sz val="18"/>
      <color rgb="FFFFFFFF"/>
      <name val="Aptos Display"/>
    </font>
    <font>
      <i/>
      <sz val="11"/>
      <color rgb="FFFFFFFF"/>
      <name val="Aptos"/>
    </font>
    <font>
      <b/>
      <sz val="11"/>
      <color rgb="FF1A1F2C"/>
      <name val="Aptos"/>
    </font>
    <font>
      <b/>
      <sz val="11"/>
      <color rgb="FFFFFFFF"/>
      <name val="Aptos"/>
    </font>
    <font>
      <sz val="11"/>
      <color rgb="FF1A1F2C"/>
      <name val="Aptos"/>
    </font>
    <font>
      <b/>
      <sz val="10"/>
      <color rgb="FFFFFFFF"/>
      <name val="Aptos"/>
    </font>
    <font>
      <b/>
      <sz val="10"/>
      <color rgb="FF355773"/>
      <name val="Aptos Mono"/>
    </font>
  </fonts>
  <fills count="11">
    <fill>
      <patternFill patternType="none"/>
    </fill>
    <fill>
      <patternFill patternType="gray125"/>
    </fill>
    <fill>
      <patternFill patternType="solid">
        <fgColor rgb="FF0E1116"/>
      </patternFill>
    </fill>
    <fill>
      <patternFill patternType="solid">
        <fgColor rgb="FFF2EEE5"/>
      </patternFill>
    </fill>
    <fill>
      <patternFill patternType="solid">
        <fgColor rgb="FFFFF2CC"/>
      </patternFill>
    </fill>
    <fill>
      <patternFill patternType="solid">
        <fgColor rgb="FF4A7C5E"/>
      </patternFill>
    </fill>
    <fill>
      <patternFill patternType="solid">
        <fgColor rgb="FFB8843D"/>
      </patternFill>
    </fill>
    <fill>
      <patternFill patternType="solid">
        <fgColor rgb="FFDDEFD8"/>
      </patternFill>
    </fill>
    <fill>
      <patternFill patternType="solid">
        <fgColor rgb="FF355773"/>
      </patternFill>
    </fill>
    <fill>
      <patternFill patternType="solid">
        <fgColor rgb="FFFFFFFF"/>
      </patternFill>
    </fill>
    <fill>
      <patternFill patternType="solid">
        <fgColor rgb="FFEAF3EC"/>
      </patternFill>
    </fill>
  </fills>
  <borders count="2">
    <border>
      <left/>
      <right/>
      <top/>
      <bottom/>
      <diagonal/>
    </border>
    <border>
      <left style="thin">
        <color rgb="FFE5E1D6"/>
      </left>
      <right style="thin">
        <color rgb="FFE5E1D6"/>
      </right>
      <top style="thin">
        <color rgb="FFE5E1D6"/>
      </top>
      <bottom style="thin">
        <color rgb="FFE5E1D6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5" fillId="0" borderId="0" xfId="0" applyFont="1" applyAlignment="1">
      <alignment vertical="top" wrapText="1"/>
    </xf>
    <xf numFmtId="0" fontId="0" fillId="4" borderId="1" xfId="0" applyFill="1" applyBorder="1" applyAlignment="1">
      <alignment horizontal="right" vertical="top" wrapText="1"/>
    </xf>
    <xf numFmtId="0" fontId="5" fillId="0" borderId="1" xfId="0" applyFont="1" applyBorder="1" applyAlignment="1">
      <alignment vertical="top" wrapText="1"/>
    </xf>
    <xf numFmtId="0" fontId="3" fillId="4" borderId="1" xfId="0" applyFont="1" applyFill="1" applyBorder="1"/>
    <xf numFmtId="0" fontId="3" fillId="7" borderId="1" xfId="0" applyFont="1" applyFill="1" applyBorder="1"/>
    <xf numFmtId="0" fontId="3" fillId="3" borderId="1" xfId="0" applyFont="1" applyFill="1" applyBorder="1"/>
    <xf numFmtId="0" fontId="6" fillId="8" borderId="1" xfId="0" applyFont="1" applyFill="1" applyBorder="1" applyAlignment="1">
      <alignment horizontal="center" vertical="center" wrapText="1"/>
    </xf>
    <xf numFmtId="164" fontId="0" fillId="4" borderId="1" xfId="0" applyNumberFormat="1" applyFill="1" applyBorder="1" applyAlignment="1">
      <alignment horizontal="right" vertical="top" wrapText="1"/>
    </xf>
    <xf numFmtId="0" fontId="0" fillId="9" borderId="1" xfId="0" applyFill="1" applyBorder="1" applyAlignment="1">
      <alignment vertical="top" wrapText="1"/>
    </xf>
    <xf numFmtId="164" fontId="0" fillId="10" borderId="1" xfId="0" applyNumberFormat="1" applyFill="1" applyBorder="1" applyAlignment="1">
      <alignment horizontal="right" vertical="top" wrapText="1"/>
    </xf>
    <xf numFmtId="0" fontId="0" fillId="7" borderId="1" xfId="0" applyFill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5" fontId="0" fillId="10" borderId="1" xfId="0" applyNumberFormat="1" applyFill="1" applyBorder="1" applyAlignment="1">
      <alignment horizontal="right" vertical="top" wrapText="1"/>
    </xf>
    <xf numFmtId="164" fontId="0" fillId="9" borderId="1" xfId="0" applyNumberFormat="1" applyFill="1" applyBorder="1" applyAlignment="1">
      <alignment vertical="top" wrapText="1"/>
    </xf>
    <xf numFmtId="0" fontId="7" fillId="10" borderId="1" xfId="0" applyFont="1" applyFill="1" applyBorder="1" applyAlignment="1">
      <alignment vertical="top" wrapText="1"/>
    </xf>
    <xf numFmtId="0" fontId="0" fillId="3" borderId="1" xfId="0" applyFill="1" applyBorder="1" applyAlignment="1">
      <alignment vertical="center" wrapText="1"/>
    </xf>
    <xf numFmtId="0" fontId="5" fillId="0" borderId="0" xfId="0" applyFont="1" applyAlignment="1">
      <alignment vertical="top" wrapText="1"/>
    </xf>
    <xf numFmtId="0" fontId="2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4" fillId="6" borderId="0" xfId="0" applyFont="1" applyFill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19"/>
  <sheetViews>
    <sheetView showGridLines="0" tabSelected="1" workbookViewId="0">
      <pane ySplit="6" topLeftCell="A7" activePane="bottomLeft" state="frozen"/>
      <selection pane="bottomLeft" sqref="A1:F1"/>
    </sheetView>
  </sheetViews>
  <sheetFormatPr baseColWidth="10" defaultColWidth="8.83203125" defaultRowHeight="15" x14ac:dyDescent="0.2"/>
  <cols>
    <col min="1" max="1" width="4" customWidth="1"/>
    <col min="2" max="2" width="26" customWidth="1"/>
    <col min="3" max="3" width="58" customWidth="1"/>
    <col min="4" max="4" width="20" customWidth="1"/>
    <col min="5" max="6" width="18" customWidth="1"/>
  </cols>
  <sheetData>
    <row r="1" spans="1:6" ht="28" customHeight="1" x14ac:dyDescent="0.2">
      <c r="A1" s="19" t="s">
        <v>0</v>
      </c>
      <c r="B1" s="17"/>
      <c r="C1" s="17"/>
      <c r="D1" s="17"/>
      <c r="E1" s="17"/>
      <c r="F1" s="17"/>
    </row>
    <row r="2" spans="1:6" ht="22" customHeight="1" x14ac:dyDescent="0.2">
      <c r="A2" s="18" t="s">
        <v>1</v>
      </c>
      <c r="B2" s="17"/>
      <c r="C2" s="17"/>
      <c r="D2" s="17"/>
      <c r="E2" s="17"/>
      <c r="F2" s="17"/>
    </row>
    <row r="3" spans="1:6" x14ac:dyDescent="0.2">
      <c r="A3" s="1"/>
      <c r="B3" s="1"/>
      <c r="C3" s="1"/>
      <c r="D3" s="1"/>
      <c r="E3" s="1"/>
      <c r="F3" s="1"/>
    </row>
    <row r="4" spans="1:6" ht="42" customHeight="1" x14ac:dyDescent="0.2">
      <c r="A4" s="1"/>
      <c r="B4" s="16" t="s">
        <v>2</v>
      </c>
      <c r="C4" s="17"/>
      <c r="D4" s="17"/>
      <c r="E4" s="17"/>
      <c r="F4" s="17"/>
    </row>
    <row r="5" spans="1:6" x14ac:dyDescent="0.2">
      <c r="A5" s="1"/>
      <c r="B5" s="1"/>
      <c r="C5" s="1"/>
      <c r="D5" s="1"/>
      <c r="E5" s="1"/>
      <c r="F5" s="1"/>
    </row>
    <row r="6" spans="1:6" ht="16" x14ac:dyDescent="0.2">
      <c r="A6" s="1"/>
      <c r="B6" s="1" t="s">
        <v>3</v>
      </c>
      <c r="C6" s="2"/>
      <c r="D6" s="1"/>
      <c r="E6" s="1"/>
      <c r="F6" s="1"/>
    </row>
    <row r="7" spans="1:6" ht="16" x14ac:dyDescent="0.2">
      <c r="A7" s="1"/>
      <c r="B7" s="1" t="s">
        <v>4</v>
      </c>
      <c r="C7" s="2"/>
      <c r="D7" s="1"/>
      <c r="E7" s="1"/>
      <c r="F7" s="1"/>
    </row>
    <row r="8" spans="1:6" ht="16" x14ac:dyDescent="0.2">
      <c r="A8" s="1"/>
      <c r="B8" s="1" t="s">
        <v>5</v>
      </c>
      <c r="C8" s="1" t="s">
        <v>6</v>
      </c>
      <c r="D8" s="1"/>
      <c r="E8" s="1"/>
      <c r="F8" s="1"/>
    </row>
    <row r="9" spans="1:6" x14ac:dyDescent="0.2">
      <c r="A9" s="1"/>
      <c r="B9" s="1"/>
      <c r="C9" s="1"/>
      <c r="D9" s="1"/>
      <c r="E9" s="1"/>
      <c r="F9" s="1"/>
    </row>
    <row r="10" spans="1:6" x14ac:dyDescent="0.2">
      <c r="A10" s="1"/>
      <c r="B10" s="21" t="s">
        <v>7</v>
      </c>
      <c r="C10" s="17"/>
      <c r="D10" s="17"/>
      <c r="E10" s="17"/>
      <c r="F10" s="1"/>
    </row>
    <row r="11" spans="1:6" ht="48" customHeight="1" x14ac:dyDescent="0.2">
      <c r="A11" s="1"/>
      <c r="B11" s="3" t="s">
        <v>8</v>
      </c>
      <c r="C11" s="3" t="s">
        <v>9</v>
      </c>
      <c r="D11" s="1"/>
      <c r="E11" s="1"/>
      <c r="F11" s="1"/>
    </row>
    <row r="12" spans="1:6" ht="48" customHeight="1" x14ac:dyDescent="0.2">
      <c r="A12" s="1"/>
      <c r="B12" s="3" t="s">
        <v>10</v>
      </c>
      <c r="C12" s="3" t="s">
        <v>11</v>
      </c>
      <c r="D12" s="1"/>
      <c r="E12" s="1"/>
      <c r="F12" s="1"/>
    </row>
    <row r="13" spans="1:6" ht="48" customHeight="1" x14ac:dyDescent="0.2">
      <c r="A13" s="1"/>
      <c r="B13" s="3" t="s">
        <v>12</v>
      </c>
      <c r="C13" s="3" t="s">
        <v>13</v>
      </c>
      <c r="D13" s="1"/>
      <c r="E13" s="1"/>
      <c r="F13" s="1"/>
    </row>
    <row r="14" spans="1:6" x14ac:dyDescent="0.2">
      <c r="A14" s="1"/>
      <c r="B14" s="1"/>
      <c r="C14" s="1"/>
      <c r="D14" s="1"/>
      <c r="E14" s="1"/>
      <c r="F14" s="1"/>
    </row>
    <row r="15" spans="1:6" x14ac:dyDescent="0.2">
      <c r="A15" s="1"/>
      <c r="B15" s="1"/>
      <c r="C15" s="1"/>
      <c r="D15" s="1"/>
      <c r="E15" s="1"/>
      <c r="F15" s="1"/>
    </row>
    <row r="16" spans="1:6" x14ac:dyDescent="0.2">
      <c r="A16" s="1"/>
      <c r="B16" s="20" t="s">
        <v>14</v>
      </c>
      <c r="C16" s="17"/>
      <c r="D16" s="17"/>
      <c r="E16" s="17"/>
      <c r="F16" s="1"/>
    </row>
    <row r="17" spans="1:6" ht="34" customHeight="1" x14ac:dyDescent="0.2">
      <c r="A17" s="1"/>
      <c r="B17" s="4" t="s">
        <v>15</v>
      </c>
      <c r="C17" s="3" t="s">
        <v>16</v>
      </c>
      <c r="D17" s="1"/>
      <c r="E17" s="1"/>
      <c r="F17" s="1"/>
    </row>
    <row r="18" spans="1:6" ht="34" customHeight="1" x14ac:dyDescent="0.2">
      <c r="A18" s="1"/>
      <c r="B18" s="5" t="s">
        <v>17</v>
      </c>
      <c r="C18" s="3" t="s">
        <v>18</v>
      </c>
      <c r="D18" s="1"/>
      <c r="E18" s="1"/>
      <c r="F18" s="1"/>
    </row>
    <row r="19" spans="1:6" ht="34" customHeight="1" x14ac:dyDescent="0.2">
      <c r="A19" s="1"/>
      <c r="B19" s="6" t="s">
        <v>19</v>
      </c>
      <c r="C19" s="3" t="s">
        <v>20</v>
      </c>
      <c r="D19" s="1"/>
      <c r="E19" s="1"/>
      <c r="F19" s="1"/>
    </row>
  </sheetData>
  <mergeCells count="5">
    <mergeCell ref="B4:F4"/>
    <mergeCell ref="A2:F2"/>
    <mergeCell ref="A1:F1"/>
    <mergeCell ref="B16:E16"/>
    <mergeCell ref="B10:E10"/>
  </mergeCells>
  <pageMargins left="0.75" right="0.75" top="1" bottom="1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17"/>
  <sheetViews>
    <sheetView showGridLines="0" workbookViewId="0">
      <pane ySplit="6" topLeftCell="A7" activePane="bottomLeft" state="frozen"/>
      <selection pane="bottomLeft" sqref="A1:K1"/>
    </sheetView>
  </sheetViews>
  <sheetFormatPr baseColWidth="10" defaultColWidth="8.83203125" defaultRowHeight="15" x14ac:dyDescent="0.2"/>
  <cols>
    <col min="1" max="2" width="10" customWidth="1"/>
    <col min="3" max="3" width="30.5" customWidth="1"/>
    <col min="4" max="8" width="15" customWidth="1"/>
    <col min="9" max="9" width="18" customWidth="1"/>
    <col min="10" max="10" width="24" customWidth="1"/>
    <col min="11" max="11" width="48.6640625" customWidth="1"/>
  </cols>
  <sheetData>
    <row r="1" spans="1:11" ht="28" customHeight="1" x14ac:dyDescent="0.2">
      <c r="A1" s="19" t="s">
        <v>21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22" customHeight="1" x14ac:dyDescent="0.2">
      <c r="A2" s="18" t="s">
        <v>22</v>
      </c>
      <c r="B2" s="17"/>
      <c r="C2" s="17"/>
      <c r="D2" s="17"/>
      <c r="E2" s="17"/>
      <c r="F2" s="17"/>
      <c r="G2" s="17"/>
      <c r="H2" s="17"/>
      <c r="I2" s="17"/>
      <c r="J2" s="17"/>
      <c r="K2" s="17"/>
    </row>
    <row r="3" spans="1:11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34" customHeight="1" x14ac:dyDescent="0.2">
      <c r="A4" s="16" t="s">
        <v>23</v>
      </c>
      <c r="B4" s="17"/>
      <c r="C4" s="17"/>
      <c r="D4" s="17"/>
      <c r="E4" s="17"/>
      <c r="F4" s="17"/>
      <c r="G4" s="17"/>
      <c r="H4" s="17"/>
      <c r="I4" s="17"/>
      <c r="J4" s="17"/>
      <c r="K4" s="17"/>
    </row>
    <row r="5" spans="1:11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</row>
    <row r="6" spans="1:11" ht="30" x14ac:dyDescent="0.2">
      <c r="A6" s="7" t="s">
        <v>24</v>
      </c>
      <c r="B6" s="7" t="s">
        <v>25</v>
      </c>
      <c r="C6" s="7" t="s">
        <v>26</v>
      </c>
      <c r="D6" s="7" t="s">
        <v>27</v>
      </c>
      <c r="E6" s="7" t="s">
        <v>28</v>
      </c>
      <c r="F6" s="7" t="s">
        <v>29</v>
      </c>
      <c r="G6" s="7" t="s">
        <v>30</v>
      </c>
      <c r="H6" s="7" t="s">
        <v>31</v>
      </c>
      <c r="I6" s="7" t="s">
        <v>32</v>
      </c>
      <c r="J6" s="7" t="s">
        <v>33</v>
      </c>
      <c r="K6" s="7" t="s">
        <v>34</v>
      </c>
    </row>
    <row r="7" spans="1:11" ht="42" customHeight="1" x14ac:dyDescent="0.2">
      <c r="A7" s="3" t="s">
        <v>35</v>
      </c>
      <c r="B7" s="3" t="s">
        <v>36</v>
      </c>
      <c r="C7" s="3" t="s">
        <v>37</v>
      </c>
      <c r="D7" s="8"/>
      <c r="E7" s="8"/>
      <c r="F7" s="8"/>
      <c r="G7" s="8"/>
      <c r="H7" s="9"/>
      <c r="I7" s="10"/>
      <c r="J7" s="11" t="str">
        <f>IF(COUNTA(D7:G7,I7)&lt;5,"",IFERROR(IF(ABS(I7-(SUM(D7:G7)))&lt;1,"Correct","Check your input cells and formula"),"Check your input cells and formula"))</f>
        <v/>
      </c>
      <c r="K7" s="12" t="s">
        <v>38</v>
      </c>
    </row>
    <row r="8" spans="1:11" ht="42" customHeight="1" x14ac:dyDescent="0.2">
      <c r="A8" s="3" t="s">
        <v>35</v>
      </c>
      <c r="B8" s="3" t="s">
        <v>36</v>
      </c>
      <c r="C8" s="3" t="s">
        <v>39</v>
      </c>
      <c r="D8" s="8"/>
      <c r="E8" s="8"/>
      <c r="F8" s="8"/>
      <c r="G8" s="8"/>
      <c r="H8" s="9"/>
      <c r="I8" s="10"/>
      <c r="J8" s="11" t="str">
        <f>IF(COUNTA(D8:G8,I8)&lt;5,"",IFERROR(IF(ABS(I8-(SUM(D8:G8)))&lt;1,"Correct","Check your input cells and formula"),"Check your input cells and formula"))</f>
        <v/>
      </c>
      <c r="K8" s="12" t="s">
        <v>40</v>
      </c>
    </row>
    <row r="9" spans="1:11" ht="42" customHeight="1" x14ac:dyDescent="0.2">
      <c r="A9" s="3" t="s">
        <v>41</v>
      </c>
      <c r="B9" s="3" t="s">
        <v>42</v>
      </c>
      <c r="C9" s="3" t="s">
        <v>43</v>
      </c>
      <c r="D9" s="8"/>
      <c r="E9" s="8"/>
      <c r="F9" s="9"/>
      <c r="G9" s="9"/>
      <c r="H9" s="9"/>
      <c r="I9" s="10"/>
      <c r="J9" s="11" t="str">
        <f>IF(COUNTA(D9:E9,I9)&lt;3,"",IFERROR(IF(ABS(I9-(D9-E9))&lt;1,"Correct","Check your input cells and formula"),"Check your input cells and formula"))</f>
        <v/>
      </c>
      <c r="K9" s="12" t="s">
        <v>44</v>
      </c>
    </row>
    <row r="10" spans="1:11" ht="42" customHeight="1" x14ac:dyDescent="0.2">
      <c r="A10" s="3" t="s">
        <v>41</v>
      </c>
      <c r="B10" s="3" t="s">
        <v>42</v>
      </c>
      <c r="C10" s="3" t="s">
        <v>45</v>
      </c>
      <c r="D10" s="8"/>
      <c r="E10" s="8"/>
      <c r="F10" s="9"/>
      <c r="G10" s="9"/>
      <c r="H10" s="9"/>
      <c r="I10" s="10"/>
      <c r="J10" s="11" t="str">
        <f>IF(COUNTA(D10:E10,I10)&lt;3,"",IFERROR(IF(ABS(I10-(D10-E10))&lt;1,"Correct","Check your input cells and formula"),"Check your input cells and formula"))</f>
        <v/>
      </c>
      <c r="K10" s="12" t="s">
        <v>46</v>
      </c>
    </row>
    <row r="11" spans="1:11" ht="42" customHeight="1" x14ac:dyDescent="0.2">
      <c r="A11" s="3" t="s">
        <v>47</v>
      </c>
      <c r="B11" s="3" t="s">
        <v>48</v>
      </c>
      <c r="C11" s="3" t="s">
        <v>49</v>
      </c>
      <c r="D11" s="8"/>
      <c r="E11" s="8"/>
      <c r="F11" s="8"/>
      <c r="G11" s="9"/>
      <c r="H11" s="9"/>
      <c r="I11" s="10"/>
      <c r="J11" s="11" t="str">
        <f>IF(COUNTA(D11:F11,I11)&lt;4,"",IFERROR(IF(ABS(I11-(SUM(D11:F11)))&lt;1,"Correct","Check your input cells and formula"),"Check your input cells and formula"))</f>
        <v/>
      </c>
      <c r="K11" s="12" t="s">
        <v>50</v>
      </c>
    </row>
    <row r="12" spans="1:11" ht="42" customHeight="1" x14ac:dyDescent="0.2">
      <c r="A12" s="3" t="s">
        <v>47</v>
      </c>
      <c r="B12" s="3" t="s">
        <v>48</v>
      </c>
      <c r="C12" s="3" t="s">
        <v>51</v>
      </c>
      <c r="D12" s="8"/>
      <c r="E12" s="8"/>
      <c r="F12" s="9"/>
      <c r="G12" s="9"/>
      <c r="H12" s="9"/>
      <c r="I12" s="10"/>
      <c r="J12" s="11" t="str">
        <f>IF(COUNTA(D12:E12,I12)&lt;3,"",IFERROR(IF(ABS(I12-(D12+E12))&lt;1,"Correct","Check your input cells and formula"),"Check your input cells and formula"))</f>
        <v/>
      </c>
      <c r="K12" s="12" t="s">
        <v>52</v>
      </c>
    </row>
    <row r="13" spans="1:11" ht="42" customHeight="1" x14ac:dyDescent="0.2">
      <c r="A13" s="3" t="s">
        <v>53</v>
      </c>
      <c r="B13" s="3" t="s">
        <v>54</v>
      </c>
      <c r="C13" s="3" t="s">
        <v>55</v>
      </c>
      <c r="D13" s="8"/>
      <c r="E13" s="8"/>
      <c r="F13" s="9"/>
      <c r="G13" s="9"/>
      <c r="H13" s="9"/>
      <c r="I13" s="13"/>
      <c r="J13" s="11" t="str">
        <f>IF(COUNTA(D13:E13,I13)&lt;3,"",IFERROR(IF(ABS(I13-(E13/D13))&lt;0.001,"Correct","Check your input cells and formula"),"Check your input cells and formula"))</f>
        <v/>
      </c>
      <c r="K13" s="12" t="s">
        <v>56</v>
      </c>
    </row>
    <row r="14" spans="1:11" ht="42" customHeight="1" x14ac:dyDescent="0.2">
      <c r="A14" s="3" t="s">
        <v>53</v>
      </c>
      <c r="B14" s="3" t="s">
        <v>54</v>
      </c>
      <c r="C14" s="3" t="s">
        <v>57</v>
      </c>
      <c r="D14" s="8"/>
      <c r="E14" s="8"/>
      <c r="F14" s="9"/>
      <c r="G14" s="9"/>
      <c r="H14" s="9"/>
      <c r="I14" s="13"/>
      <c r="J14" s="11" t="str">
        <f>IF(COUNTA(D14:E14,I14)&lt;3,"",IFERROR(IF(ABS(I14-(E14/D14))&lt;0.001,"Correct","Check your input cells and formula"),"Check your input cells and formula"))</f>
        <v/>
      </c>
      <c r="K14" s="12" t="s">
        <v>58</v>
      </c>
    </row>
    <row r="15" spans="1:11" ht="42" customHeight="1" x14ac:dyDescent="0.2">
      <c r="A15" s="3" t="s">
        <v>59</v>
      </c>
      <c r="B15" s="3" t="s">
        <v>60</v>
      </c>
      <c r="C15" s="3" t="s">
        <v>61</v>
      </c>
      <c r="D15" s="8"/>
      <c r="E15" s="8"/>
      <c r="F15" s="9"/>
      <c r="G15" s="9"/>
      <c r="H15" s="9"/>
      <c r="I15" s="13"/>
      <c r="J15" s="11" t="str">
        <f>IF(COUNTA(D15:E15,I15)&lt;3,"",IFERROR(IF(ABS(I15-(D15/E15))&lt;0.001,"Correct","Check your input cells and formula"),"Check your input cells and formula"))</f>
        <v/>
      </c>
      <c r="K15" s="12" t="s">
        <v>62</v>
      </c>
    </row>
    <row r="16" spans="1:11" ht="42" customHeight="1" x14ac:dyDescent="0.2">
      <c r="A16" s="3" t="s">
        <v>59</v>
      </c>
      <c r="B16" s="3" t="s">
        <v>60</v>
      </c>
      <c r="C16" s="3" t="s">
        <v>63</v>
      </c>
      <c r="D16" s="8"/>
      <c r="E16" s="8"/>
      <c r="F16" s="9"/>
      <c r="G16" s="9"/>
      <c r="H16" s="9"/>
      <c r="I16" s="13"/>
      <c r="J16" s="11" t="str">
        <f>IF(COUNTA(D16:E16,I16)&lt;3,"",IFERROR(IF(ABS(I16-(D16/E16))&lt;0.001,"Correct","Check your input cells and formula"),"Check your input cells and formula"))</f>
        <v/>
      </c>
      <c r="K16" s="12" t="s">
        <v>64</v>
      </c>
    </row>
    <row r="17" spans="1:11" ht="42" customHeight="1" x14ac:dyDescent="0.2">
      <c r="A17" s="3" t="s">
        <v>59</v>
      </c>
      <c r="B17" s="3" t="s">
        <v>60</v>
      </c>
      <c r="C17" s="3" t="s">
        <v>65</v>
      </c>
      <c r="D17" s="8"/>
      <c r="E17" s="8"/>
      <c r="F17" s="9"/>
      <c r="G17" s="9"/>
      <c r="H17" s="9"/>
      <c r="I17" s="13"/>
      <c r="J17" s="11" t="str">
        <f>IF(COUNTA(D17:E17,I17)&lt;3,"",IFERROR(IF(ABS(I17-(D17/E17))&lt;0.001,"Correct","Check your input cells and formula"),"Check your input cells and formula"))</f>
        <v/>
      </c>
      <c r="K17" s="12" t="s">
        <v>66</v>
      </c>
    </row>
  </sheetData>
  <mergeCells count="3">
    <mergeCell ref="A2:K2"/>
    <mergeCell ref="A1:K1"/>
    <mergeCell ref="A4:K4"/>
  </mergeCells>
  <pageMargins left="0.75" right="0.75" top="1" bottom="1" header="0.5" footer="0.5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21"/>
  <sheetViews>
    <sheetView showGridLines="0" workbookViewId="0">
      <pane ySplit="6" topLeftCell="A7" activePane="bottomLeft" state="frozen"/>
      <selection pane="bottomLeft" sqref="A1:J1"/>
    </sheetView>
  </sheetViews>
  <sheetFormatPr baseColWidth="10" defaultColWidth="8.83203125" defaultRowHeight="15" x14ac:dyDescent="0.2"/>
  <cols>
    <col min="1" max="1" width="6" customWidth="1"/>
    <col min="2" max="2" width="64" customWidth="1"/>
    <col min="3" max="7" width="14" customWidth="1"/>
    <col min="8" max="8" width="18" customWidth="1"/>
    <col min="9" max="9" width="13" customWidth="1"/>
    <col min="10" max="10" width="28" customWidth="1"/>
  </cols>
  <sheetData>
    <row r="1" spans="1:10" ht="28" customHeight="1" x14ac:dyDescent="0.2">
      <c r="A1" s="19" t="s">
        <v>67</v>
      </c>
      <c r="B1" s="17"/>
      <c r="C1" s="17"/>
      <c r="D1" s="17"/>
      <c r="E1" s="17"/>
      <c r="F1" s="17"/>
      <c r="G1" s="17"/>
      <c r="H1" s="17"/>
      <c r="I1" s="17"/>
      <c r="J1" s="17"/>
    </row>
    <row r="2" spans="1:10" ht="22" customHeight="1" x14ac:dyDescent="0.2">
      <c r="A2" s="18" t="s">
        <v>68</v>
      </c>
      <c r="B2" s="17"/>
      <c r="C2" s="17"/>
      <c r="D2" s="17"/>
      <c r="E2" s="17"/>
      <c r="F2" s="17"/>
      <c r="G2" s="17"/>
      <c r="H2" s="17"/>
      <c r="I2" s="17"/>
      <c r="J2" s="17"/>
    </row>
    <row r="3" spans="1:10" x14ac:dyDescent="0.2">
      <c r="A3" s="1"/>
      <c r="B3" s="1"/>
      <c r="C3" s="1"/>
      <c r="D3" s="1"/>
      <c r="E3" s="1"/>
      <c r="F3" s="1"/>
      <c r="G3" s="1"/>
      <c r="H3" s="1"/>
      <c r="I3" s="1"/>
      <c r="J3" s="1"/>
    </row>
    <row r="4" spans="1:10" ht="34" customHeight="1" x14ac:dyDescent="0.2">
      <c r="A4" s="22" t="s">
        <v>69</v>
      </c>
      <c r="B4" s="17"/>
      <c r="C4" s="17"/>
      <c r="D4" s="17"/>
      <c r="E4" s="17"/>
      <c r="F4" s="17"/>
      <c r="G4" s="17"/>
      <c r="H4" s="17"/>
      <c r="I4" s="17"/>
      <c r="J4" s="17"/>
    </row>
    <row r="5" spans="1:10" x14ac:dyDescent="0.2">
      <c r="A5" s="1"/>
      <c r="B5" s="1"/>
      <c r="C5" s="1"/>
      <c r="D5" s="1"/>
      <c r="E5" s="1"/>
      <c r="F5" s="1"/>
      <c r="G5" s="1"/>
      <c r="H5" s="1"/>
      <c r="I5" s="1"/>
      <c r="J5" s="1"/>
    </row>
    <row r="6" spans="1:10" x14ac:dyDescent="0.2">
      <c r="A6" s="7" t="s">
        <v>70</v>
      </c>
      <c r="B6" s="7" t="s">
        <v>71</v>
      </c>
      <c r="C6" s="7" t="s">
        <v>27</v>
      </c>
      <c r="D6" s="7" t="s">
        <v>28</v>
      </c>
      <c r="E6" s="7" t="s">
        <v>29</v>
      </c>
      <c r="F6" s="7" t="s">
        <v>30</v>
      </c>
      <c r="G6" s="7" t="s">
        <v>31</v>
      </c>
      <c r="H6" s="7" t="s">
        <v>72</v>
      </c>
      <c r="I6" s="7" t="s">
        <v>73</v>
      </c>
      <c r="J6" s="7" t="s">
        <v>34</v>
      </c>
    </row>
    <row r="7" spans="1:10" ht="55" customHeight="1" x14ac:dyDescent="0.2">
      <c r="A7" s="3">
        <v>1</v>
      </c>
      <c r="B7" s="3" t="s">
        <v>74</v>
      </c>
      <c r="C7" s="8"/>
      <c r="D7" s="8"/>
      <c r="E7" s="8"/>
      <c r="F7" s="8"/>
      <c r="G7" s="9"/>
      <c r="H7" s="10"/>
      <c r="I7" s="12" t="s">
        <v>75</v>
      </c>
      <c r="J7" s="12" t="s">
        <v>76</v>
      </c>
    </row>
    <row r="8" spans="1:10" ht="55" customHeight="1" x14ac:dyDescent="0.2">
      <c r="A8" s="3">
        <v>2</v>
      </c>
      <c r="B8" s="3" t="s">
        <v>77</v>
      </c>
      <c r="C8" s="8"/>
      <c r="D8" s="8"/>
      <c r="E8" s="8"/>
      <c r="F8" s="9"/>
      <c r="G8" s="9"/>
      <c r="H8" s="10"/>
      <c r="I8" s="12" t="s">
        <v>75</v>
      </c>
      <c r="J8" s="12" t="s">
        <v>78</v>
      </c>
    </row>
    <row r="9" spans="1:10" ht="55" customHeight="1" x14ac:dyDescent="0.2">
      <c r="A9" s="3">
        <v>3</v>
      </c>
      <c r="B9" s="3" t="s">
        <v>79</v>
      </c>
      <c r="C9" s="8"/>
      <c r="D9" s="8"/>
      <c r="E9" s="9"/>
      <c r="F9" s="9"/>
      <c r="G9" s="9"/>
      <c r="H9" s="10"/>
      <c r="I9" s="12" t="s">
        <v>75</v>
      </c>
      <c r="J9" s="12" t="s">
        <v>80</v>
      </c>
    </row>
    <row r="10" spans="1:10" ht="55" customHeight="1" x14ac:dyDescent="0.2">
      <c r="A10" s="3">
        <v>4</v>
      </c>
      <c r="B10" s="3" t="s">
        <v>81</v>
      </c>
      <c r="C10" s="8"/>
      <c r="D10" s="8"/>
      <c r="E10" s="8"/>
      <c r="F10" s="9"/>
      <c r="G10" s="9"/>
      <c r="H10" s="10"/>
      <c r="I10" s="12" t="s">
        <v>75</v>
      </c>
      <c r="J10" s="12" t="s">
        <v>82</v>
      </c>
    </row>
    <row r="11" spans="1:10" ht="55" customHeight="1" x14ac:dyDescent="0.2">
      <c r="A11" s="3">
        <v>5</v>
      </c>
      <c r="B11" s="3" t="s">
        <v>83</v>
      </c>
      <c r="C11" s="8"/>
      <c r="D11" s="8"/>
      <c r="E11" s="9"/>
      <c r="F11" s="9"/>
      <c r="G11" s="9"/>
      <c r="H11" s="10"/>
      <c r="I11" s="12" t="s">
        <v>75</v>
      </c>
      <c r="J11" s="12" t="s">
        <v>84</v>
      </c>
    </row>
    <row r="12" spans="1:10" ht="55" customHeight="1" x14ac:dyDescent="0.2">
      <c r="A12" s="3">
        <v>6</v>
      </c>
      <c r="B12" s="3" t="s">
        <v>85</v>
      </c>
      <c r="C12" s="8"/>
      <c r="D12" s="8"/>
      <c r="E12" s="9"/>
      <c r="F12" s="9"/>
      <c r="G12" s="9"/>
      <c r="H12" s="10"/>
      <c r="I12" s="12" t="s">
        <v>75</v>
      </c>
      <c r="J12" s="12" t="s">
        <v>86</v>
      </c>
    </row>
    <row r="13" spans="1:10" ht="55" customHeight="1" x14ac:dyDescent="0.2">
      <c r="A13" s="3">
        <v>7</v>
      </c>
      <c r="B13" s="3" t="s">
        <v>87</v>
      </c>
      <c r="C13" s="8"/>
      <c r="D13" s="8"/>
      <c r="E13" s="8"/>
      <c r="F13" s="9"/>
      <c r="G13" s="9"/>
      <c r="H13" s="10"/>
      <c r="I13" s="12" t="s">
        <v>75</v>
      </c>
      <c r="J13" s="12" t="s">
        <v>88</v>
      </c>
    </row>
    <row r="14" spans="1:10" ht="55" customHeight="1" x14ac:dyDescent="0.2">
      <c r="A14" s="3">
        <v>8</v>
      </c>
      <c r="B14" s="3" t="s">
        <v>89</v>
      </c>
      <c r="C14" s="8"/>
      <c r="D14" s="8"/>
      <c r="E14" s="9"/>
      <c r="F14" s="9"/>
      <c r="G14" s="9"/>
      <c r="H14" s="10"/>
      <c r="I14" s="12" t="s">
        <v>75</v>
      </c>
      <c r="J14" s="12" t="s">
        <v>90</v>
      </c>
    </row>
    <row r="15" spans="1:10" ht="55" customHeight="1" x14ac:dyDescent="0.2">
      <c r="A15" s="3">
        <v>9</v>
      </c>
      <c r="B15" s="3" t="s">
        <v>91</v>
      </c>
      <c r="C15" s="8"/>
      <c r="D15" s="8"/>
      <c r="E15" s="14"/>
      <c r="F15" s="14"/>
      <c r="G15" s="14"/>
      <c r="H15" s="13"/>
      <c r="I15" s="12" t="s">
        <v>92</v>
      </c>
      <c r="J15" s="12" t="s">
        <v>56</v>
      </c>
    </row>
    <row r="16" spans="1:10" ht="55" customHeight="1" x14ac:dyDescent="0.2">
      <c r="A16" s="3">
        <v>10</v>
      </c>
      <c r="B16" s="3" t="s">
        <v>93</v>
      </c>
      <c r="C16" s="8"/>
      <c r="D16" s="8"/>
      <c r="E16" s="14"/>
      <c r="F16" s="14"/>
      <c r="G16" s="14"/>
      <c r="H16" s="13"/>
      <c r="I16" s="12" t="s">
        <v>92</v>
      </c>
      <c r="J16" s="12" t="s">
        <v>56</v>
      </c>
    </row>
    <row r="17" spans="1:10" ht="55" customHeight="1" x14ac:dyDescent="0.2">
      <c r="A17" s="3">
        <v>11</v>
      </c>
      <c r="B17" s="3" t="s">
        <v>94</v>
      </c>
      <c r="C17" s="8"/>
      <c r="D17" s="8"/>
      <c r="E17" s="14"/>
      <c r="F17" s="14"/>
      <c r="G17" s="14"/>
      <c r="H17" s="13"/>
      <c r="I17" s="12" t="s">
        <v>92</v>
      </c>
      <c r="J17" s="12" t="s">
        <v>56</v>
      </c>
    </row>
    <row r="18" spans="1:10" ht="55" customHeight="1" x14ac:dyDescent="0.2">
      <c r="A18" s="3">
        <v>12</v>
      </c>
      <c r="B18" s="3" t="s">
        <v>95</v>
      </c>
      <c r="C18" s="8"/>
      <c r="D18" s="8"/>
      <c r="E18" s="14"/>
      <c r="F18" s="14"/>
      <c r="G18" s="14"/>
      <c r="H18" s="13"/>
      <c r="I18" s="12" t="s">
        <v>92</v>
      </c>
      <c r="J18" s="12" t="s">
        <v>56</v>
      </c>
    </row>
    <row r="19" spans="1:10" ht="55" customHeight="1" x14ac:dyDescent="0.2">
      <c r="A19" s="3">
        <v>13</v>
      </c>
      <c r="B19" s="3" t="s">
        <v>96</v>
      </c>
      <c r="C19" s="8"/>
      <c r="D19" s="8"/>
      <c r="E19" s="14"/>
      <c r="F19" s="14"/>
      <c r="G19" s="14"/>
      <c r="H19" s="13"/>
      <c r="I19" s="12" t="s">
        <v>92</v>
      </c>
      <c r="J19" s="12" t="s">
        <v>97</v>
      </c>
    </row>
    <row r="20" spans="1:10" ht="55" customHeight="1" x14ac:dyDescent="0.2">
      <c r="A20" s="3">
        <v>14</v>
      </c>
      <c r="B20" s="3" t="s">
        <v>98</v>
      </c>
      <c r="C20" s="8"/>
      <c r="D20" s="8"/>
      <c r="E20" s="14"/>
      <c r="F20" s="14"/>
      <c r="G20" s="14"/>
      <c r="H20" s="13"/>
      <c r="I20" s="12" t="s">
        <v>92</v>
      </c>
      <c r="J20" s="12" t="s">
        <v>99</v>
      </c>
    </row>
    <row r="21" spans="1:10" ht="55" customHeight="1" x14ac:dyDescent="0.2">
      <c r="A21" s="3">
        <v>15</v>
      </c>
      <c r="B21" s="3" t="s">
        <v>100</v>
      </c>
      <c r="C21" s="8"/>
      <c r="D21" s="8"/>
      <c r="E21" s="14"/>
      <c r="F21" s="14"/>
      <c r="G21" s="14"/>
      <c r="H21" s="13"/>
      <c r="I21" s="12" t="s">
        <v>92</v>
      </c>
      <c r="J21" s="12" t="s">
        <v>101</v>
      </c>
    </row>
  </sheetData>
  <mergeCells count="3">
    <mergeCell ref="A1:J1"/>
    <mergeCell ref="A4:J4"/>
    <mergeCell ref="A2:J2"/>
  </mergeCells>
  <pageMargins left="0.75" right="0.75" top="1" bottom="1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D16"/>
  <sheetViews>
    <sheetView showGridLines="0" workbookViewId="0">
      <pane ySplit="6" topLeftCell="A7" activePane="bottomLeft" state="frozen"/>
      <selection pane="bottomLeft" sqref="A1:D1"/>
    </sheetView>
  </sheetViews>
  <sheetFormatPr baseColWidth="10" defaultColWidth="8.83203125" defaultRowHeight="15" x14ac:dyDescent="0.2"/>
  <cols>
    <col min="1" max="1" width="28" customWidth="1"/>
    <col min="2" max="2" width="65.5" customWidth="1"/>
    <col min="3" max="3" width="46" customWidth="1"/>
    <col min="4" max="4" width="40" customWidth="1"/>
  </cols>
  <sheetData>
    <row r="1" spans="1:4" ht="28" customHeight="1" x14ac:dyDescent="0.2">
      <c r="A1" s="19" t="s">
        <v>102</v>
      </c>
      <c r="B1" s="17"/>
      <c r="C1" s="17"/>
      <c r="D1" s="17"/>
    </row>
    <row r="2" spans="1:4" ht="22" customHeight="1" x14ac:dyDescent="0.2">
      <c r="A2" s="18" t="s">
        <v>103</v>
      </c>
      <c r="B2" s="17"/>
      <c r="C2" s="17"/>
      <c r="D2" s="17"/>
    </row>
    <row r="3" spans="1:4" x14ac:dyDescent="0.2">
      <c r="A3" s="1"/>
      <c r="B3" s="1"/>
      <c r="C3" s="1"/>
      <c r="D3" s="1"/>
    </row>
    <row r="4" spans="1:4" x14ac:dyDescent="0.2">
      <c r="A4" s="1"/>
      <c r="B4" s="1"/>
      <c r="C4" s="1"/>
      <c r="D4" s="1"/>
    </row>
    <row r="5" spans="1:4" x14ac:dyDescent="0.2">
      <c r="A5" s="7" t="s">
        <v>104</v>
      </c>
      <c r="B5" s="7" t="s">
        <v>105</v>
      </c>
      <c r="C5" s="7" t="s">
        <v>106</v>
      </c>
      <c r="D5" s="7" t="s">
        <v>107</v>
      </c>
    </row>
    <row r="6" spans="1:4" ht="42" customHeight="1" x14ac:dyDescent="0.2">
      <c r="A6" s="3" t="s">
        <v>108</v>
      </c>
      <c r="B6" s="15" t="s">
        <v>109</v>
      </c>
      <c r="C6" s="3" t="s">
        <v>110</v>
      </c>
      <c r="D6" s="12" t="s">
        <v>111</v>
      </c>
    </row>
    <row r="7" spans="1:4" ht="42" customHeight="1" x14ac:dyDescent="0.2">
      <c r="A7" s="3" t="s">
        <v>112</v>
      </c>
      <c r="B7" s="15" t="s">
        <v>113</v>
      </c>
      <c r="C7" s="3" t="s">
        <v>114</v>
      </c>
      <c r="D7" s="12" t="s">
        <v>115</v>
      </c>
    </row>
    <row r="8" spans="1:4" ht="42" customHeight="1" x14ac:dyDescent="0.2">
      <c r="A8" s="3" t="s">
        <v>116</v>
      </c>
      <c r="B8" s="15" t="s">
        <v>117</v>
      </c>
      <c r="C8" s="3" t="s">
        <v>118</v>
      </c>
      <c r="D8" s="12" t="s">
        <v>119</v>
      </c>
    </row>
    <row r="9" spans="1:4" ht="42" customHeight="1" x14ac:dyDescent="0.2">
      <c r="A9" s="3" t="s">
        <v>43</v>
      </c>
      <c r="B9" s="15" t="s">
        <v>120</v>
      </c>
      <c r="C9" s="3" t="s">
        <v>121</v>
      </c>
      <c r="D9" s="12" t="s">
        <v>122</v>
      </c>
    </row>
    <row r="10" spans="1:4" ht="42" customHeight="1" x14ac:dyDescent="0.2">
      <c r="A10" s="3" t="s">
        <v>45</v>
      </c>
      <c r="B10" s="15" t="s">
        <v>123</v>
      </c>
      <c r="C10" s="3" t="s">
        <v>124</v>
      </c>
      <c r="D10" s="12" t="s">
        <v>125</v>
      </c>
    </row>
    <row r="11" spans="1:4" ht="42" customHeight="1" x14ac:dyDescent="0.2">
      <c r="A11" s="3" t="s">
        <v>49</v>
      </c>
      <c r="B11" s="15" t="s">
        <v>126</v>
      </c>
      <c r="C11" s="3" t="s">
        <v>127</v>
      </c>
      <c r="D11" s="12" t="s">
        <v>128</v>
      </c>
    </row>
    <row r="12" spans="1:4" ht="42" customHeight="1" x14ac:dyDescent="0.2">
      <c r="A12" s="3" t="s">
        <v>51</v>
      </c>
      <c r="B12" s="15" t="s">
        <v>129</v>
      </c>
      <c r="C12" s="3" t="s">
        <v>130</v>
      </c>
      <c r="D12" s="12" t="s">
        <v>131</v>
      </c>
    </row>
    <row r="13" spans="1:4" ht="42" customHeight="1" x14ac:dyDescent="0.2">
      <c r="A13" s="3" t="s">
        <v>132</v>
      </c>
      <c r="B13" s="15" t="s">
        <v>133</v>
      </c>
      <c r="C13" s="3" t="s">
        <v>134</v>
      </c>
      <c r="D13" s="12" t="s">
        <v>135</v>
      </c>
    </row>
    <row r="14" spans="1:4" ht="42" customHeight="1" x14ac:dyDescent="0.2">
      <c r="A14" s="3" t="s">
        <v>61</v>
      </c>
      <c r="B14" s="15" t="s">
        <v>136</v>
      </c>
      <c r="C14" s="3" t="s">
        <v>137</v>
      </c>
      <c r="D14" s="12" t="s">
        <v>138</v>
      </c>
    </row>
    <row r="15" spans="1:4" ht="42" customHeight="1" x14ac:dyDescent="0.2">
      <c r="A15" s="3" t="s">
        <v>139</v>
      </c>
      <c r="B15" s="15" t="s">
        <v>140</v>
      </c>
      <c r="C15" s="3" t="s">
        <v>141</v>
      </c>
      <c r="D15" s="12" t="s">
        <v>142</v>
      </c>
    </row>
    <row r="16" spans="1:4" ht="42" customHeight="1" x14ac:dyDescent="0.2">
      <c r="A16" s="3" t="s">
        <v>65</v>
      </c>
      <c r="B16" s="15" t="s">
        <v>143</v>
      </c>
      <c r="C16" s="3" t="s">
        <v>144</v>
      </c>
      <c r="D16" s="12" t="s">
        <v>145</v>
      </c>
    </row>
  </sheetData>
  <mergeCells count="2">
    <mergeCell ref="A1:D1"/>
    <mergeCell ref="A2:D2"/>
  </mergeCells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START HERE</vt:lpstr>
      <vt:lpstr>Live You Try It</vt:lpstr>
      <vt:lpstr>Class Challenge</vt:lpstr>
      <vt:lpstr>FormulaReferenceCard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Bethany Evitts</cp:lastModifiedBy>
  <dcterms:created xsi:type="dcterms:W3CDTF">2026-06-26T13:27:27Z</dcterms:created>
  <dcterms:modified xsi:type="dcterms:W3CDTF">2026-06-26T14:30:09Z</dcterms:modified>
</cp:coreProperties>
</file>