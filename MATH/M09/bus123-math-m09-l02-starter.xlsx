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Live You Try It" sheetId="2" state="visible" r:id="rId2"/>
    <sheet xmlns:r="http://schemas.openxmlformats.org/officeDocument/2006/relationships" name="Class Challenge" sheetId="3" state="visible" r:id="rId3"/>
    <sheet xmlns:r="http://schemas.openxmlformats.org/officeDocument/2006/relationships" name="FormulaReferenceCar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10">
    <font>
      <name val="Calibri"/>
      <family val="2"/>
      <color theme="1"/>
      <sz val="11"/>
      <scheme val="minor"/>
    </font>
    <font>
      <b val="1"/>
      <color rgb="00FFFFFF"/>
      <sz val="16"/>
    </font>
    <font>
      <color rgb="004A5567"/>
      <sz val="10"/>
    </font>
    <font>
      <b val="1"/>
      <color rgb="00FFFFFF"/>
    </font>
    <font>
      <name val="DM Sans"/>
      <b val="1"/>
      <color rgb="00FFFFFF"/>
      <sz val="16"/>
    </font>
    <font>
      <name val="DM Sans"/>
      <family val="2"/>
      <color theme="1"/>
      <sz val="11"/>
      <scheme val="minor"/>
    </font>
    <font>
      <name val="DM Sans"/>
      <color rgb="004A5567"/>
      <sz val="10"/>
    </font>
    <font>
      <name val="DM Sans"/>
      <b val="1"/>
      <color rgb="00FFFFFF"/>
    </font>
    <font>
      <name val="Courier New"/>
      <color rgb="00355773"/>
      <sz val="10"/>
    </font>
    <font>
      <name val="DM Sans"/>
      <color rgb="00355773"/>
      <sz val="10"/>
    </font>
  </fonts>
  <fills count="10">
    <fill>
      <patternFill/>
    </fill>
    <fill>
      <patternFill patternType="gray125"/>
    </fill>
    <fill>
      <patternFill patternType="solid">
        <fgColor rgb="000E1116"/>
      </patternFill>
    </fill>
    <fill>
      <patternFill patternType="solid">
        <fgColor rgb="00F2EEE5"/>
      </patternFill>
    </fill>
    <fill>
      <patternFill patternType="solid">
        <fgColor rgb="004A7C5E"/>
      </patternFill>
    </fill>
    <fill>
      <patternFill patternType="solid">
        <fgColor rgb="00B8843D"/>
      </patternFill>
    </fill>
    <fill>
      <patternFill patternType="solid">
        <fgColor rgb="009C4A2B"/>
      </patternFill>
    </fill>
    <fill>
      <patternFill patternType="solid">
        <fgColor rgb="00FFD966"/>
      </patternFill>
    </fill>
    <fill>
      <patternFill patternType="solid">
        <fgColor rgb="00DDEBF7"/>
      </patternFill>
    </fill>
    <fill>
      <patternFill patternType="solid">
        <fgColor rgb="00EAF3EC"/>
      </patternFill>
    </fill>
  </fills>
  <borders count="4">
    <border>
      <left/>
      <right/>
      <top/>
      <bottom/>
      <diagonal/>
    </border>
    <border>
      <bottom style="thin">
        <color rgb="00D9E2D0"/>
      </bottom>
    </border>
    <border>
      <left/>
      <right/>
      <top/>
      <bottom style="thin">
        <color rgb="00D9E2D0"/>
      </bottom>
      <diagonal/>
    </border>
    <border>
      <right/>
      <bottom style="thin">
        <color rgb="00D9E2D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4" fillId="2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  <xf numFmtId="0" fontId="7" fillId="2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164" fontId="5" fillId="8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10" fontId="5" fillId="8" borderId="1" applyAlignment="1" pivotButton="0" quotePrefix="0" xfId="0">
      <alignment vertical="top" wrapText="1"/>
    </xf>
    <xf numFmtId="0" fontId="9" fillId="9" borderId="1" applyAlignment="1" pivotButton="0" quotePrefix="0" xfId="0">
      <alignment vertical="top" wrapText="1"/>
    </xf>
    <xf numFmtId="0" fontId="0" fillId="0" borderId="2" pivotButton="0" quotePrefix="0" xfId="0"/>
    <xf numFmtId="0" fontId="4" fillId="2" borderId="3" applyAlignment="1" pivotButton="0" quotePrefix="0" xfId="0">
      <alignment vertical="top" wrapText="1"/>
    </xf>
    <xf numFmtId="0" fontId="6" fillId="3" borderId="3" applyAlignment="1" pivotButton="0" quotePrefix="0" xfId="0">
      <alignment vertical="top" wrapText="1"/>
    </xf>
    <xf numFmtId="0" fontId="7" fillId="4" borderId="3" applyAlignment="1" pivotButton="0" quotePrefix="0" xfId="0">
      <alignment vertical="top" wrapText="1"/>
    </xf>
    <xf numFmtId="0" fontId="7" fillId="5" borderId="3" applyAlignment="1" pivotButton="0" quotePrefix="0" xfId="0">
      <alignment vertical="top" wrapText="1"/>
    </xf>
    <xf numFmtId="0" fontId="7" fillId="6" borderId="3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center" vertical="center" wrapText="1"/>
    </xf>
    <xf numFmtId="10" fontId="5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0" customWidth="1" min="2" max="2"/>
    <col width="20" customWidth="1" min="3" max="3"/>
    <col width="16" customWidth="1" min="4" max="4"/>
    <col width="16" customWidth="1" min="5" max="5"/>
    <col width="16" customWidth="1" min="6" max="6"/>
  </cols>
  <sheetData>
    <row r="1" ht="26" customHeight="1">
      <c r="A1" s="16" t="inlineStr">
        <is>
          <t>BUS123 - MATH-M09-L02</t>
        </is>
      </c>
      <c r="B1" s="15" t="n"/>
      <c r="C1" s="15" t="n"/>
      <c r="D1" s="15" t="n"/>
      <c r="E1" s="15" t="n"/>
      <c r="F1" s="15" t="n"/>
    </row>
    <row r="2" ht="32" customHeight="1">
      <c r="A2" s="17" t="inlineStr">
        <is>
          <t>PMT Function and Annuities</t>
        </is>
      </c>
      <c r="B2" s="15" t="n"/>
      <c r="C2" s="15" t="n"/>
      <c r="D2" s="15" t="n"/>
      <c r="E2" s="15" t="n"/>
      <c r="F2" s="15" t="n"/>
    </row>
    <row r="3">
      <c r="A3" s="2" t="n"/>
      <c r="B3" s="2" t="n"/>
      <c r="C3" s="2" t="n"/>
      <c r="D3" s="2" t="n"/>
      <c r="E3" s="2" t="n"/>
      <c r="F3" s="2" t="n"/>
    </row>
    <row r="4" ht="22" customHeight="1">
      <c r="A4" s="18" t="inlineStr">
        <is>
          <t>How to Use This Workbook</t>
        </is>
      </c>
      <c r="B4" s="15" t="n"/>
      <c r="C4" s="15" t="n"/>
      <c r="D4" s="15" t="n"/>
      <c r="E4" s="15" t="n"/>
      <c r="F4" s="15" t="n"/>
    </row>
    <row r="5">
      <c r="A5" s="2" t="inlineStr">
        <is>
          <t>1</t>
        </is>
      </c>
      <c r="B5" s="2" t="inlineStr">
        <is>
          <t>Open the slide deck and stop at each Live You Try It pause.</t>
        </is>
      </c>
      <c r="C5" s="2" t="n"/>
      <c r="D5" s="2" t="n"/>
      <c r="E5" s="2" t="n"/>
      <c r="F5" s="2" t="n"/>
    </row>
    <row r="6">
      <c r="A6" s="2" t="inlineStr">
        <is>
          <t>2</t>
        </is>
      </c>
      <c r="B6" s="2" t="inlineStr">
        <is>
          <t>Enter the slide givens into the yellow input cells first.</t>
        </is>
      </c>
      <c r="C6" s="2" t="n"/>
      <c r="D6" s="2" t="n"/>
      <c r="E6" s="2" t="n"/>
      <c r="F6" s="2" t="n"/>
    </row>
    <row r="7">
      <c r="A7" s="2" t="inlineStr">
        <is>
          <t>3</t>
        </is>
      </c>
      <c r="B7" s="2" t="inlineStr">
        <is>
          <t>Build formulas by referencing the input cells. Do not type numbers inside formulas.</t>
        </is>
      </c>
      <c r="C7" s="2" t="n"/>
      <c r="D7" s="2" t="n"/>
      <c r="E7" s="2" t="n"/>
      <c r="F7" s="2" t="n"/>
    </row>
    <row r="8">
      <c r="A8" s="2" t="inlineStr">
        <is>
          <t>4</t>
        </is>
      </c>
      <c r="B8" s="2" t="inlineStr">
        <is>
          <t>Use the feedback cells to revise your Live You Try It work.</t>
        </is>
      </c>
      <c r="C8" s="2" t="n"/>
      <c r="D8" s="2" t="n"/>
      <c r="E8" s="2" t="n"/>
      <c r="F8" s="2" t="n"/>
    </row>
    <row r="9">
      <c r="A9" s="2" t="inlineStr">
        <is>
          <t>5</t>
        </is>
      </c>
      <c r="B9" s="2" t="inlineStr">
        <is>
          <t>Complete Class Challenge with formulas. The blue answer cells start blank in the public starter.</t>
        </is>
      </c>
      <c r="C9" s="2" t="n"/>
      <c r="D9" s="2" t="n"/>
      <c r="E9" s="2" t="n"/>
      <c r="F9" s="2" t="n"/>
    </row>
    <row r="10">
      <c r="A10" s="2" t="n"/>
      <c r="B10" s="2" t="n"/>
      <c r="C10" s="2" t="n"/>
      <c r="D10" s="2" t="n"/>
      <c r="E10" s="2" t="n"/>
      <c r="F10" s="2" t="n"/>
    </row>
    <row r="11" ht="22" customHeight="1">
      <c r="A11" s="19" t="inlineStr">
        <is>
          <t>Required Public Tabs</t>
        </is>
      </c>
      <c r="B11" s="15" t="n"/>
      <c r="C11" s="15" t="n"/>
      <c r="D11" s="15" t="n"/>
      <c r="E11" s="15" t="n"/>
      <c r="F11" s="15" t="n"/>
    </row>
    <row r="12">
      <c r="A12" s="2" t="inlineStr">
        <is>
          <t>Live You Try It</t>
        </is>
      </c>
      <c r="B12" s="2" t="inlineStr">
        <is>
          <t>Self-graded practice with hints and feedback; not part of the private rubric.</t>
        </is>
      </c>
      <c r="C12" s="2" t="n"/>
      <c r="D12" s="2" t="n"/>
      <c r="E12" s="2" t="n"/>
      <c r="F12" s="2" t="n"/>
    </row>
    <row r="13">
      <c r="A13" s="2" t="inlineStr">
        <is>
          <t>Class Challenge</t>
        </is>
      </c>
      <c r="B13" s="2" t="inlineStr">
        <is>
          <t>The only graded/next-level activity tab.</t>
        </is>
      </c>
      <c r="C13" s="2" t="n"/>
      <c r="D13" s="2" t="n"/>
      <c r="E13" s="2" t="n"/>
      <c r="F13" s="2" t="n"/>
    </row>
    <row r="14">
      <c r="A14" s="2" t="inlineStr">
        <is>
          <t>FormulaReferenceCard</t>
        </is>
      </c>
      <c r="B14" s="2" t="inlineStr">
        <is>
          <t>Formula syntax reminders for this lesson.</t>
        </is>
      </c>
      <c r="C14" s="2" t="n"/>
      <c r="D14" s="2" t="n"/>
      <c r="E14" s="2" t="n"/>
      <c r="F14" s="2" t="n"/>
    </row>
    <row r="15">
      <c r="A15" s="2" t="n"/>
      <c r="B15" s="2" t="n"/>
      <c r="C15" s="2" t="n"/>
      <c r="D15" s="2" t="n"/>
      <c r="E15" s="2" t="n"/>
      <c r="F15" s="2" t="n"/>
    </row>
    <row r="16">
      <c r="A16" s="2" t="n"/>
      <c r="B16" s="2" t="n"/>
      <c r="C16" s="2" t="n"/>
      <c r="D16" s="2" t="n"/>
      <c r="E16" s="2" t="n"/>
      <c r="F16" s="2" t="n"/>
    </row>
    <row r="17" ht="22" customHeight="1">
      <c r="A17" s="20" t="inlineStr">
        <is>
          <t>I Can</t>
        </is>
      </c>
      <c r="B17" s="15" t="n"/>
      <c r="C17" s="15" t="n"/>
      <c r="D17" s="15" t="n"/>
      <c r="E17" s="15" t="n"/>
      <c r="F17" s="15" t="n"/>
    </row>
    <row r="18">
      <c r="A18" s="2" t="n">
        <v>1</v>
      </c>
      <c r="B18" s="2" t="inlineStr">
        <is>
          <t>Calculate loan payments with =PMT().</t>
        </is>
      </c>
      <c r="C18" s="2" t="n"/>
      <c r="D18" s="2" t="n"/>
      <c r="E18" s="2" t="n"/>
      <c r="F18" s="2" t="n"/>
    </row>
    <row r="19">
      <c r="A19" s="2" t="n">
        <v>2</v>
      </c>
      <c r="B19" s="2" t="inlineStr">
        <is>
          <t>Calculate total paid and total interest for a loan.</t>
        </is>
      </c>
      <c r="C19" s="2" t="n"/>
      <c r="D19" s="2" t="n"/>
      <c r="E19" s="2" t="n"/>
      <c r="F19" s="2" t="n"/>
    </row>
    <row r="20">
      <c r="A20" s="2" t="n">
        <v>3</v>
      </c>
      <c r="B20" s="2" t="inlineStr">
        <is>
          <t>Project savings balances using =FV() with payments.</t>
        </is>
      </c>
      <c r="C20" s="2" t="n"/>
      <c r="D20" s="2" t="n"/>
      <c r="E20" s="2" t="n"/>
      <c r="F20" s="2" t="n"/>
    </row>
    <row r="21">
      <c r="A21" s="2" t="n">
        <v>4</v>
      </c>
      <c r="B21" s="2" t="inlineStr">
        <is>
          <t>Value payment streams using =PV() with payments.</t>
        </is>
      </c>
      <c r="C21" s="2" t="n"/>
      <c r="D21" s="2" t="n"/>
      <c r="E21" s="2" t="n"/>
      <c r="F21" s="2" t="n"/>
    </row>
    <row r="22">
      <c r="A22" s="2" t="n"/>
      <c r="B22" s="2" t="n"/>
      <c r="C22" s="2" t="n"/>
      <c r="D22" s="2" t="n"/>
      <c r="E22" s="2" t="n"/>
      <c r="F22" s="2" t="n"/>
    </row>
  </sheetData>
  <mergeCells count="5">
    <mergeCell ref="A2:F2"/>
    <mergeCell ref="A11:F11"/>
    <mergeCell ref="A1:F1"/>
    <mergeCell ref="A17:F17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20" customWidth="1" min="8" max="8"/>
    <col width="34" customWidth="1" min="9" max="9"/>
    <col width="28" customWidth="1" min="10" max="10"/>
  </cols>
  <sheetData>
    <row r="1" ht="26" customHeight="1">
      <c r="A1" s="16" t="inlineStr">
        <is>
          <t>MATH-M09-L02 - Live You Try It</t>
        </is>
      </c>
      <c r="B1" s="15" t="n"/>
      <c r="C1" s="15" t="n"/>
      <c r="D1" s="15" t="n"/>
      <c r="E1" s="15" t="n"/>
      <c r="F1" s="15" t="n"/>
      <c r="G1" s="15" t="n"/>
      <c r="H1" s="15" t="n"/>
      <c r="I1" s="15" t="n"/>
      <c r="J1" s="15" t="n"/>
    </row>
    <row r="2" ht="32" customHeight="1">
      <c r="A2" s="17" t="inlineStr">
        <is>
          <t>Self-graded Excel pauses. Enter slide givens into yellow cells, then build formulas with cell references.</t>
        </is>
      </c>
      <c r="B2" s="15" t="n"/>
      <c r="C2" s="15" t="n"/>
      <c r="D2" s="15" t="n"/>
      <c r="E2" s="15" t="n"/>
      <c r="F2" s="15" t="n"/>
      <c r="G2" s="15" t="n"/>
      <c r="H2" s="15" t="n"/>
      <c r="I2" s="15" t="n"/>
      <c r="J2" s="15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 ht="22" customHeight="1">
      <c r="A4" s="18" t="inlineStr">
        <is>
          <t>Practice Rows</t>
        </is>
      </c>
      <c r="B4" s="15" t="n"/>
      <c r="C4" s="15" t="n"/>
      <c r="D4" s="15" t="n"/>
      <c r="E4" s="15" t="n"/>
      <c r="F4" s="15" t="n"/>
      <c r="G4" s="15" t="n"/>
      <c r="H4" s="15" t="n"/>
      <c r="I4" s="15" t="n"/>
      <c r="J4" s="15" t="n"/>
    </row>
    <row r="5" ht="32" customHeight="1">
      <c r="A5" s="7" t="inlineStr">
        <is>
          <t>Pause</t>
        </is>
      </c>
      <c r="B5" s="7" t="inlineStr">
        <is>
          <t>Slide</t>
        </is>
      </c>
      <c r="C5" s="7" t="inlineStr">
        <is>
          <t>Build This</t>
        </is>
      </c>
      <c r="D5" s="7" t="inlineStr">
        <is>
          <t>Input 1</t>
        </is>
      </c>
      <c r="E5" s="7" t="inlineStr">
        <is>
          <t>Input 2</t>
        </is>
      </c>
      <c r="F5" s="7" t="inlineStr">
        <is>
          <t>Input 3</t>
        </is>
      </c>
      <c r="G5" s="7" t="inlineStr">
        <is>
          <t>Input 4</t>
        </is>
      </c>
      <c r="H5" s="7" t="inlineStr">
        <is>
          <t>Your Formula / Answer</t>
        </is>
      </c>
      <c r="I5" s="7" t="inlineStr">
        <is>
          <t>Formula Hint</t>
        </is>
      </c>
      <c r="J5" s="7" t="inlineStr">
        <is>
          <t>Feedback</t>
        </is>
      </c>
    </row>
    <row r="6">
      <c r="A6" s="2" t="inlineStr">
        <is>
          <t>Mortgage</t>
        </is>
      </c>
      <c r="B6" s="2" t="inlineStr">
        <is>
          <t>07</t>
        </is>
      </c>
      <c r="C6" s="2" t="inlineStr">
        <is>
          <t>Calculate monthly payment for the worked mortgage.</t>
        </is>
      </c>
      <c r="D6" s="8" t="n"/>
      <c r="E6" s="8" t="n"/>
      <c r="F6" s="8" t="n"/>
      <c r="G6" s="8" t="n"/>
      <c r="H6" s="9" t="n"/>
      <c r="I6" s="10" t="inlineStr">
        <is>
          <t>Use monthly rate and total months.</t>
        </is>
      </c>
      <c r="J6" s="11">
        <f>IF(H6="","Enter the PMT formula.",IF(ABS(H6+2022.62)&lt;0.02,"Correct - payment is about $2,022.62 outflow.","Check monthly rate, total months, and signs."))</f>
        <v/>
      </c>
    </row>
    <row r="7">
      <c r="A7" s="2" t="inlineStr">
        <is>
          <t>Mortgage</t>
        </is>
      </c>
      <c r="B7" s="2" t="inlineStr">
        <is>
          <t>07</t>
        </is>
      </c>
      <c r="C7" s="2" t="inlineStr">
        <is>
          <t>Calculate total paid over the loan.</t>
        </is>
      </c>
      <c r="D7" s="8" t="n"/>
      <c r="E7" s="8" t="n"/>
      <c r="F7" s="8" t="n"/>
      <c r="G7" s="8" t="n"/>
      <c r="H7" s="9" t="n"/>
      <c r="I7" s="10" t="inlineStr">
        <is>
          <t>ABS(monthly PMT) times total payments.</t>
        </is>
      </c>
      <c r="J7" s="11">
        <f>IF(H7="","Enter the total-paid formula.",IF(ABS(H7-728142.36)&lt;2,"Correct - total paid is about $728,142.","Use the payment from row 6 and total months."))</f>
        <v/>
      </c>
    </row>
    <row r="8">
      <c r="A8" s="2" t="inlineStr">
        <is>
          <t>Mortgage</t>
        </is>
      </c>
      <c r="B8" s="2" t="inlineStr">
        <is>
          <t>07</t>
        </is>
      </c>
      <c r="C8" s="2" t="inlineStr">
        <is>
          <t>Calculate total interest.</t>
        </is>
      </c>
      <c r="D8" s="8" t="n"/>
      <c r="E8" s="8" t="n"/>
      <c r="F8" s="8" t="n"/>
      <c r="G8" s="8" t="n"/>
      <c r="H8" s="9" t="n"/>
      <c r="I8" s="10" t="inlineStr">
        <is>
          <t>Total paid minus original loan.</t>
        </is>
      </c>
      <c r="J8" s="11">
        <f>IF(H8="","Enter the total-interest formula.",IF(ABS(H8-408142.36)&lt;2,"Correct - interest is about $408,142.","Subtract the original loan amount."))</f>
        <v/>
      </c>
    </row>
    <row r="9">
      <c r="A9" s="2" t="inlineStr">
        <is>
          <t>Savings</t>
        </is>
      </c>
      <c r="B9" s="2" t="inlineStr">
        <is>
          <t>08</t>
        </is>
      </c>
      <c r="C9" s="2" t="inlineStr">
        <is>
          <t>Project retirement value from monthly deposits.</t>
        </is>
      </c>
      <c r="D9" s="8" t="n"/>
      <c r="E9" s="8" t="n"/>
      <c r="F9" s="8" t="n"/>
      <c r="G9" s="8" t="n"/>
      <c r="H9" s="9" t="n"/>
      <c r="I9" s="10" t="inlineStr">
        <is>
          <t>Monthly contribution is negative in =FV().</t>
        </is>
      </c>
      <c r="J9" s="11">
        <f>IF(H9="","Enter the FV formula.",IF(ABS(H9-609985.50)&lt;0.5,"Correct - future value matches the formula result.","Check pmt sign and monthly timing."))</f>
        <v/>
      </c>
    </row>
    <row r="10">
      <c r="A10" s="2" t="inlineStr">
        <is>
          <t>Savings</t>
        </is>
      </c>
      <c r="B10" s="2" t="inlineStr">
        <is>
          <t>08</t>
        </is>
      </c>
      <c r="C10" s="2" t="inlineStr">
        <is>
          <t>Calculate total contributed.</t>
        </is>
      </c>
      <c r="D10" s="8" t="n"/>
      <c r="E10" s="8" t="n"/>
      <c r="F10" s="8" t="n"/>
      <c r="G10" s="8" t="n"/>
      <c r="H10" s="9" t="n"/>
      <c r="I10" s="10" t="inlineStr">
        <is>
          <t>Monthly deposit times total months.</t>
        </is>
      </c>
      <c r="J10" s="11">
        <f>IF(H10="","Enter total contributed.",IF(ABS(H10-180000)&lt;0.01,"Correct - total contributed is $180,000.","Use contribution x years x 12."))</f>
        <v/>
      </c>
    </row>
    <row r="11">
      <c r="A11" s="2" t="inlineStr">
        <is>
          <t>Payment Stream</t>
        </is>
      </c>
      <c r="B11" s="2" t="inlineStr">
        <is>
          <t>09</t>
        </is>
      </c>
      <c r="C11" s="2" t="inlineStr">
        <is>
          <t>Value the $1,500 monthly payment stream.</t>
        </is>
      </c>
      <c r="D11" s="8" t="n"/>
      <c r="E11" s="8" t="n"/>
      <c r="F11" s="8" t="n"/>
      <c r="G11" s="8" t="n"/>
      <c r="H11" s="9" t="n"/>
      <c r="I11" s="10" t="inlineStr">
        <is>
          <t>Payment received is positive; PV result is negative.</t>
        </is>
      </c>
      <c r="J11" s="11">
        <f>IF(H11="","Enter the PV formula.",IF(ABS(H11+141422.03)&lt;2,"Correct - PV is about -$141,422.","Check sign and monthly discount rate."))</f>
        <v/>
      </c>
    </row>
    <row r="12">
      <c r="A12" s="2" t="inlineStr">
        <is>
          <t>Timing</t>
        </is>
      </c>
      <c r="B12" s="2" t="inlineStr">
        <is>
          <t>10</t>
        </is>
      </c>
      <c r="C12" s="2" t="inlineStr">
        <is>
          <t>Ordinary annuity payment for $25,000 at 6% over 60 months.</t>
        </is>
      </c>
      <c r="D12" s="8" t="n"/>
      <c r="E12" s="8" t="n"/>
      <c r="F12" s="8" t="n"/>
      <c r="G12" s="8" t="n"/>
      <c r="H12" s="9" t="n"/>
      <c r="I12" s="10" t="inlineStr">
        <is>
          <t>type=0 is ordinary annuity.</t>
        </is>
      </c>
      <c r="J12" s="11">
        <f>IF(H12="","Enter ordinary annuity PMT.",IF(ABS(H12+483.32)&lt;0.02,"Correct - ordinary payment is about $483.32.","Use type 0 or omit type."))</f>
        <v/>
      </c>
    </row>
    <row r="13">
      <c r="A13" s="2" t="inlineStr">
        <is>
          <t>Timing</t>
        </is>
      </c>
      <c r="B13" s="2" t="inlineStr">
        <is>
          <t>10</t>
        </is>
      </c>
      <c r="C13" s="2" t="inlineStr">
        <is>
          <t>Annuity due payment for the same loan.</t>
        </is>
      </c>
      <c r="D13" s="8" t="n"/>
      <c r="E13" s="8" t="n"/>
      <c r="F13" s="8" t="n"/>
      <c r="G13" s="8" t="n"/>
      <c r="H13" s="9" t="n"/>
      <c r="I13" s="10" t="inlineStr">
        <is>
          <t>type=1 means beginning of period.</t>
        </is>
      </c>
      <c r="J13" s="11">
        <f>IF(H13="","Enter annuity due PMT.",IF(ABS(H13+480.91)&lt;0.02,"Correct - annuity due payment is about $480.91.","Use type=1 for beginning-of-period payment."))</f>
        <v/>
      </c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2" t="inlineStr">
        <is>
          <t>Self-check score</t>
        </is>
      </c>
      <c r="B15" s="11">
        <f>COUNTIF(J6:J13,"Correct*")&amp;" of 8 complete"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</row>
  </sheetData>
  <mergeCells count="3">
    <mergeCell ref="A1:J1"/>
    <mergeCell ref="A4:J4"/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58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34" customWidth="1" min="8" max="8"/>
    <col hidden="1" width="34" customWidth="1" min="9" max="9"/>
  </cols>
  <sheetData>
    <row r="1" ht="26" customHeight="1">
      <c r="A1" s="16" t="inlineStr">
        <is>
          <t>MATH-M09-L02 - Class Challenge</t>
        </is>
      </c>
      <c r="B1" s="15" t="n"/>
      <c r="C1" s="15" t="n"/>
      <c r="D1" s="15" t="n"/>
      <c r="E1" s="15" t="n"/>
      <c r="F1" s="15" t="n"/>
      <c r="G1" s="15" t="n"/>
      <c r="H1" s="15" t="n"/>
      <c r="I1" s="15" t="n"/>
    </row>
    <row r="2" ht="42" customHeight="1">
      <c r="A2" s="17" t="inlineStr">
        <is>
          <t>Read each scenario, enter the needed inputs into the yellow cells, then put the final answer in the blue cell. The grader checks the final answer; use Excel cash-flow signs where PMT or PV returns an outflow.</t>
        </is>
      </c>
      <c r="B2" s="15" t="n"/>
      <c r="C2" s="15" t="n"/>
      <c r="D2" s="15" t="n"/>
      <c r="E2" s="15" t="n"/>
      <c r="F2" s="15" t="n"/>
      <c r="G2" s="15" t="n"/>
      <c r="H2" s="15" t="n"/>
      <c r="I2" s="15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 ht="22" customHeight="1">
      <c r="A4" s="20" t="inlineStr">
        <is>
          <t>Graded / Next-Level Activity</t>
        </is>
      </c>
      <c r="B4" s="15" t="n"/>
      <c r="C4" s="15" t="n"/>
      <c r="D4" s="15" t="n"/>
      <c r="E4" s="15" t="n"/>
      <c r="F4" s="15" t="n"/>
      <c r="G4" s="15" t="n"/>
      <c r="H4" s="15" t="n"/>
      <c r="I4" s="15" t="n"/>
    </row>
    <row r="5" ht="32" customHeight="1">
      <c r="A5" s="7" t="inlineStr">
        <is>
          <t>#</t>
        </is>
      </c>
      <c r="B5" s="7" t="inlineStr">
        <is>
          <t>Scenario</t>
        </is>
      </c>
      <c r="C5" s="7" t="inlineStr">
        <is>
          <t>Input 1</t>
        </is>
      </c>
      <c r="D5" s="7" t="inlineStr">
        <is>
          <t>Input 2</t>
        </is>
      </c>
      <c r="E5" s="7" t="inlineStr">
        <is>
          <t>Input 3</t>
        </is>
      </c>
      <c r="F5" s="7" t="inlineStr">
        <is>
          <t>Input 4</t>
        </is>
      </c>
      <c r="G5" s="7" t="inlineStr">
        <is>
          <t>Formula / Answer</t>
        </is>
      </c>
      <c r="H5" s="7" t="inlineStr">
        <is>
          <t>Hint</t>
        </is>
      </c>
      <c r="I5" s="7" t="inlineStr">
        <is>
          <t>Expected Formula (private)</t>
        </is>
      </c>
    </row>
    <row r="6" ht="48" customHeight="1">
      <c r="A6" s="21" t="n">
        <v>1</v>
      </c>
      <c r="B6" s="22" t="inlineStr">
        <is>
          <t>Find the monthly PMT on a $320,000 mortgage at 6.5% annual interest over 30 years with 12 payments per year; report Excel PMT as a cash outflow.</t>
        </is>
      </c>
      <c r="C6" s="23" t="n"/>
      <c r="D6" s="23" t="n"/>
      <c r="E6" s="23" t="n"/>
      <c r="F6" s="23" t="n"/>
      <c r="G6" s="24" t="n"/>
      <c r="H6" s="10" t="inlineStr">
        <is>
          <t>Monthly rate and total months.</t>
        </is>
      </c>
      <c r="I6" s="12" t="n"/>
    </row>
    <row r="7" ht="48" customHeight="1">
      <c r="A7" s="21" t="n">
        <v>2</v>
      </c>
      <c r="B7" s="22" t="inlineStr">
        <is>
          <t>Find the total paid over a $320,000 mortgage at 6.5% annual interest over 30 years with 12 payments per year.</t>
        </is>
      </c>
      <c r="C7" s="23" t="n"/>
      <c r="D7" s="23" t="n"/>
      <c r="E7" s="23" t="n"/>
      <c r="F7" s="23" t="n"/>
      <c r="G7" s="24" t="n"/>
      <c r="H7" s="10" t="inlineStr">
        <is>
          <t>ABS(payment) x total months.</t>
        </is>
      </c>
      <c r="I7" s="12" t="n"/>
    </row>
    <row r="8" ht="48" customHeight="1">
      <c r="A8" s="21" t="n">
        <v>3</v>
      </c>
      <c r="B8" s="22" t="inlineStr">
        <is>
          <t>Find total interest on a $320,000 mortgage at 6.5% annual interest over 30 years with 12 payments per year.</t>
        </is>
      </c>
      <c r="C8" s="23" t="n"/>
      <c r="D8" s="23" t="n"/>
      <c r="E8" s="23" t="n"/>
      <c r="F8" s="23" t="n"/>
      <c r="G8" s="24" t="n"/>
      <c r="H8" s="10" t="inlineStr">
        <is>
          <t>Total paid minus original loan.</t>
        </is>
      </c>
      <c r="I8" s="12" t="n"/>
    </row>
    <row r="9" ht="34" customHeight="1">
      <c r="A9" s="21" t="n">
        <v>4</v>
      </c>
      <c r="B9" s="22" t="inlineStr">
        <is>
          <t>Find total interest as a percent of the original $320,000 mortgage at 6.5% over 30 years.</t>
        </is>
      </c>
      <c r="C9" s="23" t="n"/>
      <c r="D9" s="23" t="n"/>
      <c r="E9" s="23" t="n"/>
      <c r="F9" s="23" t="n"/>
      <c r="G9" s="25" t="n"/>
      <c r="H9" s="10" t="inlineStr">
        <is>
          <t>Total interest divided by original principal.</t>
        </is>
      </c>
      <c r="I9" s="12" t="n"/>
    </row>
    <row r="10" ht="62" customHeight="1">
      <c r="A10" s="21" t="n">
        <v>5</v>
      </c>
      <c r="B10" s="22" t="inlineStr">
        <is>
          <t>Find the monthly PMT on the same $320,000 mortgage at 6.5% annual interest over 10 years with 12 payments per year; report Excel PMT as a cash outflow.</t>
        </is>
      </c>
      <c r="C10" s="23" t="n"/>
      <c r="D10" s="23" t="n"/>
      <c r="E10" s="23" t="n"/>
      <c r="F10" s="23" t="n"/>
      <c r="G10" s="24" t="n"/>
      <c r="H10" s="10" t="inlineStr">
        <is>
          <t>Use the 10-year row from the total-interest table.</t>
        </is>
      </c>
      <c r="I10" s="12" t="n"/>
    </row>
    <row r="11" ht="48" customHeight="1">
      <c r="A11" s="21" t="n">
        <v>6</v>
      </c>
      <c r="B11" s="22" t="inlineStr">
        <is>
          <t>Find the interest saved by choosing the 10-year $320,000 mortgage at 6.5% instead of the 30-year mortgage at 6.5%.</t>
        </is>
      </c>
      <c r="C11" s="23" t="n"/>
      <c r="D11" s="23" t="n"/>
      <c r="E11" s="23" t="n"/>
      <c r="F11" s="23" t="n"/>
      <c r="G11" s="24" t="n"/>
      <c r="H11" s="10" t="inlineStr">
        <is>
          <t>Thirty-year interest minus ten-year interest.</t>
        </is>
      </c>
      <c r="I11" s="12" t="n"/>
    </row>
    <row r="12" ht="62" customHeight="1">
      <c r="A12" s="21" t="n">
        <v>7</v>
      </c>
      <c r="B12" s="22" t="inlineStr">
        <is>
          <t>Find the monthly car payment for a $25,000 loan at 4.9% annual interest over 5 years with 12 payments per year; report Excel PMT as a cash outflow.</t>
        </is>
      </c>
      <c r="C12" s="23" t="n"/>
      <c r="D12" s="23" t="n"/>
      <c r="E12" s="23" t="n"/>
      <c r="F12" s="23" t="n"/>
      <c r="G12" s="24" t="n"/>
      <c r="H12" s="10" t="inlineStr">
        <is>
          <t>Use PMT with monthly timing.</t>
        </is>
      </c>
      <c r="I12" s="12" t="n"/>
    </row>
    <row r="13" ht="34" customHeight="1">
      <c r="A13" s="21" t="n">
        <v>8</v>
      </c>
      <c r="B13" s="22" t="inlineStr">
        <is>
          <t>Find the future value of saving $200 per month at 6% annual return for 5 years with monthly deposits.</t>
        </is>
      </c>
      <c r="C13" s="23" t="n"/>
      <c r="D13" s="23" t="n"/>
      <c r="E13" s="23" t="n"/>
      <c r="F13" s="23" t="n"/>
      <c r="G13" s="24" t="n"/>
      <c r="H13" s="10" t="inlineStr">
        <is>
          <t>Monthly deposit is a negative pmt.</t>
        </is>
      </c>
      <c r="I13" s="12" t="n"/>
    </row>
    <row r="14" ht="48" customHeight="1">
      <c r="A14" s="21" t="n">
        <v>9</v>
      </c>
      <c r="B14" s="22" t="inlineStr">
        <is>
          <t>Find the total monthly outflow for the $25,000 car loan at 4.9% over 5 years plus a $200 monthly savings goal.</t>
        </is>
      </c>
      <c r="C14" s="23" t="n"/>
      <c r="D14" s="21" t="n"/>
      <c r="E14" s="21" t="n"/>
      <c r="F14" s="21" t="n"/>
      <c r="G14" s="24" t="n"/>
      <c r="H14" s="10" t="inlineStr">
        <is>
          <t>Car payment as positive cash out plus savings deposit.</t>
        </is>
      </c>
      <c r="I14" s="12" t="n"/>
    </row>
    <row r="15" ht="48" customHeight="1">
      <c r="A15" s="21" t="n">
        <v>10</v>
      </c>
      <c r="B15" s="22" t="inlineStr">
        <is>
          <t>Find the monthly deposit required to reach $500,000 in 25 years at 7% annual return with monthly deposits; report Excel PMT as a cash outflow.</t>
        </is>
      </c>
      <c r="C15" s="23" t="n"/>
      <c r="D15" s="23" t="n"/>
      <c r="E15" s="23" t="n"/>
      <c r="F15" s="23" t="n"/>
      <c r="G15" s="24" t="n"/>
      <c r="H15" s="10" t="inlineStr">
        <is>
          <t>Solve for the monthly deposit; pv is zero.</t>
        </is>
      </c>
      <c r="I15" s="12" t="n"/>
    </row>
    <row r="16" ht="48" customHeight="1">
      <c r="A16" s="21" t="n">
        <v>11</v>
      </c>
      <c r="B16" s="22" t="inlineStr">
        <is>
          <t>Find the present value of receiving $2,000 per month for 15 years at a 6% annual discount rate; report Excel PV using cash-flow signs.</t>
        </is>
      </c>
      <c r="C16" s="23" t="n"/>
      <c r="D16" s="23" t="n"/>
      <c r="E16" s="23" t="n"/>
      <c r="F16" s="23" t="n"/>
      <c r="G16" s="24" t="n"/>
      <c r="H16" s="10" t="inlineStr">
        <is>
          <t>Payment received is positive; PV result is negative.</t>
        </is>
      </c>
      <c r="I16" s="12" t="n"/>
    </row>
    <row r="17" ht="34" customHeight="1">
      <c r="A17" s="21" t="n">
        <v>12</v>
      </c>
      <c r="B17" s="22" t="inlineStr">
        <is>
          <t>Find the nominal value of receiving $2,000 per month for 15 years with 12 payments per year.</t>
        </is>
      </c>
      <c r="C17" s="23" t="n"/>
      <c r="D17" s="21" t="n"/>
      <c r="E17" s="23" t="n"/>
      <c r="F17" s="23" t="n"/>
      <c r="G17" s="24" t="n"/>
      <c r="H17" s="10" t="inlineStr">
        <is>
          <t>Monthly payment x years x 12.</t>
        </is>
      </c>
      <c r="I17" s="12" t="n"/>
    </row>
    <row r="18" ht="48" customHeight="1">
      <c r="A18" s="21" t="n">
        <v>13</v>
      </c>
      <c r="B18" s="22" t="inlineStr">
        <is>
          <t>Find the discount from nominal value to present value for the $2,000 monthly payment stream over 15 years at 6%.</t>
        </is>
      </c>
      <c r="C18" s="21" t="n"/>
      <c r="D18" s="21" t="n"/>
      <c r="E18" s="21" t="n"/>
      <c r="F18" s="21" t="n"/>
      <c r="G18" s="24" t="n"/>
      <c r="H18" s="10" t="inlineStr">
        <is>
          <t>Nominal total minus absolute PV.</t>
        </is>
      </c>
      <c r="I18" s="12" t="n"/>
    </row>
    <row r="19" ht="34" customHeight="1">
      <c r="A19" s="21" t="n">
        <v>14</v>
      </c>
      <c r="B19" s="22" t="inlineStr">
        <is>
          <t>Find the future value of a $50,000 lump sum invested at 6% annually for 10 years.</t>
        </is>
      </c>
      <c r="C19" s="23" t="n"/>
      <c r="D19" s="23" t="n"/>
      <c r="E19" s="23" t="n"/>
      <c r="F19" s="23" t="n"/>
      <c r="G19" s="24" t="n"/>
      <c r="H19" s="10" t="inlineStr">
        <is>
          <t>This is the discussion prompt's lump sum.</t>
        </is>
      </c>
      <c r="I19" s="12" t="n"/>
    </row>
    <row r="20" ht="34" customHeight="1">
      <c r="A20" s="21" t="n">
        <v>15</v>
      </c>
      <c r="B20" s="22" t="inlineStr">
        <is>
          <t>Find the future value of investing $500 per month for 10 years at 6% annual return with monthly deposits.</t>
        </is>
      </c>
      <c r="C20" s="23" t="n"/>
      <c r="D20" s="23" t="n"/>
      <c r="E20" s="23" t="n"/>
      <c r="F20" s="23" t="n"/>
      <c r="G20" s="24" t="n"/>
      <c r="H20" s="10" t="inlineStr">
        <is>
          <t>This is the discussion prompt's monthly investment.</t>
        </is>
      </c>
      <c r="I20" s="1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</sheetData>
  <mergeCells count="3">
    <mergeCell ref="A1:I1"/>
    <mergeCell ref="A4:I4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5" customWidth="1" min="2" max="2"/>
    <col width="42" customWidth="1" min="3" max="3"/>
    <col width="38" customWidth="1" min="4" max="4"/>
  </cols>
  <sheetData>
    <row r="1" ht="26" customHeight="1">
      <c r="A1" s="16" t="inlineStr">
        <is>
          <t>MATH-M09-L02 - Formula Reference Card</t>
        </is>
      </c>
      <c r="B1" s="15" t="n"/>
      <c r="C1" s="15" t="n"/>
      <c r="D1" s="15" t="n"/>
    </row>
    <row r="2" ht="32" customHeight="1">
      <c r="A2" s="17" t="inlineStr">
        <is>
          <t>Syntax reminders. Decide which formula fits before using the card.</t>
        </is>
      </c>
      <c r="B2" s="15" t="n"/>
      <c r="C2" s="15" t="n"/>
      <c r="D2" s="15" t="n"/>
    </row>
    <row r="3">
      <c r="A3" s="2" t="n"/>
      <c r="B3" s="2" t="n"/>
      <c r="C3" s="2" t="n"/>
      <c r="D3" s="2" t="n"/>
    </row>
    <row r="4" ht="32" customHeight="1">
      <c r="A4" s="7" t="inlineStr">
        <is>
          <t>Concept</t>
        </is>
      </c>
      <c r="B4" s="7" t="inlineStr">
        <is>
          <t>Excel Pattern</t>
        </is>
      </c>
      <c r="C4" s="7" t="inlineStr">
        <is>
          <t>Plain-English Meaning</t>
        </is>
      </c>
      <c r="D4" s="7" t="inlineStr">
        <is>
          <t>Watch Out For</t>
        </is>
      </c>
    </row>
    <row r="5">
      <c r="A5" s="2" t="inlineStr">
        <is>
          <t>Monthly loan payment</t>
        </is>
      </c>
      <c r="B5" s="14">
        <f>PMT(rate/12,years*12,pv,0)</f>
        <v/>
      </c>
      <c r="C5" s="2" t="inlineStr">
        <is>
          <t>Calculates the required monthly loan payment.</t>
        </is>
      </c>
      <c r="D5" s="2" t="inlineStr">
        <is>
          <t>Result is usually negative because payment is an outflow.</t>
        </is>
      </c>
    </row>
    <row r="6">
      <c r="A6" s="2" t="inlineStr">
        <is>
          <t>Total paid</t>
        </is>
      </c>
      <c r="B6" s="14">
        <f>ABS(PMT)*Nper</f>
        <v/>
      </c>
      <c r="C6" s="2" t="inlineStr">
        <is>
          <t>Multiplies payment by the number of periods.</t>
        </is>
      </c>
      <c r="D6" s="2" t="inlineStr">
        <is>
          <t>Use ABS so the comparison is positive.</t>
        </is>
      </c>
    </row>
    <row r="7">
      <c r="A7" s="2" t="inlineStr">
        <is>
          <t>Total interest</t>
        </is>
      </c>
      <c r="B7" s="14">
        <f>TotalPaid-PV</f>
        <v/>
      </c>
      <c r="C7" s="2" t="inlineStr">
        <is>
          <t>Shows borrowing cost above the original loan amount.</t>
        </is>
      </c>
      <c r="D7" s="2" t="inlineStr">
        <is>
          <t>Use the original PV, not the future balance.</t>
        </is>
      </c>
    </row>
    <row r="8">
      <c r="A8" s="2" t="inlineStr">
        <is>
          <t>Savings required payment</t>
        </is>
      </c>
      <c r="B8" s="14">
        <f>PMT(rate/12,years*12,0,fv)</f>
        <v/>
      </c>
      <c r="C8" s="2" t="inlineStr">
        <is>
          <t>Finds the monthly deposit needed to reach a goal.</t>
        </is>
      </c>
      <c r="D8" s="2" t="inlineStr">
        <is>
          <t>Use fv as the goal and pv as zero if starting from zero.</t>
        </is>
      </c>
    </row>
    <row r="9">
      <c r="A9" s="2" t="inlineStr">
        <is>
          <t>Future value with payments</t>
        </is>
      </c>
      <c r="B9" s="14">
        <f>FV(rate/12,years*12,-pmt,-pv)</f>
        <v/>
      </c>
      <c r="C9" s="2" t="inlineStr">
        <is>
          <t>Projects savings with repeated deposits.</t>
        </is>
      </c>
      <c r="D9" s="2" t="inlineStr">
        <is>
          <t>Payments and starting balance are outflows.</t>
        </is>
      </c>
    </row>
    <row r="10">
      <c r="A10" s="2" t="inlineStr">
        <is>
          <t>Annuity present value</t>
        </is>
      </c>
      <c r="B10" s="14">
        <f>PV(rate/12,years*12,pmt,0)</f>
        <v/>
      </c>
      <c r="C10" s="2" t="inlineStr">
        <is>
          <t>Values a stream of equal payments today.</t>
        </is>
      </c>
      <c r="D10" s="2" t="inlineStr">
        <is>
          <t>Use the sign convention consistently.</t>
        </is>
      </c>
    </row>
    <row r="11">
      <c r="A11" s="2" t="n"/>
      <c r="B11" s="2" t="n"/>
      <c r="C11" s="2" t="n"/>
      <c r="D11" s="2" t="n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2026-06-24T14:34:45Z</dcterms:created>
  <dcterms:modified xmlns:dcterms="http://purl.org/dc/terms/" xmlns:xsi="http://www.w3.org/2001/XMLSchema-instance" xsi:type="dcterms:W3CDTF">2026-06-25T12:21:46Z</dcterms:modified>
</cp:coreProperties>
</file>