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000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b val="1"/>
      <color rgb="00FFFFFF"/>
      <sz val="12"/>
    </font>
    <font>
      <name val="Aptos"/>
      <b val="1"/>
      <color rgb="001A1F2C"/>
    </font>
    <font>
      <name val="Aptos"/>
      <i val="1"/>
      <color rgb="004A5567"/>
    </font>
    <font>
      <name val="Aptos"/>
      <b val="1"/>
      <color rgb="00FFFFFF"/>
      <sz val="11"/>
    </font>
    <font>
      <name val="Aptos Mono"/>
      <b val="1"/>
      <color rgb="00355773"/>
    </font>
  </fonts>
  <fills count="9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4A7C5E"/>
      </patternFill>
    </fill>
    <fill>
      <patternFill patternType="solid">
        <fgColor rgb="00B8843D"/>
      </patternFill>
    </fill>
    <fill>
      <patternFill patternType="solid">
        <fgColor rgb="00F2EEE5"/>
      </patternFill>
    </fill>
    <fill>
      <patternFill patternType="solid">
        <fgColor rgb="00355773"/>
      </patternFill>
    </fill>
    <fill>
      <patternFill patternType="solid">
        <fgColor rgb="00FFF2CC"/>
      </patternFill>
    </fill>
    <fill>
      <patternFill patternType="solid">
        <fgColor rgb="00EAF3EC"/>
      </patternFill>
    </fill>
  </fills>
  <borders count="2">
    <border>
      <left/>
      <right/>
      <top/>
      <bottom/>
      <diagonal/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164" fontId="0" fillId="7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  <xf numFmtId="165" fontId="0" fillId="7" borderId="1" applyAlignment="1" pivotButton="0" quotePrefix="0" xfId="0">
      <alignment vertical="center" wrapText="1"/>
    </xf>
    <xf numFmtId="166" fontId="0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34" customWidth="1" min="3" max="3"/>
    <col width="24" customWidth="1" min="4" max="4"/>
    <col width="30" customWidth="1" min="5" max="5"/>
    <col width="26" customWidth="1" min="6" max="6"/>
  </cols>
  <sheetData>
    <row r="1" ht="34" customHeight="1">
      <c r="A1" s="1" t="inlineStr">
        <is>
          <t>BUS123 - MATH-M07-L01 - Sales, Excise, and Property Taxes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 ht="24" customHeight="1">
      <c r="A3" s="4" t="inlineStr">
        <is>
          <t>How to use this workbook</t>
        </is>
      </c>
      <c r="B3" s="5" t="n"/>
      <c r="C3" s="5" t="n"/>
      <c r="D3" s="5" t="n"/>
      <c r="E3" s="5" t="n"/>
      <c r="F3" s="5" t="n"/>
    </row>
    <row r="4">
      <c r="A4" s="3" t="n"/>
      <c r="B4" s="6" t="inlineStr">
        <is>
          <t>Course</t>
        </is>
      </c>
      <c r="C4" s="7" t="inlineStr">
        <is>
          <t>BUS123 - Solving Business Problems with Technology</t>
        </is>
      </c>
      <c r="D4" s="3" t="n"/>
      <c r="E4" s="3" t="n"/>
      <c r="F4" s="3" t="n"/>
    </row>
    <row r="5">
      <c r="A5" s="3" t="n"/>
      <c r="B5" s="6" t="inlineStr">
        <is>
          <t>Module</t>
        </is>
      </c>
      <c r="C5" s="7" t="inlineStr">
        <is>
          <t>MATH-M07 - Lesson 01</t>
        </is>
      </c>
      <c r="D5" s="3" t="n"/>
      <c r="E5" s="3" t="n"/>
      <c r="F5" s="3" t="n"/>
    </row>
    <row r="6">
      <c r="A6" s="3" t="n"/>
      <c r="B6" s="6" t="inlineStr">
        <is>
          <t>Topic</t>
        </is>
      </c>
      <c r="C6" s="7" t="inlineStr">
        <is>
          <t>Sales tax, excise tax, and property tax</t>
        </is>
      </c>
      <c r="D6" s="3" t="n"/>
      <c r="E6" s="3" t="n"/>
      <c r="F6" s="3" t="n"/>
    </row>
    <row r="7">
      <c r="A7" s="3" t="n"/>
      <c r="B7" s="6" t="inlineStr">
        <is>
          <t>Companies</t>
        </is>
      </c>
      <c r="C7" s="7" t="inlineStr">
        <is>
          <t>Tidal Goods Co. and Meridian Advisory Group</t>
        </is>
      </c>
      <c r="D7" s="3" t="n"/>
      <c r="E7" s="3" t="n"/>
      <c r="F7" s="3" t="n"/>
    </row>
    <row r="8">
      <c r="A8" s="3" t="n"/>
      <c r="B8" s="6" t="inlineStr">
        <is>
          <t>Live You Try It</t>
        </is>
      </c>
      <c r="C8" s="7" t="inlineStr">
        <is>
          <t>Self-graded Excel pauses during the slide presentation. Enter slide givens in the yellow input cells first, then build formulas.</t>
        </is>
      </c>
      <c r="D8" s="3" t="n"/>
      <c r="E8" s="3" t="n"/>
      <c r="F8" s="3" t="n"/>
    </row>
    <row r="9">
      <c r="A9" s="3" t="n"/>
      <c r="B9" s="6" t="inlineStr">
        <is>
          <t>Class Challenge</t>
        </is>
      </c>
      <c r="C9" s="7" t="inlineStr">
        <is>
          <t>Graded or next-level activity. Build formulas in the yellow answer cells.</t>
        </is>
      </c>
      <c r="D9" s="3" t="n"/>
      <c r="E9" s="3" t="n"/>
      <c r="F9" s="3" t="n"/>
    </row>
    <row r="10">
      <c r="A10" s="3" t="n"/>
      <c r="B10" s="6" t="inlineStr">
        <is>
          <t>FormulaReferenceCard</t>
        </is>
      </c>
      <c r="C10" s="7" t="inlineStr">
        <is>
          <t>Syntax reminders after you decide which formula fits the business question.</t>
        </is>
      </c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 ht="24" customHeight="1">
      <c r="A13" s="8" t="inlineStr">
        <is>
          <t>Color key</t>
        </is>
      </c>
      <c r="B13" s="9" t="n"/>
      <c r="C13" s="9" t="n"/>
      <c r="D13" s="9" t="n"/>
      <c r="E13" s="9" t="n"/>
      <c r="F13" s="9" t="n"/>
    </row>
    <row r="14">
      <c r="A14" s="3" t="n"/>
      <c r="B14" s="7" t="inlineStr">
        <is>
          <t>Yellow input cells</t>
        </is>
      </c>
      <c r="C14" s="7" t="inlineStr">
        <is>
          <t>Student entry cells for slide givens and formulas.</t>
        </is>
      </c>
      <c r="D14" s="3" t="n"/>
      <c r="E14" s="3" t="n"/>
      <c r="F14" s="3" t="n"/>
    </row>
    <row r="15">
      <c r="A15" s="3" t="n"/>
      <c r="B15" s="7" t="inlineStr">
        <is>
          <t>Green feedback cells</t>
        </is>
      </c>
      <c r="C15" s="7" t="inlineStr">
        <is>
          <t>Self-check formulas on Live You Try It.</t>
        </is>
      </c>
      <c r="D15" s="3" t="n"/>
      <c r="E15" s="3" t="n"/>
      <c r="F15" s="3" t="n"/>
    </row>
    <row r="16">
      <c r="A16" s="3" t="n"/>
      <c r="B16" s="7" t="inlineStr">
        <is>
          <t>Formula cells in Class Challenge</t>
        </is>
      </c>
      <c r="C16" s="7" t="inlineStr">
        <is>
          <t>Leave blank in starter; fill with formulas during the activity.</t>
        </is>
      </c>
      <c r="D16" s="3" t="n"/>
      <c r="E16" s="3" t="n"/>
      <c r="F16" s="3" t="n"/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58" customWidth="1" min="3" max="3"/>
    <col width="16" customWidth="1" min="4" max="4"/>
    <col width="16" customWidth="1" min="5" max="5"/>
    <col width="16" customWidth="1" min="6" max="6"/>
    <col width="16" customWidth="1" min="7" max="7"/>
    <col width="22" customWidth="1" min="8" max="8"/>
    <col width="34" customWidth="1" min="9" max="9"/>
    <col width="34" customWidth="1" min="10" max="10"/>
    <col width="14" customWidth="1" min="11" max="11"/>
  </cols>
  <sheetData>
    <row r="1" ht="34" customHeight="1">
      <c r="A1" s="1" t="inlineStr">
        <is>
          <t>MATH-M07 - Live You Try It | Self-graded Excel pauses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>
      <c r="A3" s="10" t="inlineStr">
        <is>
          <t>Use the exact numbers from the slides. First enter the givens in the yellow input cells, then build the calculation in column H by referencing those cells.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11" t="inlineStr">
        <is>
          <t>#</t>
        </is>
      </c>
      <c r="B5" s="11" t="inlineStr">
        <is>
          <t>Topic</t>
        </is>
      </c>
      <c r="C5" s="11" t="inlineStr">
        <is>
          <t>Task</t>
        </is>
      </c>
      <c r="D5" s="11" t="inlineStr">
        <is>
          <t>Input 1</t>
        </is>
      </c>
      <c r="E5" s="11" t="inlineStr">
        <is>
          <t>Input 2</t>
        </is>
      </c>
      <c r="F5" s="11" t="inlineStr">
        <is>
          <t>Input 3</t>
        </is>
      </c>
      <c r="G5" s="11" t="inlineStr">
        <is>
          <t>Input 4</t>
        </is>
      </c>
      <c r="H5" s="11" t="inlineStr">
        <is>
          <t>Formula / Answer</t>
        </is>
      </c>
      <c r="I5" s="11" t="inlineStr">
        <is>
          <t>Self-check feedback</t>
        </is>
      </c>
      <c r="J5" s="11" t="inlineStr">
        <is>
          <t>Hint</t>
        </is>
      </c>
      <c r="K5" s="11" t="inlineStr">
        <is>
          <t>Slide</t>
        </is>
      </c>
    </row>
    <row r="6">
      <c r="A6" s="7" t="n">
        <v>1</v>
      </c>
      <c r="B6" s="7" t="inlineStr">
        <is>
          <t>Sales tax</t>
        </is>
      </c>
      <c r="C6" s="7" t="inlineStr">
        <is>
          <t>D: retail price 480; E: trade discount 80; H: taxable subtotal.</t>
        </is>
      </c>
      <c r="D6" s="12" t="n"/>
      <c r="E6" s="12" t="n"/>
      <c r="F6" s="13" t="n"/>
      <c r="G6" s="13" t="n"/>
      <c r="H6" s="12" t="n"/>
      <c r="I6" s="14">
        <f>IF(COUNT(D6,E6,H6)&lt;3,"Enter the slide inputs and formula first",IF(AND(ABS(D6-480)&lt;=0.01,ABS(E6-80)&lt;=0.01,ABS(H6-400)&lt;=0.01),"Correct - inputs and cell references are working","Check: Subtract the discount before tax."))</f>
        <v/>
      </c>
      <c r="J6" s="7" t="inlineStr">
        <is>
          <t>Subtract the discount before tax.</t>
        </is>
      </c>
      <c r="K6" s="7" t="inlineStr">
        <is>
          <t>slide 7</t>
        </is>
      </c>
    </row>
    <row r="7">
      <c r="A7" s="7" t="n">
        <v>2</v>
      </c>
      <c r="B7" s="7" t="inlineStr">
        <is>
          <t>Sales tax</t>
        </is>
      </c>
      <c r="C7" s="7" t="inlineStr">
        <is>
          <t>E: tax rate 6%; H: tax owed using row 1 subtotal.</t>
        </is>
      </c>
      <c r="D7" s="13" t="n"/>
      <c r="E7" s="15" t="n"/>
      <c r="F7" s="13" t="n"/>
      <c r="G7" s="13" t="n"/>
      <c r="H7" s="12" t="n"/>
      <c r="I7" s="14">
        <f>IF(COUNT(H6,E7,H7)&lt;3,"Enter the slide inputs and formula first",IF(AND(ABS(E7-0.06)&lt;=5e-05,ABS(H7-24)&lt;=0.01),"Correct - inputs and cell references are working","Check: Use the taxable subtotal cell, not the retail price."))</f>
        <v/>
      </c>
      <c r="J7" s="7" t="inlineStr">
        <is>
          <t>Use the taxable subtotal cell, not the retail price.</t>
        </is>
      </c>
      <c r="K7" s="7" t="inlineStr">
        <is>
          <t>slide 7</t>
        </is>
      </c>
    </row>
    <row r="8">
      <c r="A8" s="7" t="n">
        <v>3</v>
      </c>
      <c r="B8" s="7" t="inlineStr">
        <is>
          <t>Sales tax</t>
        </is>
      </c>
      <c r="C8" s="7" t="inlineStr">
        <is>
          <t>D: shipping 15; H: total price using rows 1 and 2.</t>
        </is>
      </c>
      <c r="D8" s="12" t="n"/>
      <c r="E8" s="13" t="n"/>
      <c r="F8" s="13" t="n"/>
      <c r="G8" s="13" t="n"/>
      <c r="H8" s="12" t="n"/>
      <c r="I8" s="14">
        <f>IF(COUNT(H6,H7,D8,H8)&lt;4,"Enter the slide inputs and formula first",IF(AND(ABS(D8-15)&lt;=0.01,ABS(H8-439)&lt;=0.01),"Correct - inputs and cell references are working","Check: Shipping is added after tax."))</f>
        <v/>
      </c>
      <c r="J8" s="7" t="inlineStr">
        <is>
          <t>Shipping is added after tax.</t>
        </is>
      </c>
      <c r="K8" s="7" t="inlineStr">
        <is>
          <t>slide 8</t>
        </is>
      </c>
    </row>
    <row r="9">
      <c r="A9" s="7" t="n">
        <v>4</v>
      </c>
      <c r="B9" s="7" t="inlineStr">
        <is>
          <t>Reverse tax</t>
        </is>
      </c>
      <c r="C9" s="7" t="inlineStr">
        <is>
          <t>D: receipts 52,000; E: tax rate 6.5%; H: pre-tax sales.</t>
        </is>
      </c>
      <c r="D9" s="12" t="n"/>
      <c r="E9" s="15" t="n"/>
      <c r="F9" s="13" t="n"/>
      <c r="G9" s="13" t="n"/>
      <c r="H9" s="12" t="n"/>
      <c r="I9" s="14">
        <f>IF(COUNT(D9,E9,H9)&lt;3,"Enter the slide inputs and formula first",IF(AND(ABS(D9-52000)&lt;=0.01,ABS(E9-0.065)&lt;=5e-05,ABS(H9-48826.29)&lt;=0.01),"Correct - inputs and cell references are working","Check: Divide by 1 plus the tax rate."))</f>
        <v/>
      </c>
      <c r="J9" s="7" t="inlineStr">
        <is>
          <t>Divide by 1 plus the tax rate.</t>
        </is>
      </c>
      <c r="K9" s="7" t="inlineStr">
        <is>
          <t>slide 10</t>
        </is>
      </c>
    </row>
    <row r="10">
      <c r="A10" s="7" t="n">
        <v>5</v>
      </c>
      <c r="B10" s="7" t="inlineStr">
        <is>
          <t>Reverse tax</t>
        </is>
      </c>
      <c r="C10" s="7" t="inlineStr">
        <is>
          <t>H: tax held using row 4 receipts and pre-tax sales.</t>
        </is>
      </c>
      <c r="D10" s="13" t="n"/>
      <c r="E10" s="13" t="n"/>
      <c r="F10" s="13" t="n"/>
      <c r="G10" s="13" t="n"/>
      <c r="H10" s="12" t="n"/>
      <c r="I10" s="14">
        <f>IF(COUNT(D9,H9,H10)&lt;3,"Enter the slide inputs and formula first",IF(AND(ABS(H10-3173.71)&lt;=0.01),"Correct - inputs and cell references are working","Check: Receipts minus pre-tax sales."))</f>
        <v/>
      </c>
      <c r="J10" s="7" t="inlineStr">
        <is>
          <t>Receipts minus pre-tax sales.</t>
        </is>
      </c>
      <c r="K10" s="7" t="inlineStr">
        <is>
          <t>slide 10</t>
        </is>
      </c>
    </row>
    <row r="11">
      <c r="A11" s="7" t="n">
        <v>6</v>
      </c>
      <c r="B11" s="7" t="inlineStr">
        <is>
          <t>Excise tax</t>
        </is>
      </c>
      <c r="C11" s="7" t="inlineStr">
        <is>
          <t>D: base cost 6,200; E: sales tax rate 7%; H: sales tax.</t>
        </is>
      </c>
      <c r="D11" s="12" t="n"/>
      <c r="E11" s="15" t="n"/>
      <c r="F11" s="13" t="n"/>
      <c r="G11" s="13" t="n"/>
      <c r="H11" s="12" t="n"/>
      <c r="I11" s="14">
        <f>IF(COUNT(D11,E11,H11)&lt;3,"Enter the slide inputs and formula first",IF(AND(ABS(D11-6200)&lt;=0.01,ABS(E11-0.07)&lt;=5e-05,ABS(H11-434)&lt;=0.01),"Correct - inputs and cell references are working","Check: Both rates hit the base cost."))</f>
        <v/>
      </c>
      <c r="J11" s="7" t="inlineStr">
        <is>
          <t>Both rates hit the base cost.</t>
        </is>
      </c>
      <c r="K11" s="7" t="inlineStr">
        <is>
          <t>slide 14</t>
        </is>
      </c>
    </row>
    <row r="12">
      <c r="A12" s="7" t="n">
        <v>7</v>
      </c>
      <c r="B12" s="7" t="inlineStr">
        <is>
          <t>Excise tax</t>
        </is>
      </c>
      <c r="C12" s="7" t="inlineStr">
        <is>
          <t>D: base cost 6,200; E: excise tax rate 8%; H: excise tax.</t>
        </is>
      </c>
      <c r="D12" s="12" t="n"/>
      <c r="E12" s="15" t="n"/>
      <c r="F12" s="13" t="n"/>
      <c r="G12" s="13" t="n"/>
      <c r="H12" s="12" t="n"/>
      <c r="I12" s="14">
        <f>IF(COUNT(D12,E12,H12)&lt;3,"Enter the slide inputs and formula first",IF(AND(ABS(D12-6200)&lt;=0.01,ABS(E12-0.08)&lt;=5e-05,ABS(H12-496)&lt;=0.01),"Correct - inputs and cell references are working","Check: Do not apply excise to the tax-included cost."))</f>
        <v/>
      </c>
      <c r="J12" s="7" t="inlineStr">
        <is>
          <t>Do not apply excise to the tax-included cost.</t>
        </is>
      </c>
      <c r="K12" s="7" t="inlineStr">
        <is>
          <t>slide 14</t>
        </is>
      </c>
    </row>
    <row r="13">
      <c r="A13" s="7" t="n">
        <v>8</v>
      </c>
      <c r="B13" s="7" t="inlineStr">
        <is>
          <t>Excise tax</t>
        </is>
      </c>
      <c r="C13" s="7" t="inlineStr">
        <is>
          <t>D: base cost 6,200; H: total cost using rows 6 and 7.</t>
        </is>
      </c>
      <c r="D13" s="12" t="n"/>
      <c r="E13" s="13" t="n"/>
      <c r="F13" s="13" t="n"/>
      <c r="G13" s="13" t="n"/>
      <c r="H13" s="12" t="n"/>
      <c r="I13" s="14">
        <f>IF(COUNT(H11,H12,D13,H13)&lt;4,"Enter the slide inputs and formula first",IF(AND(ABS(D13-6200)&lt;=0.01,ABS(H13-7130)&lt;=0.01),"Correct - inputs and cell references are working","Check: Base plus both tax amounts."))</f>
        <v/>
      </c>
      <c r="J13" s="7" t="inlineStr">
        <is>
          <t>Base plus both tax amounts.</t>
        </is>
      </c>
      <c r="K13" s="7" t="inlineStr">
        <is>
          <t>slide 15</t>
        </is>
      </c>
    </row>
    <row r="14">
      <c r="A14" s="7" t="n">
        <v>9</v>
      </c>
      <c r="B14" s="7" t="inlineStr">
        <is>
          <t>Property tax</t>
        </is>
      </c>
      <c r="C14" s="7" t="inlineStr">
        <is>
          <t>D: market value 820,000; E: assessment rate 40%; H: assessed value.</t>
        </is>
      </c>
      <c r="D14" s="12" t="n"/>
      <c r="E14" s="15" t="n"/>
      <c r="F14" s="13" t="n"/>
      <c r="G14" s="13" t="n"/>
      <c r="H14" s="12" t="n"/>
      <c r="I14" s="14">
        <f>IF(COUNT(D14,E14,H14)&lt;3,"Enter the slide inputs and formula first",IF(AND(ABS(D14-820000)&lt;=0.01,ABS(E14-0.4)&lt;=5e-05,ABS(H14-328000)&lt;=0.01),"Correct - inputs and cell references are working","Check: Assessment rate times market value."))</f>
        <v/>
      </c>
      <c r="J14" s="7" t="inlineStr">
        <is>
          <t>Assessment rate times market value.</t>
        </is>
      </c>
      <c r="K14" s="7" t="inlineStr">
        <is>
          <t>slide 20</t>
        </is>
      </c>
    </row>
    <row r="15">
      <c r="A15" s="7" t="n">
        <v>10</v>
      </c>
      <c r="B15" s="7" t="inlineStr">
        <is>
          <t>Property tax</t>
        </is>
      </c>
      <c r="C15" s="7" t="inlineStr">
        <is>
          <t>D: town budget 310,000; E: total assessed value 4,750,000; H: rounded rate.</t>
        </is>
      </c>
      <c r="D15" s="12" t="n"/>
      <c r="E15" s="12" t="n"/>
      <c r="F15" s="13" t="n"/>
      <c r="G15" s="13" t="n"/>
      <c r="H15" s="16" t="n"/>
      <c r="I15" s="14">
        <f>IF(COUNT(D15,E15,H15)&lt;3,"Enter the slide inputs and formula first",IF(AND(ABS(D15-310000)&lt;=0.01,ABS(E15-4750000)&lt;=0.01,ABS(H15-0.0653)&lt;=5e-05),"Correct - inputs and cell references are working","Check: Round the rate before applying it."))</f>
        <v/>
      </c>
      <c r="J15" s="7" t="inlineStr">
        <is>
          <t>Round the rate before applying it.</t>
        </is>
      </c>
      <c r="K15" s="7" t="inlineStr">
        <is>
          <t>slide 20</t>
        </is>
      </c>
    </row>
    <row r="16">
      <c r="A16" s="7" t="n">
        <v>11</v>
      </c>
      <c r="B16" s="7" t="inlineStr">
        <is>
          <t>Property tax</t>
        </is>
      </c>
      <c r="C16" s="7" t="inlineStr">
        <is>
          <t>H: annual tax due using row 9 assessed value and row 10 rounded rate.</t>
        </is>
      </c>
      <c r="D16" s="13" t="n"/>
      <c r="E16" s="13" t="n"/>
      <c r="F16" s="13" t="n"/>
      <c r="G16" s="13" t="n"/>
      <c r="H16" s="12" t="n"/>
      <c r="I16" s="14">
        <f>IF(COUNT(H14,H15,H16)&lt;3,"Enter the slide inputs and formula first",IF(AND(ABS(H16-21418.4)&lt;=0.01),"Correct - inputs and cell references are working","Check: Rounded tax rate times assessed value."))</f>
        <v/>
      </c>
      <c r="J16" s="7" t="inlineStr">
        <is>
          <t>Rounded tax rate times assessed value.</t>
        </is>
      </c>
      <c r="K16" s="7" t="inlineStr">
        <is>
          <t>slide 20</t>
        </is>
      </c>
    </row>
  </sheetData>
  <mergeCells count="2">
    <mergeCell ref="A1:K1"/>
    <mergeCell ref="A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24" customWidth="1" min="3" max="3"/>
    <col width="18" customWidth="1" min="4" max="4"/>
    <col width="18" customWidth="1" min="5" max="5"/>
    <col width="18" customWidth="1" min="6" max="6"/>
    <col width="22" customWidth="1" min="7" max="7"/>
    <col width="38" customWidth="1" min="8" max="8"/>
  </cols>
  <sheetData>
    <row r="1" ht="34" customHeight="1">
      <c r="A1" s="1" t="inlineStr">
        <is>
          <t>MATH-M07 - Class Challenge | 15 formula questions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</row>
    <row r="3">
      <c r="A3" s="10" t="inlineStr">
        <is>
          <t>Build formulas in column G. This tab is the graded or next-level activity; answer cells are intentionally blank in the student starter.</t>
        </is>
      </c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#</t>
        </is>
      </c>
      <c r="B5" s="11" t="inlineStr">
        <is>
          <t>Tax area</t>
        </is>
      </c>
      <c r="C5" s="11" t="inlineStr">
        <is>
          <t>Task</t>
        </is>
      </c>
      <c r="D5" s="11" t="inlineStr">
        <is>
          <t>Input 1</t>
        </is>
      </c>
      <c r="E5" s="11" t="inlineStr">
        <is>
          <t>Input 2</t>
        </is>
      </c>
      <c r="F5" s="11" t="inlineStr">
        <is>
          <t>Input 3</t>
        </is>
      </c>
      <c r="G5" s="11" t="inlineStr">
        <is>
          <t>Student formula / answer</t>
        </is>
      </c>
      <c r="H5" s="11" t="inlineStr">
        <is>
          <t>Hint</t>
        </is>
      </c>
    </row>
    <row r="6">
      <c r="A6" s="7" t="n">
        <v>1</v>
      </c>
      <c r="B6" s="7" t="inlineStr">
        <is>
          <t>Sales tax</t>
        </is>
      </c>
      <c r="C6" s="7" t="inlineStr">
        <is>
          <t>Taxable subtotal</t>
        </is>
      </c>
      <c r="D6" s="7" t="n">
        <v>1200</v>
      </c>
      <c r="E6" s="7" t="n">
        <v>180</v>
      </c>
      <c r="F6" s="7" t="n"/>
      <c r="G6" s="12" t="n"/>
      <c r="H6" s="7" t="inlineStr">
        <is>
          <t>Retail price less trade discount.</t>
        </is>
      </c>
    </row>
    <row r="7">
      <c r="A7" s="7" t="n">
        <v>2</v>
      </c>
      <c r="B7" s="7" t="inlineStr">
        <is>
          <t>Sales tax</t>
        </is>
      </c>
      <c r="C7" s="7" t="inlineStr">
        <is>
          <t>Sales tax owed</t>
        </is>
      </c>
      <c r="D7" s="7" t="inlineStr">
        <is>
          <t>Use Q1</t>
        </is>
      </c>
      <c r="E7" s="7" t="n">
        <v>0.0625</v>
      </c>
      <c r="F7" s="7" t="n"/>
      <c r="G7" s="12" t="n"/>
      <c r="H7" s="7" t="inlineStr">
        <is>
          <t>Multiply taxable subtotal by rate.</t>
        </is>
      </c>
    </row>
    <row r="8">
      <c r="A8" s="7" t="n">
        <v>3</v>
      </c>
      <c r="B8" s="7" t="inlineStr">
        <is>
          <t>Sales tax</t>
        </is>
      </c>
      <c r="C8" s="7" t="inlineStr">
        <is>
          <t>Total customer price</t>
        </is>
      </c>
      <c r="D8" s="7" t="inlineStr">
        <is>
          <t>Use Q1</t>
        </is>
      </c>
      <c r="E8" s="7" t="inlineStr">
        <is>
          <t>Use Q2</t>
        </is>
      </c>
      <c r="F8" s="7" t="n">
        <v>28</v>
      </c>
      <c r="G8" s="12" t="n"/>
      <c r="H8" s="7" t="inlineStr">
        <is>
          <t>Add shipping after tax.</t>
        </is>
      </c>
    </row>
    <row r="9">
      <c r="A9" s="7" t="n">
        <v>4</v>
      </c>
      <c r="B9" s="7" t="inlineStr">
        <is>
          <t>Sales tax</t>
        </is>
      </c>
      <c r="C9" s="7" t="inlineStr">
        <is>
          <t>Back-calculate pre-tax sales</t>
        </is>
      </c>
      <c r="D9" s="7" t="n">
        <v>78625</v>
      </c>
      <c r="E9" s="7" t="n">
        <v>0.0625</v>
      </c>
      <c r="F9" s="7" t="n"/>
      <c r="G9" s="12" t="n"/>
      <c r="H9" s="7" t="inlineStr">
        <is>
          <t>Divide receipts by 1 plus rate.</t>
        </is>
      </c>
    </row>
    <row r="10">
      <c r="A10" s="7" t="n">
        <v>5</v>
      </c>
      <c r="B10" s="7" t="inlineStr">
        <is>
          <t>Sales tax</t>
        </is>
      </c>
      <c r="C10" s="7" t="inlineStr">
        <is>
          <t>Tax remittance held</t>
        </is>
      </c>
      <c r="D10" s="7" t="n">
        <v>78625</v>
      </c>
      <c r="E10" s="7" t="inlineStr">
        <is>
          <t>Use Q4</t>
        </is>
      </c>
      <c r="F10" s="7" t="n"/>
      <c r="G10" s="12" t="n"/>
      <c r="H10" s="7" t="inlineStr">
        <is>
          <t>Receipts minus pre-tax sales.</t>
        </is>
      </c>
    </row>
    <row r="11">
      <c r="A11" s="7" t="n">
        <v>6</v>
      </c>
      <c r="B11" s="7" t="inlineStr">
        <is>
          <t>Excise tax</t>
        </is>
      </c>
      <c r="C11" s="7" t="inlineStr">
        <is>
          <t>Sales tax amount</t>
        </is>
      </c>
      <c r="D11" s="7" t="n">
        <v>8400</v>
      </c>
      <c r="E11" s="7" t="n">
        <v>0.07000000000000001</v>
      </c>
      <c r="F11" s="7" t="n"/>
      <c r="G11" s="12" t="n"/>
      <c r="H11" s="7" t="inlineStr">
        <is>
          <t>Both taxes use base cost.</t>
        </is>
      </c>
    </row>
    <row r="12">
      <c r="A12" s="7" t="n">
        <v>7</v>
      </c>
      <c r="B12" s="7" t="inlineStr">
        <is>
          <t>Excise tax</t>
        </is>
      </c>
      <c r="C12" s="7" t="inlineStr">
        <is>
          <t>Excise tax amount</t>
        </is>
      </c>
      <c r="D12" s="7" t="n">
        <v>8400</v>
      </c>
      <c r="E12" s="7" t="n">
        <v>0.09</v>
      </c>
      <c r="F12" s="7" t="n"/>
      <c r="G12" s="12" t="n"/>
      <c r="H12" s="7" t="inlineStr">
        <is>
          <t>Use the excise rate on base cost.</t>
        </is>
      </c>
    </row>
    <row r="13">
      <c r="A13" s="7" t="n">
        <v>8</v>
      </c>
      <c r="B13" s="7" t="inlineStr">
        <is>
          <t>Excise tax</t>
        </is>
      </c>
      <c r="C13" s="7" t="inlineStr">
        <is>
          <t>Total cost - separate taxes</t>
        </is>
      </c>
      <c r="D13" s="7" t="n">
        <v>8400</v>
      </c>
      <c r="E13" s="7" t="inlineStr">
        <is>
          <t>Use Q6</t>
        </is>
      </c>
      <c r="F13" s="7" t="inlineStr">
        <is>
          <t>Use Q7</t>
        </is>
      </c>
      <c r="G13" s="12" t="n"/>
      <c r="H13" s="7" t="inlineStr">
        <is>
          <t>Base plus both tax amounts.</t>
        </is>
      </c>
    </row>
    <row r="14">
      <c r="A14" s="7" t="n">
        <v>9</v>
      </c>
      <c r="B14" s="7" t="inlineStr">
        <is>
          <t>Excise tax</t>
        </is>
      </c>
      <c r="C14" s="7" t="inlineStr">
        <is>
          <t>Combined tax rate</t>
        </is>
      </c>
      <c r="D14" s="7" t="n">
        <v>0.07000000000000001</v>
      </c>
      <c r="E14" s="7" t="n">
        <v>0.09</v>
      </c>
      <c r="F14" s="7" t="n"/>
      <c r="G14" s="16" t="n"/>
      <c r="H14" s="7" t="inlineStr">
        <is>
          <t>Add rates only when the base is shared.</t>
        </is>
      </c>
    </row>
    <row r="15">
      <c r="A15" s="7" t="n">
        <v>10</v>
      </c>
      <c r="B15" s="7" t="inlineStr">
        <is>
          <t>Excise tax</t>
        </is>
      </c>
      <c r="C15" s="7" t="inlineStr">
        <is>
          <t>Total cost - shortcut</t>
        </is>
      </c>
      <c r="D15" s="7" t="n">
        <v>8400</v>
      </c>
      <c r="E15" s="7" t="inlineStr">
        <is>
          <t>Use Q9</t>
        </is>
      </c>
      <c r="F15" s="7" t="n"/>
      <c r="G15" s="12" t="n"/>
      <c r="H15" s="7" t="inlineStr">
        <is>
          <t>Base times 1 plus combined rate.</t>
        </is>
      </c>
    </row>
    <row r="16">
      <c r="A16" s="7" t="n">
        <v>11</v>
      </c>
      <c r="B16" s="7" t="inlineStr">
        <is>
          <t>Property tax</t>
        </is>
      </c>
      <c r="C16" s="7" t="inlineStr">
        <is>
          <t>Assessed value</t>
        </is>
      </c>
      <c r="D16" s="7" t="n">
        <v>1250000</v>
      </c>
      <c r="E16" s="7" t="n">
        <v>0.42</v>
      </c>
      <c r="F16" s="7" t="n"/>
      <c r="G16" s="12" t="n"/>
      <c r="H16" s="7" t="inlineStr">
        <is>
          <t>Market value times assessment rate.</t>
        </is>
      </c>
    </row>
    <row r="17">
      <c r="A17" s="7" t="n">
        <v>12</v>
      </c>
      <c r="B17" s="7" t="inlineStr">
        <is>
          <t>Property tax</t>
        </is>
      </c>
      <c r="C17" s="7" t="inlineStr">
        <is>
          <t>Raw tax rate</t>
        </is>
      </c>
      <c r="D17" s="7" t="n">
        <v>575000</v>
      </c>
      <c r="E17" s="7" t="n">
        <v>9200000</v>
      </c>
      <c r="F17" s="7" t="n"/>
      <c r="G17" s="16" t="n"/>
      <c r="H17" s="7" t="inlineStr">
        <is>
          <t>Budget divided by total assessed value.</t>
        </is>
      </c>
    </row>
    <row r="18">
      <c r="A18" s="7" t="n">
        <v>13</v>
      </c>
      <c r="B18" s="7" t="inlineStr">
        <is>
          <t>Property tax</t>
        </is>
      </c>
      <c r="C18" s="7" t="inlineStr">
        <is>
          <t>Rounded tax rate</t>
        </is>
      </c>
      <c r="D18" s="7" t="inlineStr">
        <is>
          <t>Use Q12</t>
        </is>
      </c>
      <c r="E18" s="7" t="n"/>
      <c r="F18" s="7" t="n"/>
      <c r="G18" s="16" t="n"/>
      <c r="H18" s="7" t="inlineStr">
        <is>
          <t>Round to four decimal places.</t>
        </is>
      </c>
    </row>
    <row r="19">
      <c r="A19" s="7" t="n">
        <v>14</v>
      </c>
      <c r="B19" s="7" t="inlineStr">
        <is>
          <t>Property tax</t>
        </is>
      </c>
      <c r="C19" s="7" t="inlineStr">
        <is>
          <t>Annual property tax</t>
        </is>
      </c>
      <c r="D19" s="7" t="inlineStr">
        <is>
          <t>Use Q11</t>
        </is>
      </c>
      <c r="E19" s="7" t="inlineStr">
        <is>
          <t>Use Q13</t>
        </is>
      </c>
      <c r="F19" s="7" t="n"/>
      <c r="G19" s="12" t="n"/>
      <c r="H19" s="7" t="inlineStr">
        <is>
          <t>Assessed value times rounded tax rate.</t>
        </is>
      </c>
    </row>
    <row r="20">
      <c r="A20" s="7" t="n">
        <v>15</v>
      </c>
      <c r="B20" s="7" t="inlineStr">
        <is>
          <t>Property tax</t>
        </is>
      </c>
      <c r="C20" s="7" t="inlineStr">
        <is>
          <t>Monthly NNN reserve</t>
        </is>
      </c>
      <c r="D20" s="7" t="inlineStr">
        <is>
          <t>Use Q14</t>
        </is>
      </c>
      <c r="E20" s="7" t="n"/>
      <c r="F20" s="7" t="n"/>
      <c r="G20" s="12" t="n"/>
      <c r="H20" s="7" t="inlineStr">
        <is>
          <t>Divide annual tax by 12 months.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44" customWidth="1" min="3" max="3"/>
    <col width="38" customWidth="1" min="4" max="4"/>
  </cols>
  <sheetData>
    <row r="1" ht="34" customHeight="1">
      <c r="A1" s="1" t="inlineStr">
        <is>
          <t>MATH-M07 - FormulaReferenceCard</t>
        </is>
      </c>
      <c r="B1" s="2" t="n"/>
      <c r="C1" s="2" t="n"/>
      <c r="D1" s="2" t="n"/>
    </row>
    <row r="2">
      <c r="A2" s="3" t="n"/>
      <c r="B2" s="3" t="n"/>
      <c r="C2" s="3" t="n"/>
      <c r="D2" s="3" t="n"/>
    </row>
    <row r="3">
      <c r="A3" s="11" t="inlineStr">
        <is>
          <t>Concept</t>
        </is>
      </c>
      <c r="B3" s="11" t="inlineStr">
        <is>
          <t>Excel Pattern</t>
        </is>
      </c>
      <c r="C3" s="11" t="inlineStr">
        <is>
          <t>Plain-English Meaning</t>
        </is>
      </c>
      <c r="D3" s="11" t="inlineStr">
        <is>
          <t>Watch Out For</t>
        </is>
      </c>
    </row>
    <row r="4">
      <c r="A4" s="7" t="inlineStr">
        <is>
          <t>Taxable subtotal</t>
        </is>
      </c>
      <c r="B4" s="17" t="inlineStr">
        <is>
          <t>=Price-Discount</t>
        </is>
      </c>
      <c r="C4" s="7" t="inlineStr">
        <is>
          <t>Finds the amount subject to sales tax.</t>
        </is>
      </c>
      <c r="D4" s="7" t="inlineStr">
        <is>
          <t>Apply discounts before tax.</t>
        </is>
      </c>
    </row>
    <row r="5">
      <c r="A5" s="7" t="inlineStr">
        <is>
          <t>Sales tax owed</t>
        </is>
      </c>
      <c r="B5" s="17" t="inlineStr">
        <is>
          <t>=Taxable*Rate</t>
        </is>
      </c>
      <c r="C5" s="7" t="inlineStr">
        <is>
          <t>Calculates the tax on the taxable subtotal.</t>
        </is>
      </c>
      <c r="D5" s="7" t="inlineStr">
        <is>
          <t>Use the tax rate as a decimal.</t>
        </is>
      </c>
    </row>
    <row r="6">
      <c r="A6" s="7" t="inlineStr">
        <is>
          <t>Total price</t>
        </is>
      </c>
      <c r="B6" s="17" t="inlineStr">
        <is>
          <t>=Taxable+Tax+Shipping</t>
        </is>
      </c>
      <c r="C6" s="7" t="inlineStr">
        <is>
          <t>Adds taxable amount, tax, and shipping.</t>
        </is>
      </c>
      <c r="D6" s="7" t="inlineStr">
        <is>
          <t>Shipping rules can vary by scenario.</t>
        </is>
      </c>
    </row>
    <row r="7">
      <c r="A7" s="7" t="inlineStr">
        <is>
          <t>Back-calculate sales</t>
        </is>
      </c>
      <c r="B7" s="17" t="inlineStr">
        <is>
          <t>=TotalReceipts/(1+Rate)</t>
        </is>
      </c>
      <c r="C7" s="7" t="inlineStr">
        <is>
          <t>Finds sales before tax from total receipts.</t>
        </is>
      </c>
      <c r="D7" s="7" t="inlineStr">
        <is>
          <t>Do not subtract the tax rate directly.</t>
        </is>
      </c>
    </row>
    <row r="8">
      <c r="A8" s="7" t="inlineStr">
        <is>
          <t>Tax remittance</t>
        </is>
      </c>
      <c r="B8" s="17" t="inlineStr">
        <is>
          <t>=Receipts-PreTaxSales</t>
        </is>
      </c>
      <c r="C8" s="7" t="inlineStr">
        <is>
          <t>Finds tax collected and owed to the government.</t>
        </is>
      </c>
      <c r="D8" s="7" t="inlineStr">
        <is>
          <t>Collected tax is not revenue.</t>
        </is>
      </c>
    </row>
    <row r="9">
      <c r="A9" s="7" t="inlineStr">
        <is>
          <t>Separate excise taxes</t>
        </is>
      </c>
      <c r="B9" s="17" t="inlineStr">
        <is>
          <t>=Base*SalesRate and =Base*ExciseRate</t>
        </is>
      </c>
      <c r="C9" s="7" t="inlineStr">
        <is>
          <t>Calculates both tax amounts from the same base.</t>
        </is>
      </c>
      <c r="D9" s="7" t="inlineStr">
        <is>
          <t>Do not compound the two rates.</t>
        </is>
      </c>
    </row>
    <row r="10">
      <c r="A10" s="7" t="inlineStr">
        <is>
          <t>Combined excise shortcut</t>
        </is>
      </c>
      <c r="B10" s="17" t="inlineStr">
        <is>
          <t>=Base*(1+SalesRate+ExciseRate)</t>
        </is>
      </c>
      <c r="C10" s="7" t="inlineStr">
        <is>
          <t>Combines rates when they share one base.</t>
        </is>
      </c>
      <c r="D10" s="7" t="inlineStr">
        <is>
          <t>Only use when both taxes share the same base.</t>
        </is>
      </c>
    </row>
    <row r="11">
      <c r="A11" s="7" t="inlineStr">
        <is>
          <t>Assessed value</t>
        </is>
      </c>
      <c r="B11" s="17" t="inlineStr">
        <is>
          <t>=MarketValue*AssessmentRate</t>
        </is>
      </c>
      <c r="C11" s="7" t="inlineStr">
        <is>
          <t>Converts market value to taxable assessed value.</t>
        </is>
      </c>
      <c r="D11" s="7" t="inlineStr">
        <is>
          <t>Use assessed value for tax due.</t>
        </is>
      </c>
    </row>
    <row r="12">
      <c r="A12" s="7" t="inlineStr">
        <is>
          <t>Property tax rate</t>
        </is>
      </c>
      <c r="B12" s="17" t="inlineStr">
        <is>
          <t>=ROUND(Budget/TotalAV,4)</t>
        </is>
      </c>
      <c r="C12" s="7" t="inlineStr">
        <is>
          <t>Rounds the municipal tax rate to four decimals.</t>
        </is>
      </c>
      <c r="D12" s="7" t="inlineStr">
        <is>
          <t>Round before applying the rate.</t>
        </is>
      </c>
    </row>
    <row r="13">
      <c r="A13" s="7" t="inlineStr">
        <is>
          <t>Annual property tax</t>
        </is>
      </c>
      <c r="B13" s="17" t="inlineStr">
        <is>
          <t>=RoundedRate*AssessedValue</t>
        </is>
      </c>
      <c r="C13" s="7" t="inlineStr">
        <is>
          <t>Calculates annual property tax due.</t>
        </is>
      </c>
      <c r="D13" s="7" t="inlineStr">
        <is>
          <t>Use the rounded rate.</t>
        </is>
      </c>
    </row>
    <row r="14">
      <c r="A14" s="7" t="inlineStr">
        <is>
          <t>Monthly NNN reserve</t>
        </is>
      </c>
      <c r="B14" s="17" t="inlineStr">
        <is>
          <t>=AnnualTax/12</t>
        </is>
      </c>
      <c r="C14" s="7" t="inlineStr">
        <is>
          <t>Converts annual property tax into monthly planning cost.</t>
        </is>
      </c>
      <c r="D14" s="7" t="inlineStr">
        <is>
          <t>Useful for lease cash-flow planning.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2026-06-23T16:24:53Z</dcterms:created>
  <dcterms:modified xmlns:dcterms="http://purl.org/dc/terms/" xmlns:xsi="http://www.w3.org/2001/XMLSchema-instance" xsi:type="dcterms:W3CDTF">2026-06-23T16:24:53Z</dcterms:modified>
</cp:coreProperties>
</file>