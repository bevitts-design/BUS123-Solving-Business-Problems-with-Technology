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1_TradeDiscounts" sheetId="1" state="visible" r:id="rId3"/>
    <sheet name="Tab2_CashDiscounts" sheetId="2" state="visible" r:id="rId4"/>
    <sheet name="Tab3_Challenge" sheetId="3" state="visible" r:id="rId5"/>
    <sheet name="INSTRUCTOR_AnswerKey" sheetId="4" state="visible" r:id="rId6"/>
    <sheet name="FormulaReferenceC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<sst xmlns="http://schemas.openxmlformats.org/spreadsheetml/2006/main" count="184" uniqueCount="166">
  <si>
    <t xml:space="preserve">DUNE ROAD APPAREL — Trade Discount Calculator</t>
  </si>
  <si>
    <t xml:space="preserve">Tab 1 of 3  |  BUS 123 — Day 5  |  Trade &amp; Cash Discounts</t>
  </si>
  <si>
    <t xml:space="preserve">📋 INSTRUCTIONS: For each order below, calculate the Net Price after the trade discount(s). Blue cells are your input/formula area. Green = correct. Red = check your work!</t>
  </si>
  <si>
    <t xml:space="preserve">SECTION A: Single Trade Discount    Formula: Net Price = List Price × (1 – Discount Rate)</t>
  </si>
  <si>
    <t xml:space="preserve">Order Description</t>
  </si>
  <si>
    <t xml:space="preserve">List Price</t>
  </si>
  <si>
    <t xml:space="preserve">Discount Rate</t>
  </si>
  <si>
    <t xml:space="preserve">Net Price (Your Formula)</t>
  </si>
  <si>
    <t xml:space="preserve">Net Price (Check)</t>
  </si>
  <si>
    <t xml:space="preserve">Correct?</t>
  </si>
  <si>
    <t xml:space="preserve">Dune Rd: 50 board shorts @ $45 each</t>
  </si>
  <si>
    <t xml:space="preserve">Harbor View: 100 rashguards @ $28 each</t>
  </si>
  <si>
    <t xml:space="preserve">Dune Rd: 200 hats @ $12 each</t>
  </si>
  <si>
    <t xml:space="preserve">Endicott Mgmt Group: 30 polo shirts @ $65 each</t>
  </si>
  <si>
    <t xml:space="preserve">SECTION B: Series (Chain) Trade Discounts    Formula: Net Price = List Price × (1-d1) × (1-d2) × (1-d3)</t>
  </si>
  <si>
    <t xml:space="preserve">Discount 1</t>
  </si>
  <si>
    <t xml:space="preserve">Discount 2</t>
  </si>
  <si>
    <t xml:space="preserve">Discount 3</t>
  </si>
  <si>
    <t xml:space="preserve">Dune Rd: Summer collection order</t>
  </si>
  <si>
    <t xml:space="preserve">Harbor View: Wetsuit order</t>
  </si>
  <si>
    <t xml:space="preserve">N/A</t>
  </si>
  <si>
    <t xml:space="preserve">Dune Rd: Sunglasses bulk order</t>
  </si>
  <si>
    <t xml:space="preserve">💡 KEY REMINDER: In a series discount, NEVER add the rates together. Apply each rate one at a time to the running price. A 30/10/5 discount saves LESS than 45%.</t>
  </si>
  <si>
    <t xml:space="preserve">HARBOR VIEW SURF SHOP — Cash Discount Calculator</t>
  </si>
  <si>
    <t xml:space="preserve">Tab 2 of 3  |  BUS 123 — Day 5  |  Ordinary Dating Credit Terms</t>
  </si>
  <si>
    <t xml:space="preserve">📋 INSTRUCTIONS: Use IF and DATE functions to determine if each buyer earned the cash discount. Enter your formulas in the blue cells. Reference cells only — no hardcoding!</t>
  </si>
  <si>
    <t xml:space="preserve">🔧 EXCEL FUNCTIONS FOR THIS TAB</t>
  </si>
  <si>
    <t xml:space="preserve">IF(test, value_if_true, value_if_false)</t>
  </si>
  <si>
    <t xml:space="preserve">Tests a condition. If TRUE → first value. If FALSE → second value.</t>
  </si>
  <si>
    <t xml:space="preserve">DATE(year, month, day)</t>
  </si>
  <si>
    <t xml:space="preserve">Creates a date. Example: =DATE(2025,3,1) = March 1, 2025</t>
  </si>
  <si>
    <t xml:space="preserve">TODAY()</t>
  </si>
  <si>
    <t xml:space="preserve">Returns today's date — used to check if payment is overdue</t>
  </si>
  <si>
    <t xml:space="preserve">Company / Invoice</t>
  </si>
  <si>
    <t xml:space="preserve">Invoice Amount</t>
  </si>
  <si>
    <t xml:space="preserve">Credit Terms</t>
  </si>
  <si>
    <t xml:space="preserve">Discount %</t>
  </si>
  <si>
    <t xml:space="preserve">Discount Days</t>
  </si>
  <si>
    <t xml:space="preserve">Invoice Date</t>
  </si>
  <si>
    <t xml:space="preserve">Payment Date</t>
  </si>
  <si>
    <t xml:space="preserve">Amount Due
(Your Formula)</t>
  </si>
  <si>
    <t xml:space="preserve">Harbor View — wetsuit reorder</t>
  </si>
  <si>
    <t xml:space="preserve">2/10, n/30</t>
  </si>
  <si>
    <t xml:space="preserve">Dune Rd — summer hats</t>
  </si>
  <si>
    <t xml:space="preserve">3/15, n/45</t>
  </si>
  <si>
    <t xml:space="preserve">Endicott Mgmt — promo shirts</t>
  </si>
  <si>
    <t xml:space="preserve">1/10, n/30</t>
  </si>
  <si>
    <t xml:space="preserve">Harbor View — surfboard racks</t>
  </si>
  <si>
    <t xml:space="preserve">2/10, n/60</t>
  </si>
  <si>
    <t xml:space="preserve">Dune Rd — fall jackets</t>
  </si>
  <si>
    <t xml:space="preserve">💡 FORMULA HINT: =IF(G10 &lt;= F10+E10,  B10*(1-D10),  B10)</t>
  </si>
  <si>
    <t xml:space="preserve">         Payment Date &lt;= Invoice Date + Discount Days?  → Apply discount  :  Pay full amount</t>
  </si>
  <si>
    <t xml:space="preserve">DUNE ROAD APPAREL — Advanced Discount Challenge</t>
  </si>
  <si>
    <t xml:space="preserve">Tab 3 of 3  |  BUS 123 — Day 5  |  Multi-Tier Terms &amp; Partial Payments</t>
  </si>
  <si>
    <t xml:space="preserve">📋 SCENARIO: Dune Road Apparel places a $15,000 order from their main supplier. Credit terms are 4/10, 2/30, n/60 (invoice dated March 1, 2025). How much is owed under three different payment situations?</t>
  </si>
  <si>
    <t xml:space="preserve">PART A: Multi-Tier Credit Terms — 4/10, 2/30, n/60</t>
  </si>
  <si>
    <t xml:space="preserve">Invoice Amount:</t>
  </si>
  <si>
    <t xml:space="preserve">Invoice Date:</t>
  </si>
  <si>
    <t xml:space="preserve">4% discount if paid by:</t>
  </si>
  <si>
    <t xml:space="preserve">2% discount if paid by:</t>
  </si>
  <si>
    <t xml:space="preserve">Full amount due by:</t>
  </si>
  <si>
    <t xml:space="preserve">💡 Hint: Add the discount days to the invoice date to find each deadline. Try using =B7+10 for the 4% deadline.</t>
  </si>
  <si>
    <t xml:space="preserve">PART B: Calculate Amount Due — Three Payment Scenarios</t>
  </si>
  <si>
    <t xml:space="preserve">Scenario</t>
  </si>
  <si>
    <t xml:space="preserve">Discount Rate Earned</t>
  </si>
  <si>
    <t xml:space="preserve">Amount Due (Your Formula)</t>
  </si>
  <si>
    <t xml:space="preserve">Amount Due (Answer)</t>
  </si>
  <si>
    <t xml:space="preserve">Scenario 1: Pay March 9</t>
  </si>
  <si>
    <t xml:space="preserve">Scenario 2: Pay March 20</t>
  </si>
  <si>
    <t xml:space="preserve">Scenario 3: Pay April 15</t>
  </si>
  <si>
    <t xml:space="preserve">PART C: Partial Payment — Dune Road pays $3,000 on March 8 (within the 4% window). How much credit do they receive? What is still owed?</t>
  </si>
  <si>
    <t xml:space="preserve">Amount Paid:</t>
  </si>
  <si>
    <t xml:space="preserve">Discount Rate:</t>
  </si>
  <si>
    <t xml:space="preserve">Amount Credited (your formula):</t>
  </si>
  <si>
    <t xml:space="preserve">Remaining Balance (your formula):</t>
  </si>
  <si>
    <t xml:space="preserve">💡 Partial Payment Hint: Amount Credited = Amount Paid ÷ (1 – Discount Rate)   |   Remaining = Invoice – Amount Credited</t>
  </si>
  <si>
    <t xml:space="preserve">🚀 EXTENSION (Advanced): Calculate the annualized cost of NOT taking the 4% early payment discount. Formula: (Discount% ÷ (1–Discount%)) × (360 ÷ (Net Days – Discount Days))</t>
  </si>
  <si>
    <t xml:space="preserve">🔒 INSTRUCTOR ANSWER KEY — BUS 123 Day 5 | DO NOT DISTRIBUTE TO STUDENTS</t>
  </si>
  <si>
    <t xml:space="preserve">All answers shown with formulas and final values. Gray = locked reference.</t>
  </si>
  <si>
    <t xml:space="preserve">TAB 1 SECTION A: Single Trade Discounts</t>
  </si>
  <si>
    <t xml:space="preserve">Order</t>
  </si>
  <si>
    <t xml:space="preserve">Disc Rate</t>
  </si>
  <si>
    <t xml:space="preserve">Net Price</t>
  </si>
  <si>
    <t xml:space="preserve">50 board shorts</t>
  </si>
  <si>
    <t xml:space="preserve">100 rashguards</t>
  </si>
  <si>
    <t xml:space="preserve">200 hats</t>
  </si>
  <si>
    <t xml:space="preserve">30 polo shirts</t>
  </si>
  <si>
    <t xml:space="preserve">TAB 1 SECTION B: Series Trade Discounts</t>
  </si>
  <si>
    <t xml:space="preserve">d1</t>
  </si>
  <si>
    <t xml:space="preserve">d2</t>
  </si>
  <si>
    <t xml:space="preserve">d3</t>
  </si>
  <si>
    <t xml:space="preserve">Summer collection</t>
  </si>
  <si>
    <t xml:space="preserve">Wetsuits</t>
  </si>
  <si>
    <t xml:space="preserve">Sunglasses</t>
  </si>
  <si>
    <t xml:space="preserve">TAB 2: Cash Discount Answers</t>
  </si>
  <si>
    <t xml:space="preserve">Company</t>
  </si>
  <si>
    <t xml:space="preserve">Invoice</t>
  </si>
  <si>
    <t xml:space="preserve">Terms</t>
  </si>
  <si>
    <t xml:space="preserve">Pay Date</t>
  </si>
  <si>
    <t xml:space="preserve">Earned Disc?</t>
  </si>
  <si>
    <t xml:space="preserve">Amount Due</t>
  </si>
  <si>
    <t xml:space="preserve">Harbor View — wetsuits</t>
  </si>
  <si>
    <t xml:space="preserve">2/10,n/30</t>
  </si>
  <si>
    <t xml:space="preserve">Mar 9</t>
  </si>
  <si>
    <t xml:space="preserve">YES (day 8)</t>
  </si>
  <si>
    <t xml:space="preserve">Dune Rd — hats</t>
  </si>
  <si>
    <t xml:space="preserve">3/15,n/45</t>
  </si>
  <si>
    <t xml:space="preserve">Apr 25</t>
  </si>
  <si>
    <t xml:space="preserve">NO (day 20)</t>
  </si>
  <si>
    <t xml:space="preserve">Endicott Mgmt — shirts</t>
  </si>
  <si>
    <t xml:space="preserve">1/10,n/30</t>
  </si>
  <si>
    <t xml:space="preserve">May 23</t>
  </si>
  <si>
    <t xml:space="preserve">NO (day 11)</t>
  </si>
  <si>
    <t xml:space="preserve">Harbor View — racks</t>
  </si>
  <si>
    <t xml:space="preserve">2/10,n/60</t>
  </si>
  <si>
    <t xml:space="preserve">Jun 8</t>
  </si>
  <si>
    <t xml:space="preserve">YES (day 7)</t>
  </si>
  <si>
    <t xml:space="preserve">Dune Rd — jackets</t>
  </si>
  <si>
    <t xml:space="preserve">Oct 1</t>
  </si>
  <si>
    <t xml:space="preserve">NO (day 16)</t>
  </si>
  <si>
    <t xml:space="preserve">TAB 3: Challenge Answers</t>
  </si>
  <si>
    <t xml:space="preserve">Discount Earned</t>
  </si>
  <si>
    <t xml:space="preserve">Pay March 9 (day 8)</t>
  </si>
  <si>
    <t xml:space="preserve">4%</t>
  </si>
  <si>
    <t xml:space="preserve">Pay March 20 (day 19)</t>
  </si>
  <si>
    <t xml:space="preserve">2%</t>
  </si>
  <si>
    <t xml:space="preserve">Pay April 15 (day 45)</t>
  </si>
  <si>
    <t xml:space="preserve">0% (none)</t>
  </si>
  <si>
    <t xml:space="preserve">PARTIAL PAYMENT</t>
  </si>
  <si>
    <t xml:space="preserve">Amount Paid</t>
  </si>
  <si>
    <t xml:space="preserve">Amount Credited</t>
  </si>
  <si>
    <t xml:space="preserve">Remaining Balance</t>
  </si>
  <si>
    <t xml:space="preserve">EXTENSION: Annualized cost of skipping 4% discount (4/10, n/60)</t>
  </si>
  <si>
    <t xml:space="preserve">~30.0%</t>
  </si>
  <si>
    <t xml:space="preserve">BUS 123 — Day 5 | Formula &amp; Concept Reference Card</t>
  </si>
  <si>
    <t xml:space="preserve">CONCEPT</t>
  </si>
  <si>
    <t xml:space="preserve">FORMULA</t>
  </si>
  <si>
    <t xml:space="preserve">EXAMPLE</t>
  </si>
  <si>
    <t xml:space="preserve">Single Trade Discount</t>
  </si>
  <si>
    <t xml:space="preserve">Formula: =list price × (1 – Discount Rate)</t>
  </si>
  <si>
    <t xml:space="preserve">Formula: =$A2*(1-$B2)</t>
  </si>
  <si>
    <t xml:space="preserve">Series Trade Discounts</t>
  </si>
  <si>
    <t xml:space="preserve">Formula: =list price × (1-d1) × (1-d2) × (1-d3)</t>
  </si>
  <si>
    <t xml:space="preserve">Formula: =A2*(1-B2)*(1-C2)*(1-D2)</t>
  </si>
  <si>
    <t xml:space="preserve">Cash Discount Amount</t>
  </si>
  <si>
    <t xml:space="preserve">Formula: =invoice × Discount Rate</t>
  </si>
  <si>
    <t xml:space="preserve">Formula: =B10*D10</t>
  </si>
  <si>
    <t xml:space="preserve">Amount Due (with discount)</t>
  </si>
  <si>
    <t xml:space="preserve">Formula: =invoice × (1 – Discount Rate)</t>
  </si>
  <si>
    <t xml:space="preserve">Formula: =B10*(1-D10)</t>
  </si>
  <si>
    <t xml:space="preserve">Discount Deadline Date</t>
  </si>
  <si>
    <t xml:space="preserve">Formula: =invoice date + discount days</t>
  </si>
  <si>
    <t xml:space="preserve">Formula: =F10+E10</t>
  </si>
  <si>
    <t xml:space="preserve">IF: Did buyer earn discount?</t>
  </si>
  <si>
    <t xml:space="preserve">Formula: =IF(pay date &lt;=  deadline, discounted, full)</t>
  </si>
  <si>
    <t xml:space="preserve">Formula: =IF(G10&lt;=F10+E10,B10*(1-D10),B10)</t>
  </si>
  <si>
    <t xml:space="preserve">Partial Payment — Credit</t>
  </si>
  <si>
    <t xml:space="preserve">Formula: =amount paid ÷ (1 – Discount Rate)</t>
  </si>
  <si>
    <t xml:space="preserve">Formula: =B22/(1-B23)</t>
  </si>
  <si>
    <t xml:space="preserve">Partial Payment — Balance</t>
  </si>
  <si>
    <t xml:space="preserve">Formula: =invoice – Amount Credited</t>
  </si>
  <si>
    <t xml:space="preserve">Formula: =B6-B24</t>
  </si>
  <si>
    <t xml:space="preserve">Annualized Discount Rate</t>
  </si>
  <si>
    <t xml:space="preserve">Formula: =(d/(1-d)) × (360/(n-discount days))</t>
  </si>
  <si>
    <t xml:space="preserve">Formula: =(0.02/0.98)*(360/20)</t>
  </si>
  <si>
    <t xml:space="preserve">💡 Blue cell values = inputs (your numbers). Black cell values = formulas. Never hardcode a calculated result — always use cell references!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</si>
</sst>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mm/dd/yy"/>
    <numFmt numFmtId="168" formatCode="mm/dd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C9A84C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D4700"/>
      <name val="Arial"/>
      <family val="0"/>
      <charset val="1"/>
    </font>
    <font>
      <b val="true"/>
      <sz val="10"/>
      <color rgb="FF1F3864"/>
      <name val="Courier New"/>
      <family val="0"/>
      <charset val="1"/>
    </font>
    <font>
      <sz val="10"/>
      <color rgb="FF333333"/>
      <name val="Arial"/>
      <family val="0"/>
      <charset val="1"/>
    </font>
    <font>
      <sz val="10"/>
      <color rgb="FF333333"/>
      <name val="Courier New"/>
      <family val="0"/>
      <charset val="1"/>
    </font>
    <font>
      <sz val="10"/>
      <color rgb="FF7D47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2C528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8B0000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0000CC"/>
      <name val="Courier Ne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3CD"/>
        <bgColor rgb="FFF5F5F5"/>
      </patternFill>
    </fill>
    <fill>
      <patternFill patternType="solid">
        <fgColor rgb="FF2C5282"/>
        <bgColor rgb="FF1F3864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BF5FB"/>
      </patternFill>
    </fill>
    <fill>
      <patternFill patternType="solid">
        <fgColor rgb="FFEBF5FB"/>
        <bgColor rgb="FFF5F5F5"/>
      </patternFill>
    </fill>
    <fill>
      <patternFill patternType="solid">
        <fgColor rgb="FFD6E4F0"/>
        <bgColor rgb="FFE8F5E9"/>
      </patternFill>
    </fill>
    <fill>
      <patternFill patternType="solid">
        <fgColor rgb="FFE8F5E9"/>
        <bgColor rgb="FFEBF5FB"/>
      </patternFill>
    </fill>
    <fill>
      <patternFill patternType="solid">
        <fgColor rgb="FF8B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7D47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4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</row>
    <row r="5" customFormat="false" ht="23.2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customFormat="false" ht="21.75" hidden="false" customHeight="true" outlineLevel="0" collapsed="false">
      <c r="A6" s="7" t="s">
        <v>10</v>
      </c>
      <c r="B6" s="8" t="n">
        <v>2250</v>
      </c>
      <c r="C6" s="9" t="n">
        <v>0.3</v>
      </c>
      <c r="D6" s="10"/>
      <c r="E6" s="11" t="n">
        <f aca="false">B6*(1-C6)</f>
        <v>1575</v>
      </c>
      <c r="F6" s="12" t="str">
        <f aca="false">IF(ABS(D6-E6)&lt;0.01,"✅ Correct","❌ Check formula")</f>
        <v>❌ Check formula</v>
      </c>
    </row>
    <row r="7" customFormat="false" ht="21.75" hidden="false" customHeight="true" outlineLevel="0" collapsed="false">
      <c r="A7" s="7" t="s">
        <v>11</v>
      </c>
      <c r="B7" s="8" t="n">
        <v>2800</v>
      </c>
      <c r="C7" s="9" t="n">
        <v>0.25</v>
      </c>
      <c r="D7" s="10"/>
      <c r="E7" s="11" t="n">
        <f aca="false">B7*(1-C7)</f>
        <v>2100</v>
      </c>
      <c r="F7" s="12" t="str">
        <f aca="false">IF(ABS(D7-E7)&lt;0.01,"✅ Correct","❌ Check formula")</f>
        <v>❌ Check formula</v>
      </c>
    </row>
    <row r="8" customFormat="false" ht="21.75" hidden="false" customHeight="true" outlineLevel="0" collapsed="false">
      <c r="A8" s="7" t="s">
        <v>12</v>
      </c>
      <c r="B8" s="8" t="n">
        <v>2400</v>
      </c>
      <c r="C8" s="9" t="n">
        <v>0.2</v>
      </c>
      <c r="D8" s="10"/>
      <c r="E8" s="11" t="n">
        <f aca="false">B8*(1-C8)</f>
        <v>1920</v>
      </c>
      <c r="F8" s="12" t="str">
        <f aca="false">IF(ABS(D8-E8)&lt;0.01,"✅ Correct","❌ Check formula")</f>
        <v>❌ Check formula</v>
      </c>
    </row>
    <row r="9" customFormat="false" ht="21.75" hidden="false" customHeight="true" outlineLevel="0" collapsed="false">
      <c r="A9" s="7" t="s">
        <v>13</v>
      </c>
      <c r="B9" s="8" t="n">
        <v>1950</v>
      </c>
      <c r="C9" s="9" t="n">
        <v>0.35</v>
      </c>
      <c r="D9" s="10"/>
      <c r="E9" s="11" t="n">
        <f aca="false">B9*(1-C9)</f>
        <v>1267.5</v>
      </c>
      <c r="F9" s="12" t="str">
        <f aca="false">IF(ABS(D9-E9)&lt;0.01,"✅ Correct","❌ Check formula")</f>
        <v>❌ Check formula</v>
      </c>
    </row>
    <row r="11" customFormat="false" ht="15" hidden="false" customHeight="true" outlineLevel="0" collapsed="false">
      <c r="A11" s="5" t="s">
        <v>14</v>
      </c>
      <c r="B11" s="5"/>
      <c r="C11" s="5"/>
      <c r="D11" s="5"/>
      <c r="E11" s="5"/>
      <c r="F11" s="5"/>
      <c r="G11" s="5"/>
      <c r="H11" s="5"/>
    </row>
    <row r="12" customFormat="false" ht="23.25" hidden="false" customHeight="true" outlineLevel="0" collapsed="false">
      <c r="A12" s="6" t="s">
        <v>4</v>
      </c>
      <c r="B12" s="6" t="s">
        <v>5</v>
      </c>
      <c r="C12" s="6" t="s">
        <v>15</v>
      </c>
      <c r="D12" s="6" t="s">
        <v>16</v>
      </c>
      <c r="E12" s="6" t="s">
        <v>17</v>
      </c>
      <c r="F12" s="6" t="s">
        <v>7</v>
      </c>
      <c r="G12" s="6" t="s">
        <v>8</v>
      </c>
      <c r="H12" s="6" t="s">
        <v>9</v>
      </c>
    </row>
    <row r="13" customFormat="false" ht="21.75" hidden="false" customHeight="true" outlineLevel="0" collapsed="false">
      <c r="A13" s="7" t="s">
        <v>18</v>
      </c>
      <c r="B13" s="8" t="n">
        <v>8500</v>
      </c>
      <c r="C13" s="9" t="n">
        <v>0.3</v>
      </c>
      <c r="D13" s="9" t="n">
        <v>0.1</v>
      </c>
      <c r="E13" s="9" t="n">
        <v>0.05</v>
      </c>
      <c r="F13" s="10"/>
      <c r="G13" s="11" t="n">
        <f aca="false">B13*(1-C13)*(1-D13)*(1-E13)</f>
        <v>5087.25</v>
      </c>
      <c r="H13" s="12" t="str">
        <f aca="false">IF(ABS(F13-G13)&lt;0.01,"✅ Correct","❌ Check formula")</f>
        <v>❌ Check formula</v>
      </c>
    </row>
    <row r="14" customFormat="false" ht="21.75" hidden="false" customHeight="true" outlineLevel="0" collapsed="false">
      <c r="A14" s="7" t="s">
        <v>19</v>
      </c>
      <c r="B14" s="8" t="n">
        <v>12000</v>
      </c>
      <c r="C14" s="9" t="n">
        <v>0.25</v>
      </c>
      <c r="D14" s="9" t="n">
        <v>0.1</v>
      </c>
      <c r="E14" s="13" t="s">
        <v>20</v>
      </c>
      <c r="F14" s="10"/>
      <c r="G14" s="11" t="n">
        <f aca="false">B14*(1-C14)*(1-D14)</f>
        <v>8100</v>
      </c>
      <c r="H14" s="12" t="str">
        <f aca="false">IF(ABS(F14-G14)&lt;0.01,"✅ Correct","❌ Check formula")</f>
        <v>❌ Check formula</v>
      </c>
    </row>
    <row r="15" customFormat="false" ht="21.75" hidden="false" customHeight="true" outlineLevel="0" collapsed="false">
      <c r="A15" s="7" t="s">
        <v>21</v>
      </c>
      <c r="B15" s="8" t="n">
        <v>5000</v>
      </c>
      <c r="C15" s="9" t="n">
        <v>0.4</v>
      </c>
      <c r="D15" s="9" t="n">
        <v>0.05</v>
      </c>
      <c r="E15" s="13" t="s">
        <v>20</v>
      </c>
      <c r="F15" s="10"/>
      <c r="G15" s="11" t="n">
        <f aca="false">B15*(1-C15)*(1-D15)</f>
        <v>2850</v>
      </c>
      <c r="H15" s="12" t="str">
        <f aca="false">IF(ABS(F15-G15)&lt;0.01,"✅ Correct","❌ Check formula")</f>
        <v>❌ Check formula</v>
      </c>
    </row>
    <row r="17" customFormat="false" ht="30" hidden="false" customHeight="true" outlineLevel="0" collapsed="false">
      <c r="A17" s="14" t="s">
        <v>22</v>
      </c>
      <c r="B17" s="14"/>
      <c r="C17" s="14"/>
      <c r="D17" s="14"/>
      <c r="E17" s="14"/>
      <c r="F17" s="14"/>
      <c r="G17" s="14"/>
      <c r="H17" s="14"/>
    </row>
  </sheetData>
  <mergeCells count="6">
    <mergeCell ref="A1:H1"/>
    <mergeCell ref="A2:H2"/>
    <mergeCell ref="A3:H3"/>
    <mergeCell ref="A4:H4"/>
    <mergeCell ref="A11:H1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6" min="5" style="1" width="15"/>
    <col collapsed="false" customWidth="true" hidden="false" outlineLevel="0" max="8" min="7" style="1" width="13"/>
    <col collapsed="false" customWidth="true" hidden="false" outlineLevel="0" max="9" min="9" style="1" width="16"/>
  </cols>
  <sheetData>
    <row r="1" customFormat="false" ht="39.7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25</v>
      </c>
      <c r="B3" s="4"/>
      <c r="C3" s="4"/>
      <c r="D3" s="4"/>
      <c r="E3" s="4"/>
      <c r="F3" s="4"/>
      <c r="G3" s="4"/>
      <c r="H3" s="4"/>
      <c r="I3" s="4"/>
    </row>
    <row r="4" customFormat="false" ht="19.5" hidden="false" customHeight="true" outlineLevel="0" collapsed="false">
      <c r="A4" s="15" t="s">
        <v>26</v>
      </c>
      <c r="B4" s="15"/>
      <c r="C4" s="15"/>
      <c r="D4" s="15"/>
      <c r="E4" s="15"/>
      <c r="F4" s="15"/>
      <c r="G4" s="15"/>
      <c r="H4" s="15"/>
      <c r="I4" s="15"/>
    </row>
    <row r="5" customFormat="false" ht="19.5" hidden="false" customHeight="true" outlineLevel="0" collapsed="false">
      <c r="A5" s="16" t="s">
        <v>27</v>
      </c>
      <c r="B5" s="17" t="s">
        <v>28</v>
      </c>
      <c r="C5" s="17"/>
      <c r="D5" s="17"/>
      <c r="E5" s="17"/>
      <c r="F5" s="17"/>
      <c r="G5" s="17"/>
      <c r="H5" s="17"/>
      <c r="I5" s="17"/>
    </row>
    <row r="6" customFormat="false" ht="19.5" hidden="false" customHeight="true" outlineLevel="0" collapsed="false">
      <c r="A6" s="16" t="s">
        <v>29</v>
      </c>
      <c r="B6" s="17" t="s">
        <v>30</v>
      </c>
      <c r="C6" s="17"/>
      <c r="D6" s="17"/>
      <c r="E6" s="17"/>
      <c r="F6" s="17"/>
      <c r="G6" s="17"/>
      <c r="H6" s="17"/>
      <c r="I6" s="17"/>
    </row>
    <row r="7" customFormat="false" ht="19.5" hidden="false" customHeight="true" outlineLevel="0" collapsed="false">
      <c r="A7" s="18" t="s">
        <v>31</v>
      </c>
      <c r="B7" s="17" t="s">
        <v>32</v>
      </c>
      <c r="C7" s="17"/>
      <c r="D7" s="17"/>
      <c r="E7" s="17"/>
      <c r="F7" s="17"/>
      <c r="G7" s="17"/>
      <c r="H7" s="17"/>
      <c r="I7" s="17"/>
    </row>
    <row r="9" customFormat="false" ht="34.5" hidden="false" customHeight="true" outlineLevel="0" collapsed="false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 t="s">
        <v>39</v>
      </c>
      <c r="H9" s="6" t="s">
        <v>40</v>
      </c>
      <c r="I9" s="6" t="s">
        <v>9</v>
      </c>
    </row>
    <row r="10" customFormat="false" ht="24" hidden="false" customHeight="true" outlineLevel="0" collapsed="false">
      <c r="A10" s="7" t="s">
        <v>41</v>
      </c>
      <c r="B10" s="8" t="n">
        <v>4000</v>
      </c>
      <c r="C10" s="13" t="s">
        <v>42</v>
      </c>
      <c r="D10" s="9" t="n">
        <v>0.02</v>
      </c>
      <c r="E10" s="13" t="n">
        <v>10</v>
      </c>
      <c r="F10" s="19" t="n">
        <v>45717</v>
      </c>
      <c r="G10" s="19" t="n">
        <v>45725</v>
      </c>
      <c r="H10" s="10"/>
      <c r="I10" s="12" t="str">
        <f aca="false">IFERROR(IF(ABS(H10-(IF(G10&lt;=F10+E10,B10*(1-D10),B10)))&lt;0.01,"✅ Correct","❌ Check formula"),"⬅️ Enter formula in H")</f>
        <v>❌ Check formula</v>
      </c>
    </row>
    <row r="11" customFormat="false" ht="24" hidden="false" customHeight="true" outlineLevel="0" collapsed="false">
      <c r="A11" s="7" t="s">
        <v>43</v>
      </c>
      <c r="B11" s="8" t="n">
        <v>2800</v>
      </c>
      <c r="C11" s="13" t="s">
        <v>44</v>
      </c>
      <c r="D11" s="9" t="n">
        <v>0.03</v>
      </c>
      <c r="E11" s="13" t="n">
        <v>15</v>
      </c>
      <c r="F11" s="19" t="n">
        <v>45752</v>
      </c>
      <c r="G11" s="19" t="n">
        <v>45772</v>
      </c>
      <c r="H11" s="10"/>
      <c r="I11" s="12" t="str">
        <f aca="false">IFERROR(IF(ABS(H11-(IF(G11&lt;=F11+E11,B11*(1-D11),B11)))&lt;0.01,"✅ Correct","❌ Check formula"),"⬅️ Enter formula in H")</f>
        <v>❌ Check formula</v>
      </c>
    </row>
    <row r="12" customFormat="false" ht="24" hidden="false" customHeight="true" outlineLevel="0" collapsed="false">
      <c r="A12" s="7" t="s">
        <v>45</v>
      </c>
      <c r="B12" s="8" t="n">
        <v>1500</v>
      </c>
      <c r="C12" s="13" t="s">
        <v>46</v>
      </c>
      <c r="D12" s="9" t="n">
        <v>0.01</v>
      </c>
      <c r="E12" s="13" t="n">
        <v>10</v>
      </c>
      <c r="F12" s="19" t="n">
        <v>45789</v>
      </c>
      <c r="G12" s="19" t="n">
        <v>45800</v>
      </c>
      <c r="H12" s="10"/>
      <c r="I12" s="12" t="str">
        <f aca="false">IFERROR(IF(ABS(H12-(IF(G12&lt;=F12+E12,B12*(1-D12),B12)))&lt;0.01,"✅ Correct","❌ Check formula"),"⬅️ Enter formula in H")</f>
        <v>❌ Check formula</v>
      </c>
    </row>
    <row r="13" customFormat="false" ht="24" hidden="false" customHeight="true" outlineLevel="0" collapsed="false">
      <c r="A13" s="7" t="s">
        <v>47</v>
      </c>
      <c r="B13" s="8" t="n">
        <v>6200</v>
      </c>
      <c r="C13" s="13" t="s">
        <v>48</v>
      </c>
      <c r="D13" s="9" t="n">
        <v>0.02</v>
      </c>
      <c r="E13" s="13" t="n">
        <v>10</v>
      </c>
      <c r="F13" s="19" t="n">
        <v>45809</v>
      </c>
      <c r="G13" s="19" t="n">
        <v>45816</v>
      </c>
      <c r="H13" s="10"/>
      <c r="I13" s="12" t="str">
        <f aca="false">IFERROR(IF(ABS(H13-(IF(G13&lt;=F13+E13,B13*(1-D13),B13)))&lt;0.01,"✅ Correct","❌ Check formula"),"⬅️ Enter formula in H")</f>
        <v>❌ Check formula</v>
      </c>
    </row>
    <row r="14" customFormat="false" ht="24" hidden="false" customHeight="true" outlineLevel="0" collapsed="false">
      <c r="A14" s="7" t="s">
        <v>49</v>
      </c>
      <c r="B14" s="8" t="n">
        <v>3500</v>
      </c>
      <c r="C14" s="13" t="s">
        <v>42</v>
      </c>
      <c r="D14" s="9" t="n">
        <v>0.02</v>
      </c>
      <c r="E14" s="13" t="n">
        <v>10</v>
      </c>
      <c r="F14" s="19" t="n">
        <v>45915</v>
      </c>
      <c r="G14" s="19" t="n">
        <v>45931</v>
      </c>
      <c r="H14" s="10"/>
      <c r="I14" s="12" t="str">
        <f aca="false">IFERROR(IF(ABS(H14-(IF(G14&lt;=F14+E14,B14*(1-D14),B14)))&lt;0.01,"✅ Correct","❌ Check formula"),"⬅️ Enter formula in H")</f>
        <v>❌ Check formula</v>
      </c>
    </row>
    <row r="16" customFormat="false" ht="21.75" hidden="false" customHeight="true" outlineLevel="0" collapsed="false">
      <c r="A16" s="20" t="s">
        <v>50</v>
      </c>
      <c r="B16" s="20"/>
      <c r="C16" s="20"/>
      <c r="D16" s="20"/>
      <c r="E16" s="20"/>
      <c r="F16" s="20"/>
      <c r="G16" s="20"/>
      <c r="H16" s="20"/>
      <c r="I16" s="20"/>
    </row>
    <row r="17" customFormat="false" ht="19.5" hidden="false" customHeight="true" outlineLevel="0" collapsed="false">
      <c r="A17" s="21" t="s">
        <v>51</v>
      </c>
      <c r="B17" s="21"/>
      <c r="C17" s="21"/>
      <c r="D17" s="21"/>
      <c r="E17" s="21"/>
      <c r="F17" s="21"/>
      <c r="G17" s="21"/>
      <c r="H17" s="21"/>
      <c r="I17" s="21"/>
    </row>
  </sheetData>
  <mergeCells count="9">
    <mergeCell ref="A1:I1"/>
    <mergeCell ref="A2:I2"/>
    <mergeCell ref="A3:I3"/>
    <mergeCell ref="A4:I4"/>
    <mergeCell ref="B5:I5"/>
    <mergeCell ref="B6:I6"/>
    <mergeCell ref="B7:I7"/>
    <mergeCell ref="A16:I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</cols>
  <sheetData>
    <row r="1" customFormat="false" ht="39.75" hidden="false" customHeight="true" outlineLevel="0" collapsed="false">
      <c r="A1" s="2" t="s">
        <v>52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53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4" t="s">
        <v>54</v>
      </c>
      <c r="B3" s="4"/>
      <c r="C3" s="4"/>
      <c r="D3" s="4"/>
      <c r="E3" s="4"/>
      <c r="F3" s="4"/>
    </row>
    <row r="4" customFormat="false" ht="30" hidden="false" customHeight="true" outlineLevel="0" collapsed="false">
      <c r="A4" s="4"/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55</v>
      </c>
      <c r="B5" s="5"/>
      <c r="C5" s="5"/>
      <c r="D5" s="5"/>
      <c r="E5" s="5"/>
      <c r="F5" s="5"/>
    </row>
    <row r="6" customFormat="false" ht="21.75" hidden="false" customHeight="true" outlineLevel="0" collapsed="false">
      <c r="A6" s="22" t="s">
        <v>56</v>
      </c>
      <c r="B6" s="8" t="n">
        <v>15000</v>
      </c>
    </row>
    <row r="7" customFormat="false" ht="21.75" hidden="false" customHeight="true" outlineLevel="0" collapsed="false">
      <c r="A7" s="22" t="s">
        <v>57</v>
      </c>
      <c r="B7" s="19" t="n">
        <v>45717</v>
      </c>
    </row>
    <row r="8" customFormat="false" ht="21.75" hidden="false" customHeight="true" outlineLevel="0" collapsed="false">
      <c r="A8" s="22" t="s">
        <v>58</v>
      </c>
      <c r="B8" s="10"/>
    </row>
    <row r="9" customFormat="false" ht="21.75" hidden="false" customHeight="true" outlineLevel="0" collapsed="false">
      <c r="A9" s="22" t="s">
        <v>59</v>
      </c>
      <c r="B9" s="10"/>
    </row>
    <row r="10" customFormat="false" ht="21.75" hidden="false" customHeight="true" outlineLevel="0" collapsed="false">
      <c r="A10" s="22" t="s">
        <v>60</v>
      </c>
      <c r="B10" s="10"/>
    </row>
    <row r="11" customFormat="false" ht="21.75" hidden="false" customHeight="true" outlineLevel="0" collapsed="false">
      <c r="A11" s="23" t="s">
        <v>61</v>
      </c>
      <c r="B11" s="23"/>
      <c r="C11" s="23"/>
      <c r="D11" s="23"/>
      <c r="E11" s="23"/>
      <c r="F11" s="23"/>
    </row>
    <row r="12" customFormat="false" ht="15" hidden="false" customHeight="true" outlineLevel="0" collapsed="false">
      <c r="A12" s="5" t="s">
        <v>62</v>
      </c>
      <c r="B12" s="5"/>
      <c r="C12" s="5"/>
      <c r="D12" s="5"/>
      <c r="E12" s="5"/>
      <c r="F12" s="5"/>
    </row>
    <row r="13" customFormat="false" ht="23.25" hidden="false" customHeight="true" outlineLevel="0" collapsed="false">
      <c r="A13" s="6" t="s">
        <v>63</v>
      </c>
      <c r="B13" s="6" t="s">
        <v>39</v>
      </c>
      <c r="C13" s="6" t="s">
        <v>64</v>
      </c>
      <c r="D13" s="6" t="s">
        <v>65</v>
      </c>
      <c r="E13" s="6" t="s">
        <v>66</v>
      </c>
      <c r="F13" s="6" t="s">
        <v>9</v>
      </c>
    </row>
    <row r="14" customFormat="false" ht="24" hidden="false" customHeight="true" outlineLevel="0" collapsed="false">
      <c r="A14" s="24" t="s">
        <v>67</v>
      </c>
      <c r="B14" s="19" t="n">
        <v>45725</v>
      </c>
      <c r="C14" s="10"/>
      <c r="D14" s="10"/>
      <c r="E14" s="25" t="n">
        <f aca="false">B6*(1-0.04)</f>
        <v>14400</v>
      </c>
      <c r="F14" s="12" t="str">
        <f aca="false">IF(ABS(D14-E14)&lt;0.01,"✅ Correct","❌ Check formula")</f>
        <v>❌ Check formula</v>
      </c>
    </row>
    <row r="15" customFormat="false" ht="24" hidden="false" customHeight="true" outlineLevel="0" collapsed="false">
      <c r="A15" s="24" t="s">
        <v>68</v>
      </c>
      <c r="B15" s="19" t="n">
        <v>45736</v>
      </c>
      <c r="C15" s="10"/>
      <c r="D15" s="10"/>
      <c r="E15" s="25" t="n">
        <f aca="false">B6*(1-0.02)</f>
        <v>14700</v>
      </c>
      <c r="F15" s="12" t="str">
        <f aca="false">IF(ABS(D15-E15)&lt;0.01,"✅ Correct","❌ Check formula")</f>
        <v>❌ Check formula</v>
      </c>
    </row>
    <row r="16" customFormat="false" ht="24" hidden="false" customHeight="true" outlineLevel="0" collapsed="false">
      <c r="A16" s="24" t="s">
        <v>69</v>
      </c>
      <c r="B16" s="19" t="n">
        <v>45762</v>
      </c>
      <c r="C16" s="10"/>
      <c r="D16" s="10"/>
      <c r="E16" s="25" t="n">
        <f aca="false">B6</f>
        <v>15000</v>
      </c>
      <c r="F16" s="12" t="str">
        <f aca="false">IF(ABS(D16-E16)&lt;0.01,"✅ Correct","❌ Check formula")</f>
        <v>❌ Check formula</v>
      </c>
    </row>
    <row r="18" customFormat="false" ht="30" hidden="false" customHeight="true" outlineLevel="0" collapsed="false">
      <c r="A18" s="4" t="s">
        <v>70</v>
      </c>
      <c r="B18" s="4"/>
      <c r="C18" s="4"/>
      <c r="D18" s="4"/>
      <c r="E18" s="4"/>
      <c r="F18" s="4"/>
    </row>
    <row r="19" customFormat="false" ht="21.75" hidden="false" customHeight="true" outlineLevel="0" collapsed="false">
      <c r="A19" s="22" t="s">
        <v>71</v>
      </c>
      <c r="B19" s="8" t="n">
        <v>3000</v>
      </c>
    </row>
    <row r="20" customFormat="false" ht="21.75" hidden="false" customHeight="true" outlineLevel="0" collapsed="false">
      <c r="A20" s="22" t="s">
        <v>72</v>
      </c>
      <c r="B20" s="9" t="n">
        <v>0.04</v>
      </c>
    </row>
    <row r="21" customFormat="false" ht="21.75" hidden="false" customHeight="true" outlineLevel="0" collapsed="false">
      <c r="A21" s="22" t="s">
        <v>73</v>
      </c>
      <c r="B21" s="10"/>
    </row>
    <row r="22" customFormat="false" ht="21.75" hidden="false" customHeight="true" outlineLevel="0" collapsed="false">
      <c r="A22" s="22" t="s">
        <v>74</v>
      </c>
      <c r="B22" s="10"/>
    </row>
    <row r="23" customFormat="false" ht="21.75" hidden="false" customHeight="true" outlineLevel="0" collapsed="false">
      <c r="A23" s="20" t="s">
        <v>75</v>
      </c>
      <c r="B23" s="20"/>
      <c r="C23" s="20"/>
      <c r="D23" s="20"/>
      <c r="E23" s="20"/>
      <c r="F23" s="20"/>
    </row>
    <row r="24" customFormat="false" ht="34.5" hidden="false" customHeight="true" outlineLevel="0" collapsed="false">
      <c r="A24" s="26" t="s">
        <v>76</v>
      </c>
      <c r="B24" s="26"/>
      <c r="C24" s="26"/>
      <c r="D24" s="26"/>
      <c r="E24" s="26"/>
      <c r="F24" s="26"/>
    </row>
  </sheetData>
  <mergeCells count="9">
    <mergeCell ref="A1:F1"/>
    <mergeCell ref="A2:F2"/>
    <mergeCell ref="A3:F4"/>
    <mergeCell ref="A5:F5"/>
    <mergeCell ref="A11:F11"/>
    <mergeCell ref="A12:F12"/>
    <mergeCell ref="A18:F18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4.5" hidden="false" customHeight="true" outlineLevel="0" collapsed="false">
      <c r="A1" s="27" t="s">
        <v>77</v>
      </c>
      <c r="B1" s="27"/>
      <c r="C1" s="27"/>
      <c r="D1" s="27"/>
      <c r="E1" s="27"/>
      <c r="F1" s="27"/>
      <c r="G1" s="27"/>
      <c r="H1" s="27"/>
    </row>
    <row r="2" customFormat="false" ht="19.5" hidden="false" customHeight="true" outlineLevel="0" collapsed="false">
      <c r="A2" s="28" t="s">
        <v>78</v>
      </c>
      <c r="B2" s="28"/>
      <c r="C2" s="28"/>
      <c r="D2" s="28"/>
      <c r="E2" s="28"/>
      <c r="F2" s="28"/>
      <c r="G2" s="28"/>
      <c r="H2" s="28"/>
    </row>
    <row r="3" customFormat="false" ht="21.75" hidden="false" customHeight="true" outlineLevel="0" collapsed="false">
      <c r="A3" s="29" t="s">
        <v>79</v>
      </c>
      <c r="B3" s="29"/>
      <c r="C3" s="29"/>
      <c r="D3" s="29"/>
      <c r="E3" s="29"/>
      <c r="F3" s="29"/>
      <c r="G3" s="29"/>
      <c r="H3" s="29"/>
    </row>
    <row r="4" customFormat="false" ht="19.5" hidden="false" customHeight="true" outlineLevel="0" collapsed="false">
      <c r="A4" s="13" t="s">
        <v>80</v>
      </c>
      <c r="B4" s="8" t="s">
        <v>5</v>
      </c>
      <c r="C4" s="30" t="s">
        <v>81</v>
      </c>
      <c r="D4" s="31" t="s">
        <v>82</v>
      </c>
    </row>
    <row r="5" customFormat="false" ht="19.5" hidden="false" customHeight="true" outlineLevel="0" collapsed="false">
      <c r="A5" s="13" t="s">
        <v>83</v>
      </c>
      <c r="B5" s="8" t="n">
        <v>2250</v>
      </c>
      <c r="C5" s="30" t="n">
        <v>0.3</v>
      </c>
      <c r="D5" s="31" t="n">
        <v>1575</v>
      </c>
    </row>
    <row r="6" customFormat="false" ht="19.5" hidden="false" customHeight="true" outlineLevel="0" collapsed="false">
      <c r="A6" s="13" t="s">
        <v>84</v>
      </c>
      <c r="B6" s="8" t="n">
        <v>2800</v>
      </c>
      <c r="C6" s="30" t="n">
        <v>0.25</v>
      </c>
      <c r="D6" s="31" t="n">
        <v>2100</v>
      </c>
    </row>
    <row r="7" customFormat="false" ht="19.5" hidden="false" customHeight="true" outlineLevel="0" collapsed="false">
      <c r="A7" s="13" t="s">
        <v>85</v>
      </c>
      <c r="B7" s="8" t="n">
        <v>2400</v>
      </c>
      <c r="C7" s="30" t="n">
        <v>0.2</v>
      </c>
      <c r="D7" s="31" t="n">
        <v>1920</v>
      </c>
    </row>
    <row r="8" customFormat="false" ht="19.5" hidden="false" customHeight="true" outlineLevel="0" collapsed="false">
      <c r="A8" s="13" t="s">
        <v>86</v>
      </c>
      <c r="B8" s="8" t="n">
        <v>1950</v>
      </c>
      <c r="C8" s="30" t="n">
        <v>0.35</v>
      </c>
      <c r="D8" s="31" t="n">
        <v>1267.5</v>
      </c>
    </row>
    <row r="10" customFormat="false" ht="21.75" hidden="false" customHeight="true" outlineLevel="0" collapsed="false">
      <c r="A10" s="29" t="s">
        <v>87</v>
      </c>
      <c r="B10" s="29"/>
      <c r="C10" s="29"/>
      <c r="D10" s="29"/>
      <c r="E10" s="29"/>
      <c r="F10" s="29"/>
      <c r="G10" s="29"/>
      <c r="H10" s="29"/>
    </row>
    <row r="11" customFormat="false" ht="19.5" hidden="false" customHeight="true" outlineLevel="0" collapsed="false">
      <c r="A11" s="13" t="s">
        <v>80</v>
      </c>
      <c r="B11" s="8" t="s">
        <v>5</v>
      </c>
      <c r="C11" s="9" t="s">
        <v>88</v>
      </c>
      <c r="D11" s="9" t="s">
        <v>89</v>
      </c>
      <c r="E11" s="30" t="s">
        <v>90</v>
      </c>
      <c r="F11" s="31" t="s">
        <v>82</v>
      </c>
    </row>
    <row r="12" customFormat="false" ht="19.5" hidden="false" customHeight="true" outlineLevel="0" collapsed="false">
      <c r="A12" s="13" t="s">
        <v>91</v>
      </c>
      <c r="B12" s="8" t="n">
        <v>8500</v>
      </c>
      <c r="C12" s="9" t="n">
        <v>0.3</v>
      </c>
      <c r="D12" s="9" t="n">
        <v>0.1</v>
      </c>
      <c r="E12" s="30" t="n">
        <v>0.05</v>
      </c>
      <c r="F12" s="31" t="n">
        <v>5087.25</v>
      </c>
    </row>
    <row r="13" customFormat="false" ht="19.5" hidden="false" customHeight="true" outlineLevel="0" collapsed="false">
      <c r="A13" s="13" t="s">
        <v>92</v>
      </c>
      <c r="B13" s="8" t="n">
        <v>12000</v>
      </c>
      <c r="C13" s="9" t="n">
        <v>0.25</v>
      </c>
      <c r="D13" s="9" t="n">
        <v>0.1</v>
      </c>
      <c r="E13" s="30"/>
      <c r="F13" s="31" t="n">
        <v>8100</v>
      </c>
    </row>
    <row r="14" customFormat="false" ht="19.5" hidden="false" customHeight="true" outlineLevel="0" collapsed="false">
      <c r="A14" s="13" t="s">
        <v>93</v>
      </c>
      <c r="B14" s="8" t="n">
        <v>5000</v>
      </c>
      <c r="C14" s="9" t="n">
        <v>0.4</v>
      </c>
      <c r="D14" s="9" t="n">
        <v>0.05</v>
      </c>
      <c r="E14" s="30"/>
      <c r="F14" s="31" t="n">
        <v>2850</v>
      </c>
    </row>
    <row r="16" customFormat="false" ht="21.75" hidden="false" customHeight="true" outlineLevel="0" collapsed="false">
      <c r="A16" s="29" t="s">
        <v>94</v>
      </c>
      <c r="B16" s="29"/>
      <c r="C16" s="29"/>
      <c r="D16" s="29"/>
      <c r="E16" s="29"/>
      <c r="F16" s="29"/>
      <c r="G16" s="29"/>
      <c r="H16" s="29"/>
    </row>
    <row r="17" customFormat="false" ht="19.5" hidden="false" customHeight="true" outlineLevel="0" collapsed="false">
      <c r="A17" s="13" t="s">
        <v>95</v>
      </c>
      <c r="B17" s="8" t="s">
        <v>96</v>
      </c>
      <c r="C17" s="13" t="s">
        <v>97</v>
      </c>
      <c r="D17" s="19" t="s">
        <v>98</v>
      </c>
      <c r="E17" s="32" t="s">
        <v>99</v>
      </c>
      <c r="F17" s="31" t="s">
        <v>100</v>
      </c>
    </row>
    <row r="18" customFormat="false" ht="19.5" hidden="false" customHeight="true" outlineLevel="0" collapsed="false">
      <c r="A18" s="13" t="s">
        <v>101</v>
      </c>
      <c r="B18" s="8" t="n">
        <v>4000</v>
      </c>
      <c r="C18" s="13" t="s">
        <v>102</v>
      </c>
      <c r="D18" s="13" t="s">
        <v>103</v>
      </c>
      <c r="E18" s="32" t="s">
        <v>104</v>
      </c>
      <c r="F18" s="31" t="n">
        <v>3920</v>
      </c>
    </row>
    <row r="19" customFormat="false" ht="19.5" hidden="false" customHeight="true" outlineLevel="0" collapsed="false">
      <c r="A19" s="13" t="s">
        <v>105</v>
      </c>
      <c r="B19" s="8" t="n">
        <v>2800</v>
      </c>
      <c r="C19" s="13" t="s">
        <v>106</v>
      </c>
      <c r="D19" s="13" t="s">
        <v>107</v>
      </c>
      <c r="E19" s="32" t="s">
        <v>108</v>
      </c>
      <c r="F19" s="31" t="n">
        <v>2800</v>
      </c>
    </row>
    <row r="20" customFormat="false" ht="19.5" hidden="false" customHeight="true" outlineLevel="0" collapsed="false">
      <c r="A20" s="13" t="s">
        <v>109</v>
      </c>
      <c r="B20" s="8" t="n">
        <v>1500</v>
      </c>
      <c r="C20" s="13" t="s">
        <v>110</v>
      </c>
      <c r="D20" s="13" t="s">
        <v>111</v>
      </c>
      <c r="E20" s="32" t="s">
        <v>112</v>
      </c>
      <c r="F20" s="31" t="n">
        <v>1500</v>
      </c>
    </row>
    <row r="21" customFormat="false" ht="19.5" hidden="false" customHeight="true" outlineLevel="0" collapsed="false">
      <c r="A21" s="13" t="s">
        <v>113</v>
      </c>
      <c r="B21" s="8" t="n">
        <v>6200</v>
      </c>
      <c r="C21" s="13" t="s">
        <v>114</v>
      </c>
      <c r="D21" s="13" t="s">
        <v>115</v>
      </c>
      <c r="E21" s="32" t="s">
        <v>116</v>
      </c>
      <c r="F21" s="31" t="n">
        <v>6076</v>
      </c>
    </row>
    <row r="22" customFormat="false" ht="19.5" hidden="false" customHeight="true" outlineLevel="0" collapsed="false">
      <c r="A22" s="13" t="s">
        <v>117</v>
      </c>
      <c r="B22" s="8" t="n">
        <v>3500</v>
      </c>
      <c r="C22" s="13" t="s">
        <v>102</v>
      </c>
      <c r="D22" s="13" t="s">
        <v>118</v>
      </c>
      <c r="E22" s="32" t="s">
        <v>119</v>
      </c>
      <c r="F22" s="31" t="n">
        <v>3500</v>
      </c>
    </row>
    <row r="24" customFormat="false" ht="21.75" hidden="false" customHeight="true" outlineLevel="0" collapsed="false">
      <c r="A24" s="29" t="s">
        <v>120</v>
      </c>
      <c r="B24" s="29"/>
      <c r="C24" s="29"/>
      <c r="D24" s="29"/>
      <c r="E24" s="29"/>
      <c r="F24" s="29"/>
      <c r="G24" s="29"/>
      <c r="H24" s="29"/>
    </row>
    <row r="25" customFormat="false" ht="19.5" hidden="false" customHeight="true" outlineLevel="0" collapsed="false">
      <c r="A25" s="13" t="s">
        <v>63</v>
      </c>
      <c r="B25" s="30" t="s">
        <v>121</v>
      </c>
      <c r="C25" s="31" t="s">
        <v>100</v>
      </c>
    </row>
    <row r="26" customFormat="false" ht="19.5" hidden="false" customHeight="true" outlineLevel="0" collapsed="false">
      <c r="A26" s="13" t="s">
        <v>122</v>
      </c>
      <c r="B26" s="32" t="s">
        <v>123</v>
      </c>
      <c r="C26" s="31" t="n">
        <v>14400</v>
      </c>
    </row>
    <row r="27" customFormat="false" ht="19.5" hidden="false" customHeight="true" outlineLevel="0" collapsed="false">
      <c r="A27" s="13" t="s">
        <v>124</v>
      </c>
      <c r="B27" s="32" t="s">
        <v>125</v>
      </c>
      <c r="C27" s="31" t="n">
        <v>14700</v>
      </c>
    </row>
    <row r="28" customFormat="false" ht="19.5" hidden="false" customHeight="true" outlineLevel="0" collapsed="false">
      <c r="A28" s="13" t="s">
        <v>126</v>
      </c>
      <c r="B28" s="32" t="s">
        <v>127</v>
      </c>
      <c r="C28" s="31" t="n">
        <v>15000</v>
      </c>
    </row>
    <row r="30" customFormat="false" ht="19.5" hidden="false" customHeight="true" outlineLevel="0" collapsed="false">
      <c r="A30" s="13" t="s">
        <v>128</v>
      </c>
      <c r="B30" s="13"/>
      <c r="C30" s="13"/>
      <c r="D30" s="13"/>
      <c r="E30" s="32"/>
      <c r="F30" s="32"/>
    </row>
    <row r="31" customFormat="false" ht="19.5" hidden="false" customHeight="true" outlineLevel="0" collapsed="false">
      <c r="A31" s="8" t="s">
        <v>129</v>
      </c>
      <c r="B31" s="9" t="s">
        <v>81</v>
      </c>
      <c r="C31" s="8" t="s">
        <v>130</v>
      </c>
      <c r="D31" s="8" t="s">
        <v>131</v>
      </c>
      <c r="E31" s="32"/>
      <c r="F31" s="32"/>
    </row>
    <row r="32" customFormat="false" ht="19.5" hidden="false" customHeight="true" outlineLevel="0" collapsed="false">
      <c r="A32" s="8" t="n">
        <v>3000</v>
      </c>
      <c r="B32" s="9" t="n">
        <v>0.04</v>
      </c>
      <c r="C32" s="8" t="n">
        <v>3125</v>
      </c>
      <c r="D32" s="8" t="n">
        <v>11875</v>
      </c>
      <c r="E32" s="32"/>
      <c r="F32" s="32"/>
    </row>
    <row r="34" customFormat="false" ht="19.5" hidden="false" customHeight="true" outlineLevel="0" collapsed="false">
      <c r="A34" s="13" t="s">
        <v>132</v>
      </c>
      <c r="B34" s="13"/>
      <c r="C34" s="13"/>
      <c r="D34" s="9" t="s">
        <v>133</v>
      </c>
      <c r="E34" s="32"/>
      <c r="F34" s="32"/>
    </row>
  </sheetData>
  <mergeCells count="6">
    <mergeCell ref="A1:H1"/>
    <mergeCell ref="A2:H2"/>
    <mergeCell ref="A3:H3"/>
    <mergeCell ref="A10:H10"/>
    <mergeCell ref="A16:H16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35"/>
  </cols>
  <sheetData>
    <row r="1" customFormat="false" ht="34.5" hidden="false" customHeight="true" outlineLevel="0" collapsed="false">
      <c r="A1" s="33" t="s">
        <v>134</v>
      </c>
      <c r="B1" s="33"/>
      <c r="C1" s="33"/>
    </row>
    <row r="2" customFormat="false" ht="24" hidden="false" customHeight="true" outlineLevel="0" collapsed="false">
      <c r="A2" s="34" t="s">
        <v>135</v>
      </c>
      <c r="B2" s="34" t="s">
        <v>136</v>
      </c>
      <c r="C2" s="34" t="s">
        <v>137</v>
      </c>
    </row>
    <row r="3" customFormat="false" ht="24" hidden="false" customHeight="true" outlineLevel="0" collapsed="false">
      <c r="A3" s="35" t="s">
        <v>138</v>
      </c>
      <c r="B3" s="36" t="s">
        <v>139</v>
      </c>
      <c r="C3" s="37" t="s">
        <v>140</v>
      </c>
    </row>
    <row r="4" customFormat="false" ht="24" hidden="false" customHeight="true" outlineLevel="0" collapsed="false">
      <c r="A4" s="38" t="s">
        <v>141</v>
      </c>
      <c r="B4" s="39" t="s">
        <v>142</v>
      </c>
      <c r="C4" s="40" t="s">
        <v>143</v>
      </c>
    </row>
    <row r="5" customFormat="false" ht="24" hidden="false" customHeight="true" outlineLevel="0" collapsed="false">
      <c r="A5" s="35" t="s">
        <v>144</v>
      </c>
      <c r="B5" s="36" t="s">
        <v>145</v>
      </c>
      <c r="C5" s="37" t="s">
        <v>146</v>
      </c>
    </row>
    <row r="6" customFormat="false" ht="24" hidden="false" customHeight="true" outlineLevel="0" collapsed="false">
      <c r="A6" s="38" t="s">
        <v>147</v>
      </c>
      <c r="B6" s="39" t="s">
        <v>148</v>
      </c>
      <c r="C6" s="40" t="s">
        <v>149</v>
      </c>
    </row>
    <row r="7" customFormat="false" ht="24" hidden="false" customHeight="true" outlineLevel="0" collapsed="false">
      <c r="A7" s="35" t="s">
        <v>150</v>
      </c>
      <c r="B7" s="36" t="s">
        <v>151</v>
      </c>
      <c r="C7" s="37" t="s">
        <v>152</v>
      </c>
    </row>
    <row r="8" customFormat="false" ht="24" hidden="false" customHeight="true" outlineLevel="0" collapsed="false">
      <c r="A8" s="38" t="s">
        <v>153</v>
      </c>
      <c r="B8" s="39" t="s">
        <v>154</v>
      </c>
      <c r="C8" s="40" t="s">
        <v>155</v>
      </c>
    </row>
    <row r="9" customFormat="false" ht="24" hidden="false" customHeight="true" outlineLevel="0" collapsed="false">
      <c r="A9" s="35" t="s">
        <v>156</v>
      </c>
      <c r="B9" s="36" t="s">
        <v>157</v>
      </c>
      <c r="C9" s="37" t="s">
        <v>158</v>
      </c>
    </row>
    <row r="10" customFormat="false" ht="24" hidden="false" customHeight="true" outlineLevel="0" collapsed="false">
      <c r="A10" s="38" t="s">
        <v>159</v>
      </c>
      <c r="B10" s="39" t="s">
        <v>160</v>
      </c>
      <c r="C10" s="40" t="s">
        <v>161</v>
      </c>
    </row>
    <row r="11" customFormat="false" ht="24" hidden="false" customHeight="true" outlineLevel="0" collapsed="false">
      <c r="A11" s="35" t="s">
        <v>162</v>
      </c>
      <c r="B11" s="36" t="s">
        <v>163</v>
      </c>
      <c r="C11" s="37" t="s">
        <v>164</v>
      </c>
    </row>
    <row r="12" customFormat="false" ht="30" hidden="false" customHeight="true" outlineLevel="0" collapsed="false">
      <c r="A12" s="14" t="s">
        <v>165</v>
      </c>
      <c r="B12" s="14"/>
      <c r="C12" s="14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2026-03-02T18:42:17Z</dcterms:created>
  <dc:creator>openpyxl</dc:creator>
  <dc:description/>
  <dc:language>en-US</dc:language>
  <cp:lastModifiedBy/>
  <dcterms:modified xsi:type="dcterms:W3CDTF">2026-03-02T18:43:03Z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