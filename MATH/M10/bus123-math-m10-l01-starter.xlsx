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rt A — Stock Analysis" sheetId="2" state="visible" r:id="rId4"/>
    <sheet name="Part B — Bond Calculations" sheetId="3" state="visible" r:id="rId5"/>
    <sheet name="Part C — Mutual Fund NAV" sheetId="4" state="visible" r:id="rId6"/>
    <sheet name="FormulaReference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<sst xmlns="http://schemas.openxmlformats.org/spreadsheetml/2006/main" count="204" uniqueCount="169">
  <si>
    <t xml:space="preserve">BUS123 · MATH-M10-L01 · Foundations of Investing</t>
  </si>
  <si>
    <t xml:space="preserve">Meridian Advisory Group Case Study  |  Student Workbook</t>
  </si>
  <si>
    <t xml:space="preserve">  HOW TO USE THIS WORKBOOK</t>
  </si>
  <si>
    <t xml:space="preserve">This workbook has three activity tabs and a formula reference card.</t>
  </si>
  <si>
    <t xml:space="preserve">Work through each tab in order. Yellow cells  ▶  are your input cells — enter your answers there.</t>
  </si>
  <si>
    <t xml:space="preserve">Formulas are visible and unlocked — you can see exactly how each calculation works.</t>
  </si>
  <si>
    <t xml:space="preserve">Do NOT enter values in white cells that already contain formulas.</t>
  </si>
  <si>
    <t xml:space="preserve">If you are unsure which Excel function to use, check the FormulaReferenceCard tab.</t>
  </si>
  <si>
    <t xml:space="preserve">  I CAN STATEMENTS — WHAT YOU WILL BE ABLE TO DO</t>
  </si>
  <si>
    <t xml:space="preserve">1.  Read and interpret a stock quote — including Last Price, Bid/Ask, P/E ratio, and Dividend Yield.</t>
  </si>
  <si>
    <t xml:space="preserve">2.  Calculate dividends for preferred and common stockholders and compute Return on Investment (ROI).</t>
  </si>
  <si>
    <t xml:space="preserve">3.  Explain how bonds work, calculate bond price from a quoted percent of par, and determine current bond yield.</t>
  </si>
  <si>
    <t xml:space="preserve">4.  Calculate Net Asset Value (NAV) for a mutual fund and explain the difference between mutual funds and ETFs.</t>
  </si>
  <si>
    <t xml:space="preserve">  ACTIVITY OVERVIEW</t>
  </si>
  <si>
    <t xml:space="preserve">Part A — Stock Analysis</t>
  </si>
  <si>
    <t xml:space="preserve">Read a Meridian stock quote, calculate dividends, and compute ROI</t>
  </si>
  <si>
    <t xml:space="preserve">Part B — Bond Calculations</t>
  </si>
  <si>
    <t xml:space="preserve">Convert bond quotes, calculate purchase price and current yield</t>
  </si>
  <si>
    <t xml:space="preserve">Part C — Mutual Fund NAV</t>
  </si>
  <si>
    <t xml:space="preserve">Calculate Net Asset Value for a Meridian model portfolio fund</t>
  </si>
  <si>
    <t xml:space="preserve">FormulaReferenceCard</t>
  </si>
  <si>
    <t xml:space="preserve">Quick-reference for all Excel functions used in this activity</t>
  </si>
  <si>
    <t xml:space="preserve">Part A — Stock Analysis  |  Meridian Advisory Group (MAGH)</t>
  </si>
  <si>
    <t xml:space="preserve">Use the Meridian stock data below to answer each question. Enter your answers in the yellow cells.</t>
  </si>
  <si>
    <t xml:space="preserve">  A1 · READING THE STOCK QUOTE</t>
  </si>
  <si>
    <t xml:space="preserve">Symbol</t>
  </si>
  <si>
    <t xml:space="preserve">Last Price</t>
  </si>
  <si>
    <t xml:space="preserve">Bid</t>
  </si>
  <si>
    <t xml:space="preserve">Ask</t>
  </si>
  <si>
    <t xml:space="preserve">52-Wk High</t>
  </si>
  <si>
    <t xml:space="preserve">52-Wk Low</t>
  </si>
  <si>
    <t xml:space="preserve">P/E Ratio</t>
  </si>
  <si>
    <t xml:space="preserve">Div/Share</t>
  </si>
  <si>
    <t xml:space="preserve">Div Yield</t>
  </si>
  <si>
    <t xml:space="preserve">MAGH</t>
  </si>
  <si>
    <t xml:space="preserve">  A1 · QUESTIONS — Answer in the yellow cells</t>
  </si>
  <si>
    <t xml:space="preserve">Q1</t>
  </si>
  <si>
    <t xml:space="preserve">What is the Bid-Ask Spread? (Ask − Bid)</t>
  </si>
  <si>
    <t xml:space="preserve">Your Answer:</t>
  </si>
  <si>
    <t xml:space="preserve">Q2</t>
  </si>
  <si>
    <t xml:space="preserve">How much ABOVE the 52-week low is the current price? (Last − 52-Wk Low)</t>
  </si>
  <si>
    <t xml:space="preserve">Q3</t>
  </si>
  <si>
    <t xml:space="preserve">Interpret the P/E Ratio: for every $1 MAGH earns, investors pay $___</t>
  </si>
  <si>
    <t xml:space="preserve">  A2 · DIVIDENDS — Preferred vs. Common Stockholders</t>
  </si>
  <si>
    <t xml:space="preserve">Preferred Stock Rate</t>
  </si>
  <si>
    <t xml:space="preserve">Preferred Stock Par Value</t>
  </si>
  <si>
    <t xml:space="preserve">Preferred Shares Outstanding</t>
  </si>
  <si>
    <t xml:space="preserve">Common Shares Outstanding</t>
  </si>
  <si>
    <t xml:space="preserve">Total Dividends Declared</t>
  </si>
  <si>
    <t xml:space="preserve">Step 1</t>
  </si>
  <si>
    <t xml:space="preserve">Annual preferred dividend per share (Rate × Par Value)</t>
  </si>
  <si>
    <t xml:space="preserve">Step 2</t>
  </si>
  <si>
    <t xml:space="preserve">Total preferred dividend (Per Share × Preferred Shares)</t>
  </si>
  <si>
    <t xml:space="preserve">Step 3</t>
  </si>
  <si>
    <t xml:space="preserve">Remainder available for common shareholders (Total − Preferred)</t>
  </si>
  <si>
    <t xml:space="preserve">Step 4</t>
  </si>
  <si>
    <t xml:space="preserve">Dividend per common share (Remainder ÷ Common Shares)</t>
  </si>
  <si>
    <t xml:space="preserve">  A3 · RETURN ON INVESTMENT (ROI)</t>
  </si>
  <si>
    <t xml:space="preserve">Shares Purchased</t>
  </si>
  <si>
    <t xml:space="preserve">Purchase Price per Share</t>
  </si>
  <si>
    <t xml:space="preserve">Sale Price per Share</t>
  </si>
  <si>
    <t xml:space="preserve">Commission Rate (Buy &amp; Sell)</t>
  </si>
  <si>
    <t xml:space="preserve">Annual Dividend per Share</t>
  </si>
  <si>
    <t xml:space="preserve">Total Purchase Cost before commission (Shares × Purchase Price)</t>
  </si>
  <si>
    <t xml:space="preserve">Commission paid on purchase (Total Cost × Commission Rate)</t>
  </si>
  <si>
    <t xml:space="preserve">Total cost including buy commission (Step 1 + Step 2)</t>
  </si>
  <si>
    <t xml:space="preserve">Total Sale Proceeds before commission (Shares × Sale Price)</t>
  </si>
  <si>
    <t xml:space="preserve">Step 5</t>
  </si>
  <si>
    <t xml:space="preserve">Commission paid on sale (Total Proceeds × Commission Rate)</t>
  </si>
  <si>
    <t xml:space="preserve">Step 6</t>
  </si>
  <si>
    <t xml:space="preserve">Net proceeds after sell commission (Step 4 − Step 5)</t>
  </si>
  <si>
    <t xml:space="preserve">Step 7</t>
  </si>
  <si>
    <t xml:space="preserve">Total dividends received (Shares × Dividend per Share)</t>
  </si>
  <si>
    <t xml:space="preserve">Step 8</t>
  </si>
  <si>
    <t xml:space="preserve">ROI = (Net Proceeds − Total Cost + Dividends) ÷ Total Cost</t>
  </si>
  <si>
    <t xml:space="preserve">Part B — Bond Calculations  |  Meridian Advisory Group Portfolio</t>
  </si>
  <si>
    <t xml:space="preserve">Remember: Bond prices are quoted as a PERCENT of face value. Always convert to dollars first.</t>
  </si>
  <si>
    <t xml:space="preserve">  B1 · BOND PRICE CONVERSION  (Quote % → Dollar Price)</t>
  </si>
  <si>
    <t xml:space="preserve">Face Value (Par)</t>
  </si>
  <si>
    <t xml:space="preserve">Stated Interest Rate</t>
  </si>
  <si>
    <t xml:space="preserve">Quoted Price (%)</t>
  </si>
  <si>
    <t xml:space="preserve">Number of Bonds</t>
  </si>
  <si>
    <t xml:space="preserve">Dollar price per bond  (Quoted % ÷ 100 × Face Value)</t>
  </si>
  <si>
    <t xml:space="preserve">Total cost for all bonds  (Price per Bond × Number of Bonds)</t>
  </si>
  <si>
    <t xml:space="preserve">Annual interest per bond  (Stated Rate × Face Value)</t>
  </si>
  <si>
    <t xml:space="preserve">Total annual interest received  (Interest per Bond × Number of Bonds)</t>
  </si>
  <si>
    <t xml:space="preserve">Current yield per bond  (Annual Interest per Bond ÷ Dollar Price per Bond)</t>
  </si>
  <si>
    <t xml:space="preserve">  B2 · PREMIUM OR DISCOUNT? — Classify each bond</t>
  </si>
  <si>
    <t xml:space="preserve">Instruction: For each bond below, determine (a) the dollar price per bond and (b) whether it trades at a PREMIUM, DISCOUNT, or PAR.</t>
  </si>
  <si>
    <t xml:space="preserve">Bond</t>
  </si>
  <si>
    <t xml:space="preserve">Quoted Price</t>
  </si>
  <si>
    <t xml:space="preserve">Face Value</t>
  </si>
  <si>
    <t xml:space="preserve">Dollar Price</t>
  </si>
  <si>
    <t xml:space="preserve">vs. Par</t>
  </si>
  <si>
    <t xml:space="preserve">Premium / Discount / Par</t>
  </si>
  <si>
    <t xml:space="preserve">Bond A</t>
  </si>
  <si>
    <t xml:space="preserve">Bond B</t>
  </si>
  <si>
    <t xml:space="preserve">Bond C</t>
  </si>
  <si>
    <t xml:space="preserve">Bond D</t>
  </si>
  <si>
    <t xml:space="preserve">Part C — Mutual Fund NAV  |  Meridian Advisory Group Model Portfolio</t>
  </si>
  <si>
    <t xml:space="preserve">NAV = (Total Market Value of Holdings − Total Liabilities) ÷ Shares Outstanding</t>
  </si>
  <si>
    <t xml:space="preserve">  C1 · CALCULATE NAV  —  Meridian Growth &amp; Income Fund</t>
  </si>
  <si>
    <t xml:space="preserve">Market Value of Fund Holdings</t>
  </si>
  <si>
    <t xml:space="preserve">Current Liabilities</t>
  </si>
  <si>
    <t xml:space="preserve">Shares Outstanding</t>
  </si>
  <si>
    <t xml:space="preserve">Net Assets  (Market Value − Liabilities)</t>
  </si>
  <si>
    <t xml:space="preserve">NAV per Share  (Net Assets ÷ Shares Outstanding)</t>
  </si>
  <si>
    <t xml:space="preserve">Cost to buy 80 shares at this NAV  (NAV × 80)</t>
  </si>
  <si>
    <t xml:space="preserve">  C2 · COMPARE THREE MERIDIAN FUNDS — Calculate NAV for each</t>
  </si>
  <si>
    <t xml:space="preserve">Instruction: Use the formula NAV = (Assets − Liabilities) ÷ Shares to complete the table.</t>
  </si>
  <si>
    <t xml:space="preserve">Fund Name</t>
  </si>
  <si>
    <t xml:space="preserve">Market Value ($)</t>
  </si>
  <si>
    <t xml:space="preserve">Liabilities ($)</t>
  </si>
  <si>
    <t xml:space="preserve">NAV per Share</t>
  </si>
  <si>
    <t xml:space="preserve">MAG Balanced Fund</t>
  </si>
  <si>
    <t xml:space="preserve">MAG Growth Fund</t>
  </si>
  <si>
    <t xml:space="preserve">MAG Income Fund</t>
  </si>
  <si>
    <t xml:space="preserve">Formula Reference Card  —  BUS123 MATH-M10-L01  |  Foundations of Investing</t>
  </si>
  <si>
    <t xml:space="preserve">These are the formulas you need for this activity. Refer here whenever you are unsure.</t>
  </si>
  <si>
    <t xml:space="preserve">Concept</t>
  </si>
  <si>
    <t xml:space="preserve">Formula</t>
  </si>
  <si>
    <t xml:space="preserve">Excel Function / Syntax</t>
  </si>
  <si>
    <t xml:space="preserve">Example</t>
  </si>
  <si>
    <t xml:space="preserve">Result</t>
  </si>
  <si>
    <t xml:space="preserve">Bid-Ask Spread</t>
  </si>
  <si>
    <t xml:space="preserve">Ask Price − Bid Price</t>
  </si>
  <si>
    <t xml:space="preserve"> =Ask_Cell - Bid_Cell</t>
  </si>
  <si>
    <t xml:space="preserve">$39.68 − $39.55</t>
  </si>
  <si>
    <t xml:space="preserve">$0.13</t>
  </si>
  <si>
    <t xml:space="preserve">Dividend Yield</t>
  </si>
  <si>
    <t xml:space="preserve">Annual Dividend ÷ Stock Price</t>
  </si>
  <si>
    <t xml:space="preserve"> =Div_Cell / Price_Cell</t>
  </si>
  <si>
    <t xml:space="preserve">$1.21 ÷ $39.62</t>
  </si>
  <si>
    <t xml:space="preserve">3.05%</t>
  </si>
  <si>
    <t xml:space="preserve">Preferred Dividend (total)</t>
  </si>
  <si>
    <t xml:space="preserve">Rate × Par Value × Shares</t>
  </si>
  <si>
    <t xml:space="preserve"> =rate * par * shares</t>
  </si>
  <si>
    <t xml:space="preserve">8% × $50 × 1,000</t>
  </si>
  <si>
    <t xml:space="preserve">$4,000</t>
  </si>
  <si>
    <t xml:space="preserve">Common Dividend per Share</t>
  </si>
  <si>
    <t xml:space="preserve">(Total Div − Preferred Div) ÷ Common Shares</t>
  </si>
  <si>
    <t xml:space="preserve"> =(TotalDiv - PrefDiv) / CommonShares</t>
  </si>
  <si>
    <t xml:space="preserve">($10,000 − $4,000) ÷ 4,000</t>
  </si>
  <si>
    <t xml:space="preserve">$1.50</t>
  </si>
  <si>
    <t xml:space="preserve">Return on Investment (ROI)</t>
  </si>
  <si>
    <t xml:space="preserve">(Net Proceeds − Cost + Dividends) ÷ Cost</t>
  </si>
  <si>
    <t xml:space="preserve"> =(NetProceeds - Cost + Div) / Cost</t>
  </si>
  <si>
    <t xml:space="preserve">($8,137.80 − $7,896.18 + $242) ÷ $7,896.18</t>
  </si>
  <si>
    <t xml:space="preserve">6.12%</t>
  </si>
  <si>
    <t xml:space="preserve">Bond Dollar Price</t>
  </si>
  <si>
    <t xml:space="preserve">Quoted % × Face Value</t>
  </si>
  <si>
    <t xml:space="preserve"> =QuotedPct * FaceValue</t>
  </si>
  <si>
    <t xml:space="preserve">99.59% × $1,000</t>
  </si>
  <si>
    <t xml:space="preserve">$995.90</t>
  </si>
  <si>
    <t xml:space="preserve">Bond Current Yield</t>
  </si>
  <si>
    <t xml:space="preserve">Annual Interest ÷ Dollar Price</t>
  </si>
  <si>
    <t xml:space="preserve"> =AnnualInterest / DollarPrice</t>
  </si>
  <si>
    <t xml:space="preserve">$40 ÷ $995.90</t>
  </si>
  <si>
    <t xml:space="preserve">4.02%</t>
  </si>
  <si>
    <t xml:space="preserve">Net Asset Value (NAV)</t>
  </si>
  <si>
    <t xml:space="preserve">(Assets − Liabilities) ÷ Shares Outstanding</t>
  </si>
  <si>
    <t xml:space="preserve"> =(Assets - Liabilities) / Shares</t>
  </si>
  <si>
    <t xml:space="preserve">($5,550,000 − $770,000) ÷ 600,000</t>
  </si>
  <si>
    <t xml:space="preserve">$7.97</t>
  </si>
  <si>
    <t xml:space="preserve">Cost to Buy Fund Shares</t>
  </si>
  <si>
    <t xml:space="preserve">NAV per Share × Number of Shares</t>
  </si>
  <si>
    <t xml:space="preserve"> =NAV * Shares</t>
  </si>
  <si>
    <t xml:space="preserve">$7.97 × 80</t>
  </si>
  <si>
    <t xml:space="preserve">$637.60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</si>
</sst>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0.0"/>
    <numFmt numFmtId="167" formatCode="0.0%"/>
    <numFmt numFmtId="168" formatCode="0%"/>
    <numFmt numFmtId="169" formatCode="#,##0"/>
    <numFmt numFmtId="170" formatCode="0.00%"/>
    <numFmt numFmtId="171" formatCode="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AF8F3"/>
      <name val="Arial"/>
      <family val="0"/>
      <charset val="1"/>
    </font>
    <font>
      <i val="true"/>
      <sz val="11"/>
      <color rgb="FFB8843D"/>
      <name val="Arial"/>
      <family val="0"/>
      <charset val="1"/>
    </font>
    <font>
      <b val="true"/>
      <sz val="11"/>
      <color rgb="FFB8843D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4A7C5E"/>
      <name val="Arial"/>
      <family val="0"/>
      <charset val="1"/>
    </font>
    <font>
      <b val="true"/>
      <sz val="13"/>
      <color rgb="FFFAF8F3"/>
      <name val="Arial"/>
      <family val="0"/>
      <charset val="1"/>
    </font>
    <font>
      <i val="true"/>
      <sz val="10"/>
      <color rgb="FFB8843D"/>
      <name val="Arial"/>
      <family val="0"/>
      <charset val="1"/>
    </font>
    <font>
      <b val="true"/>
      <sz val="10"/>
      <color rgb="FFFAF8F3"/>
      <name val="Arial"/>
      <family val="0"/>
      <charset val="1"/>
    </font>
    <font>
      <b val="true"/>
      <sz val="11"/>
      <color rgb="FF0A3D6B"/>
      <name val="Arial"/>
      <family val="0"/>
      <charset val="1"/>
    </font>
    <font>
      <b val="true"/>
      <sz val="11"/>
      <color rgb="FF1A6B3C"/>
      <name val="Arial"/>
      <family val="0"/>
      <charset val="1"/>
    </font>
    <font>
      <b val="true"/>
      <sz val="10"/>
      <color rgb="FFB8843D"/>
      <name val="Arial"/>
      <family val="0"/>
      <charset val="1"/>
    </font>
    <font>
      <sz val="11"/>
      <color rgb="FF555555"/>
      <name val="Arial"/>
      <family val="0"/>
      <charset val="1"/>
    </font>
    <font>
      <sz val="11"/>
      <color rgb="FF0A3D6B"/>
      <name val="Arial"/>
      <family val="0"/>
      <charset val="1"/>
    </font>
    <font>
      <sz val="11"/>
      <color rgb="FF444444"/>
      <name val="Arial"/>
      <family val="0"/>
      <charset val="1"/>
    </font>
    <font>
      <b val="true"/>
      <sz val="10"/>
      <color rgb="FF4A7C5E"/>
      <name val="Arial"/>
      <family val="0"/>
      <charset val="1"/>
    </font>
    <font>
      <sz val="10"/>
      <color rgb="FF1A5C3A"/>
      <name val="Courier New"/>
      <family val="0"/>
      <charset val="1"/>
    </font>
    <font>
      <b val="true"/>
      <sz val="10"/>
      <color rgb="FF1A6B3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E1116"/>
        <bgColor rgb="FF1A1F2C"/>
      </patternFill>
    </fill>
    <fill>
      <patternFill patternType="solid">
        <fgColor rgb="FF1A1F2C"/>
        <bgColor rgb="FF0E1116"/>
      </patternFill>
    </fill>
    <fill>
      <patternFill patternType="solid">
        <fgColor rgb="FFFFFFFF"/>
        <bgColor rgb="FFFAF8F3"/>
      </patternFill>
    </fill>
    <fill>
      <patternFill patternType="solid">
        <fgColor rgb="FFF2EEE5"/>
        <bgColor rgb="FFFAF8F3"/>
      </patternFill>
    </fill>
    <fill>
      <patternFill patternType="solid">
        <fgColor rgb="FF2C3E50"/>
        <bgColor rgb="FF444444"/>
      </patternFill>
    </fill>
    <fill>
      <patternFill patternType="solid">
        <fgColor rgb="FFFFD966"/>
        <bgColor rgb="FFFFFF9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A84C"/>
      </left>
      <right/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D0CBBE"/>
      </left>
      <right style="thin">
        <color rgb="FFD0CBBE"/>
      </right>
      <top style="thin">
        <color rgb="FFD0CBBE"/>
      </top>
      <bottom style="thin">
        <color rgb="FFD0CBBE"/>
      </bottom>
      <diagonal/>
    </border>
    <border diagonalUp="false" diagonalDown="false">
      <left style="thin">
        <color rgb="FFD0CBBE"/>
      </left>
      <right/>
      <top style="thin">
        <color rgb="FFD0CBBE"/>
      </top>
      <bottom style="thin">
        <color rgb="FFD0CBB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4" fontId="7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4" fontId="7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general" vertical="center" textRotation="0" wrapText="false" indent="2" shrinkToFit="false"/>
      <protection locked="true" hidden="false"/>
    </xf>
    <xf numFmtId="168" fontId="13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general" vertical="center" textRotation="0" wrapText="false" indent="2" shrinkToFit="false"/>
      <protection locked="true" hidden="false"/>
    </xf>
    <xf numFmtId="165" fontId="13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3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7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3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center" textRotation="0" wrapText="true" indent="2" shrinkToFit="false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7" fillId="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7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7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1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1A5C3A"/>
      <rgbColor rgb="FFD0CBBE"/>
      <rgbColor rgb="FF808080"/>
      <rgbColor rgb="FF9999FF"/>
      <rgbColor rgb="FF993366"/>
      <rgbColor rgb="FFFAF8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555555"/>
      <rgbColor rgb="FFC9A84C"/>
      <rgbColor rgb="FF0A3D6B"/>
      <rgbColor rgb="FF4A7C5E"/>
      <rgbColor rgb="FF0E1116"/>
      <rgbColor rgb="FF1A1F2C"/>
      <rgbColor rgb="FF993300"/>
      <rgbColor rgb="FF993366"/>
      <rgbColor rgb="FF444444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8" min="2" style="0" width="1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8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26.85" hidden="false" customHeight="false" outlineLevel="0" collapsed="false">
      <c r="A5" s="4" t="s">
        <v>3</v>
      </c>
    </row>
    <row r="6" customFormat="false" ht="39.55" hidden="false" customHeight="false" outlineLevel="0" collapsed="false">
      <c r="A6" s="4" t="s">
        <v>4</v>
      </c>
    </row>
    <row r="7" customFormat="false" ht="39.55" hidden="false" customHeight="false" outlineLevel="0" collapsed="false">
      <c r="A7" s="4" t="s">
        <v>5</v>
      </c>
    </row>
    <row r="8" customFormat="false" ht="26.85" hidden="false" customHeight="false" outlineLevel="0" collapsed="false">
      <c r="A8" s="4" t="s">
        <v>6</v>
      </c>
    </row>
    <row r="9" customFormat="false" ht="39.55" hidden="false" customHeight="false" outlineLevel="0" collapsed="false">
      <c r="A9" s="4" t="s">
        <v>7</v>
      </c>
    </row>
    <row r="10" customFormat="false" ht="7.5" hidden="false" customHeight="true" outlineLevel="0" collapsed="false"/>
    <row r="11" customFormat="false" ht="18" hidden="false" customHeight="true" outlineLevel="0" collapsed="false">
      <c r="A11" s="3" t="s">
        <v>8</v>
      </c>
      <c r="B11" s="3"/>
      <c r="C11" s="3"/>
      <c r="D11" s="3"/>
      <c r="E11" s="3"/>
      <c r="F11" s="3"/>
      <c r="G11" s="3"/>
      <c r="H11" s="3"/>
    </row>
    <row r="12" customFormat="false" ht="18" hidden="false" customHeight="true" outlineLevel="0" collapsed="false">
      <c r="A12" s="5" t="s">
        <v>9</v>
      </c>
      <c r="B12" s="5"/>
      <c r="C12" s="5"/>
      <c r="D12" s="5"/>
      <c r="E12" s="5"/>
      <c r="F12" s="5"/>
      <c r="G12" s="5"/>
      <c r="H12" s="5"/>
    </row>
    <row r="13" customFormat="false" ht="18" hidden="false" customHeight="true" outlineLevel="0" collapsed="false">
      <c r="A13" s="6" t="s">
        <v>10</v>
      </c>
      <c r="B13" s="6"/>
      <c r="C13" s="6"/>
      <c r="D13" s="6"/>
      <c r="E13" s="6"/>
      <c r="F13" s="6"/>
      <c r="G13" s="6"/>
      <c r="H13" s="6"/>
    </row>
    <row r="14" customFormat="false" ht="18" hidden="false" customHeight="true" outlineLevel="0" collapsed="false">
      <c r="A14" s="5" t="s">
        <v>11</v>
      </c>
      <c r="B14" s="5"/>
      <c r="C14" s="5"/>
      <c r="D14" s="5"/>
      <c r="E14" s="5"/>
      <c r="F14" s="5"/>
      <c r="G14" s="5"/>
      <c r="H14" s="5"/>
    </row>
    <row r="15" customFormat="false" ht="18" hidden="false" customHeight="true" outlineLevel="0" collapsed="false">
      <c r="A15" s="6" t="s">
        <v>12</v>
      </c>
      <c r="B15" s="6"/>
      <c r="C15" s="6"/>
      <c r="D15" s="6"/>
      <c r="E15" s="6"/>
      <c r="F15" s="6"/>
      <c r="G15" s="6"/>
      <c r="H15" s="6"/>
    </row>
    <row r="16" customFormat="false" ht="7.5" hidden="false" customHeight="true" outlineLevel="0" collapsed="false"/>
    <row r="17" customFormat="false" ht="18" hidden="false" customHeight="true" outlineLevel="0" collapsed="false">
      <c r="A17" s="3" t="s">
        <v>13</v>
      </c>
      <c r="B17" s="3"/>
      <c r="C17" s="3"/>
      <c r="D17" s="3"/>
      <c r="E17" s="3"/>
      <c r="F17" s="3"/>
      <c r="G17" s="3"/>
      <c r="H17" s="3"/>
    </row>
    <row r="18" customFormat="false" ht="18" hidden="false" customHeight="true" outlineLevel="0" collapsed="false">
      <c r="A18" s="7" t="s">
        <v>14</v>
      </c>
      <c r="B18" s="8" t="s">
        <v>15</v>
      </c>
      <c r="C18" s="8"/>
      <c r="D18" s="8"/>
      <c r="E18" s="8"/>
      <c r="F18" s="8"/>
      <c r="G18" s="8"/>
      <c r="H18" s="8"/>
    </row>
    <row r="19" customFormat="false" ht="18" hidden="false" customHeight="true" outlineLevel="0" collapsed="false">
      <c r="A19" s="9" t="s">
        <v>16</v>
      </c>
      <c r="B19" s="10" t="s">
        <v>17</v>
      </c>
      <c r="C19" s="10"/>
      <c r="D19" s="10"/>
      <c r="E19" s="10"/>
      <c r="F19" s="10"/>
      <c r="G19" s="10"/>
      <c r="H19" s="10"/>
    </row>
    <row r="20" customFormat="false" ht="18" hidden="false" customHeight="true" outlineLevel="0" collapsed="false">
      <c r="A20" s="7" t="s">
        <v>18</v>
      </c>
      <c r="B20" s="8" t="s">
        <v>19</v>
      </c>
      <c r="C20" s="8"/>
      <c r="D20" s="8"/>
      <c r="E20" s="8"/>
      <c r="F20" s="8"/>
      <c r="G20" s="8"/>
      <c r="H20" s="8"/>
    </row>
    <row r="21" customFormat="false" ht="18" hidden="false" customHeight="true" outlineLevel="0" collapsed="false">
      <c r="A21" s="9" t="s">
        <v>20</v>
      </c>
      <c r="B21" s="10" t="s">
        <v>21</v>
      </c>
      <c r="C21" s="10"/>
      <c r="D21" s="10"/>
      <c r="E21" s="10"/>
      <c r="F21" s="10"/>
      <c r="G21" s="10"/>
      <c r="H21" s="10"/>
    </row>
  </sheetData>
  <mergeCells count="13">
    <mergeCell ref="A1:H1"/>
    <mergeCell ref="A2:H2"/>
    <mergeCell ref="A4:H4"/>
    <mergeCell ref="A11:H11"/>
    <mergeCell ref="A12:H12"/>
    <mergeCell ref="A13:H13"/>
    <mergeCell ref="A14:H14"/>
    <mergeCell ref="A15:H15"/>
    <mergeCell ref="A17:H17"/>
    <mergeCell ref="B18:H18"/>
    <mergeCell ref="B19:H19"/>
    <mergeCell ref="B20:H20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9" min="7" style="0" width="14"/>
  </cols>
  <sheetData>
    <row r="1" customFormat="false" ht="30" hidden="false" customHeight="true" outlineLevel="0" collapsed="false">
      <c r="A1" s="11" t="s">
        <v>22</v>
      </c>
      <c r="B1" s="11"/>
      <c r="C1" s="11"/>
      <c r="D1" s="11"/>
      <c r="E1" s="11"/>
      <c r="F1" s="11"/>
      <c r="G1" s="11"/>
      <c r="H1" s="11"/>
      <c r="I1" s="11"/>
    </row>
    <row r="2" customFormat="false" ht="18" hidden="false" customHeight="true" outlineLevel="0" collapsed="false">
      <c r="A2" s="12" t="s">
        <v>23</v>
      </c>
      <c r="B2" s="12"/>
      <c r="C2" s="12"/>
      <c r="D2" s="12"/>
      <c r="E2" s="12"/>
      <c r="F2" s="12"/>
      <c r="G2" s="12"/>
      <c r="H2" s="12"/>
      <c r="I2" s="12"/>
    </row>
    <row r="3" customFormat="false" ht="7.5" hidden="false" customHeight="true" outlineLevel="0" collapsed="false"/>
    <row r="4" customFormat="false" ht="18" hidden="false" customHeight="true" outlineLevel="0" collapsed="false">
      <c r="A4" s="3" t="s">
        <v>24</v>
      </c>
      <c r="B4" s="3"/>
      <c r="C4" s="3"/>
      <c r="D4" s="3"/>
      <c r="E4" s="3"/>
      <c r="F4" s="3"/>
      <c r="G4" s="3"/>
      <c r="H4" s="3"/>
      <c r="I4" s="3"/>
    </row>
    <row r="5" customFormat="false" ht="18" hidden="false" customHeight="true" outlineLevel="0" collapsed="false">
      <c r="A5" s="13" t="s">
        <v>25</v>
      </c>
      <c r="B5" s="13" t="s">
        <v>26</v>
      </c>
      <c r="C5" s="13" t="s">
        <v>27</v>
      </c>
      <c r="D5" s="13" t="s">
        <v>28</v>
      </c>
      <c r="E5" s="13" t="s">
        <v>29</v>
      </c>
      <c r="F5" s="13" t="s">
        <v>30</v>
      </c>
      <c r="G5" s="13" t="s">
        <v>31</v>
      </c>
      <c r="H5" s="13" t="s">
        <v>32</v>
      </c>
      <c r="I5" s="13" t="s">
        <v>33</v>
      </c>
    </row>
    <row r="6" customFormat="false" ht="19.5" hidden="false" customHeight="true" outlineLevel="0" collapsed="false">
      <c r="A6" s="14" t="s">
        <v>34</v>
      </c>
      <c r="B6" s="15" t="n">
        <v>39.62</v>
      </c>
      <c r="C6" s="15" t="n">
        <v>39.55</v>
      </c>
      <c r="D6" s="15" t="n">
        <v>39.68</v>
      </c>
      <c r="E6" s="15" t="n">
        <v>44.1</v>
      </c>
      <c r="F6" s="15" t="n">
        <v>31.2</v>
      </c>
      <c r="G6" s="16" t="n">
        <v>18.4</v>
      </c>
      <c r="H6" s="15" t="n">
        <v>1.21</v>
      </c>
      <c r="I6" s="17" t="n">
        <f aca="false">H6/B6</f>
        <v>0.030540131246845</v>
      </c>
    </row>
    <row r="7" customFormat="false" ht="7.5" hidden="false" customHeight="true" outlineLevel="0" collapsed="false"/>
    <row r="8" customFormat="false" ht="18" hidden="false" customHeight="true" outlineLevel="0" collapsed="false">
      <c r="A8" s="3" t="s">
        <v>35</v>
      </c>
      <c r="B8" s="3"/>
      <c r="C8" s="3"/>
      <c r="D8" s="3"/>
      <c r="E8" s="3"/>
      <c r="F8" s="3"/>
      <c r="G8" s="3"/>
      <c r="H8" s="3"/>
      <c r="I8" s="3"/>
    </row>
    <row r="9" customFormat="false" ht="19.5" hidden="false" customHeight="true" outlineLevel="0" collapsed="false">
      <c r="A9" s="18" t="s">
        <v>36</v>
      </c>
      <c r="B9" s="19" t="s">
        <v>37</v>
      </c>
      <c r="C9" s="19"/>
      <c r="D9" s="19"/>
      <c r="E9" s="19"/>
      <c r="F9" s="19"/>
      <c r="G9" s="20" t="s">
        <v>38</v>
      </c>
      <c r="H9" s="21"/>
      <c r="I9" s="21"/>
    </row>
    <row r="10" customFormat="false" ht="19.5" hidden="false" customHeight="true" outlineLevel="0" collapsed="false">
      <c r="A10" s="18" t="s">
        <v>39</v>
      </c>
      <c r="B10" s="22" t="s">
        <v>40</v>
      </c>
      <c r="C10" s="22"/>
      <c r="D10" s="22"/>
      <c r="E10" s="22"/>
      <c r="F10" s="22"/>
      <c r="G10" s="23" t="s">
        <v>38</v>
      </c>
      <c r="H10" s="21"/>
      <c r="I10" s="21"/>
    </row>
    <row r="11" customFormat="false" ht="19.5" hidden="false" customHeight="true" outlineLevel="0" collapsed="false">
      <c r="A11" s="18" t="s">
        <v>41</v>
      </c>
      <c r="B11" s="19" t="s">
        <v>42</v>
      </c>
      <c r="C11" s="19"/>
      <c r="D11" s="19"/>
      <c r="E11" s="19"/>
      <c r="F11" s="19"/>
      <c r="G11" s="20" t="s">
        <v>38</v>
      </c>
      <c r="H11" s="21"/>
      <c r="I11" s="21"/>
    </row>
    <row r="12" customFormat="false" ht="7.5" hidden="false" customHeight="true" outlineLevel="0" collapsed="false"/>
    <row r="13" customFormat="false" ht="18" hidden="false" customHeight="true" outlineLevel="0" collapsed="false">
      <c r="A13" s="3" t="s">
        <v>43</v>
      </c>
      <c r="B13" s="3"/>
      <c r="C13" s="3"/>
      <c r="D13" s="3"/>
      <c r="E13" s="3"/>
      <c r="F13" s="3"/>
      <c r="G13" s="3"/>
      <c r="H13" s="3"/>
      <c r="I13" s="3"/>
    </row>
    <row r="14" customFormat="false" ht="18" hidden="false" customHeight="true" outlineLevel="0" collapsed="false">
      <c r="A14" s="24" t="s">
        <v>44</v>
      </c>
      <c r="B14" s="25" t="n">
        <v>0.08</v>
      </c>
      <c r="C14" s="25"/>
      <c r="D14" s="25"/>
    </row>
    <row r="15" customFormat="false" ht="18" hidden="false" customHeight="true" outlineLevel="0" collapsed="false">
      <c r="A15" s="26" t="s">
        <v>45</v>
      </c>
      <c r="B15" s="27" t="n">
        <v>50</v>
      </c>
      <c r="C15" s="27"/>
      <c r="D15" s="27"/>
    </row>
    <row r="16" customFormat="false" ht="18" hidden="false" customHeight="true" outlineLevel="0" collapsed="false">
      <c r="A16" s="24" t="s">
        <v>46</v>
      </c>
      <c r="B16" s="28" t="n">
        <v>1000</v>
      </c>
      <c r="C16" s="28"/>
      <c r="D16" s="28"/>
    </row>
    <row r="17" customFormat="false" ht="18" hidden="false" customHeight="true" outlineLevel="0" collapsed="false">
      <c r="A17" s="26" t="s">
        <v>47</v>
      </c>
      <c r="B17" s="29" t="n">
        <v>4000</v>
      </c>
      <c r="C17" s="29"/>
      <c r="D17" s="29"/>
    </row>
    <row r="18" customFormat="false" ht="18" hidden="false" customHeight="true" outlineLevel="0" collapsed="false">
      <c r="A18" s="24" t="s">
        <v>48</v>
      </c>
      <c r="B18" s="30" t="n">
        <v>10000</v>
      </c>
      <c r="C18" s="30"/>
      <c r="D18" s="30"/>
    </row>
    <row r="19" customFormat="false" ht="19.5" hidden="false" customHeight="true" outlineLevel="0" collapsed="false">
      <c r="A19" s="18" t="s">
        <v>49</v>
      </c>
      <c r="B19" s="19" t="s">
        <v>50</v>
      </c>
      <c r="C19" s="19"/>
      <c r="D19" s="19"/>
      <c r="E19" s="19"/>
      <c r="F19" s="19"/>
      <c r="G19" s="20" t="s">
        <v>38</v>
      </c>
      <c r="H19" s="21"/>
      <c r="I19" s="21"/>
    </row>
    <row r="20" customFormat="false" ht="19.5" hidden="false" customHeight="true" outlineLevel="0" collapsed="false">
      <c r="A20" s="18" t="s">
        <v>51</v>
      </c>
      <c r="B20" s="22" t="s">
        <v>52</v>
      </c>
      <c r="C20" s="22"/>
      <c r="D20" s="22"/>
      <c r="E20" s="22"/>
      <c r="F20" s="22"/>
      <c r="G20" s="23" t="s">
        <v>38</v>
      </c>
      <c r="H20" s="21"/>
      <c r="I20" s="21"/>
    </row>
    <row r="21" customFormat="false" ht="19.5" hidden="false" customHeight="true" outlineLevel="0" collapsed="false">
      <c r="A21" s="18" t="s">
        <v>53</v>
      </c>
      <c r="B21" s="19" t="s">
        <v>54</v>
      </c>
      <c r="C21" s="19"/>
      <c r="D21" s="19"/>
      <c r="E21" s="19"/>
      <c r="F21" s="19"/>
      <c r="G21" s="20" t="s">
        <v>38</v>
      </c>
      <c r="H21" s="21"/>
      <c r="I21" s="21"/>
    </row>
    <row r="22" customFormat="false" ht="19.5" hidden="false" customHeight="true" outlineLevel="0" collapsed="false">
      <c r="A22" s="18" t="s">
        <v>55</v>
      </c>
      <c r="B22" s="22" t="s">
        <v>56</v>
      </c>
      <c r="C22" s="22"/>
      <c r="D22" s="22"/>
      <c r="E22" s="22"/>
      <c r="F22" s="22"/>
      <c r="G22" s="23" t="s">
        <v>38</v>
      </c>
      <c r="H22" s="21"/>
      <c r="I22" s="21"/>
    </row>
    <row r="23" customFormat="false" ht="7.5" hidden="false" customHeight="true" outlineLevel="0" collapsed="false"/>
    <row r="24" customFormat="false" ht="18" hidden="false" customHeight="true" outlineLevel="0" collapsed="false">
      <c r="A24" s="3" t="s">
        <v>57</v>
      </c>
      <c r="B24" s="3"/>
      <c r="C24" s="3"/>
      <c r="D24" s="3"/>
      <c r="E24" s="3"/>
      <c r="F24" s="3"/>
      <c r="G24" s="3"/>
      <c r="H24" s="3"/>
      <c r="I24" s="3"/>
    </row>
    <row r="25" customFormat="false" ht="18" hidden="false" customHeight="true" outlineLevel="0" collapsed="false">
      <c r="A25" s="26" t="s">
        <v>58</v>
      </c>
      <c r="B25" s="29" t="n">
        <v>200</v>
      </c>
      <c r="C25" s="29"/>
      <c r="D25" s="29"/>
    </row>
    <row r="26" customFormat="false" ht="18" hidden="false" customHeight="true" outlineLevel="0" collapsed="false">
      <c r="A26" s="24" t="s">
        <v>59</v>
      </c>
      <c r="B26" s="30" t="n">
        <v>39.09</v>
      </c>
      <c r="C26" s="30"/>
      <c r="D26" s="30"/>
    </row>
    <row r="27" customFormat="false" ht="18" hidden="false" customHeight="true" outlineLevel="0" collapsed="false">
      <c r="A27" s="26" t="s">
        <v>60</v>
      </c>
      <c r="B27" s="27" t="n">
        <v>41.1</v>
      </c>
      <c r="C27" s="27"/>
      <c r="D27" s="27"/>
    </row>
    <row r="28" customFormat="false" ht="18" hidden="false" customHeight="true" outlineLevel="0" collapsed="false">
      <c r="A28" s="24" t="s">
        <v>61</v>
      </c>
      <c r="B28" s="25" t="n">
        <v>0.01</v>
      </c>
      <c r="C28" s="25"/>
      <c r="D28" s="25"/>
    </row>
    <row r="29" customFormat="false" ht="18" hidden="false" customHeight="true" outlineLevel="0" collapsed="false">
      <c r="A29" s="26" t="s">
        <v>62</v>
      </c>
      <c r="B29" s="27" t="n">
        <v>1.21</v>
      </c>
      <c r="C29" s="27"/>
      <c r="D29" s="27"/>
    </row>
    <row r="30" customFormat="false" ht="19.5" hidden="false" customHeight="true" outlineLevel="0" collapsed="false">
      <c r="A30" s="18" t="s">
        <v>49</v>
      </c>
      <c r="B30" s="22" t="s">
        <v>63</v>
      </c>
      <c r="C30" s="22"/>
      <c r="D30" s="22"/>
      <c r="E30" s="22"/>
      <c r="F30" s="22"/>
      <c r="G30" s="23" t="s">
        <v>38</v>
      </c>
      <c r="H30" s="21"/>
      <c r="I30" s="21"/>
    </row>
    <row r="31" customFormat="false" ht="19.5" hidden="false" customHeight="true" outlineLevel="0" collapsed="false">
      <c r="A31" s="18" t="s">
        <v>51</v>
      </c>
      <c r="B31" s="19" t="s">
        <v>64</v>
      </c>
      <c r="C31" s="19"/>
      <c r="D31" s="19"/>
      <c r="E31" s="19"/>
      <c r="F31" s="19"/>
      <c r="G31" s="20" t="s">
        <v>38</v>
      </c>
      <c r="H31" s="21"/>
      <c r="I31" s="21"/>
    </row>
    <row r="32" customFormat="false" ht="19.5" hidden="false" customHeight="true" outlineLevel="0" collapsed="false">
      <c r="A32" s="18" t="s">
        <v>53</v>
      </c>
      <c r="B32" s="22" t="s">
        <v>65</v>
      </c>
      <c r="C32" s="22"/>
      <c r="D32" s="22"/>
      <c r="E32" s="22"/>
      <c r="F32" s="22"/>
      <c r="G32" s="23" t="s">
        <v>38</v>
      </c>
      <c r="H32" s="21"/>
      <c r="I32" s="21"/>
    </row>
    <row r="33" customFormat="false" ht="19.5" hidden="false" customHeight="true" outlineLevel="0" collapsed="false">
      <c r="A33" s="18" t="s">
        <v>55</v>
      </c>
      <c r="B33" s="19" t="s">
        <v>66</v>
      </c>
      <c r="C33" s="19"/>
      <c r="D33" s="19"/>
      <c r="E33" s="19"/>
      <c r="F33" s="19"/>
      <c r="G33" s="20" t="s">
        <v>38</v>
      </c>
      <c r="H33" s="21"/>
      <c r="I33" s="21"/>
    </row>
    <row r="34" customFormat="false" ht="19.5" hidden="false" customHeight="true" outlineLevel="0" collapsed="false">
      <c r="A34" s="18" t="s">
        <v>67</v>
      </c>
      <c r="B34" s="22" t="s">
        <v>68</v>
      </c>
      <c r="C34" s="22"/>
      <c r="D34" s="22"/>
      <c r="E34" s="22"/>
      <c r="F34" s="22"/>
      <c r="G34" s="23" t="s">
        <v>38</v>
      </c>
      <c r="H34" s="21"/>
      <c r="I34" s="21"/>
    </row>
    <row r="35" customFormat="false" ht="19.5" hidden="false" customHeight="true" outlineLevel="0" collapsed="false">
      <c r="A35" s="18" t="s">
        <v>69</v>
      </c>
      <c r="B35" s="19" t="s">
        <v>70</v>
      </c>
      <c r="C35" s="19"/>
      <c r="D35" s="19"/>
      <c r="E35" s="19"/>
      <c r="F35" s="19"/>
      <c r="G35" s="20" t="s">
        <v>38</v>
      </c>
      <c r="H35" s="21"/>
      <c r="I35" s="21"/>
    </row>
    <row r="36" customFormat="false" ht="19.5" hidden="false" customHeight="true" outlineLevel="0" collapsed="false">
      <c r="A36" s="18" t="s">
        <v>71</v>
      </c>
      <c r="B36" s="22" t="s">
        <v>72</v>
      </c>
      <c r="C36" s="22"/>
      <c r="D36" s="22"/>
      <c r="E36" s="22"/>
      <c r="F36" s="22"/>
      <c r="G36" s="23" t="s">
        <v>38</v>
      </c>
      <c r="H36" s="21"/>
      <c r="I36" s="21"/>
    </row>
    <row r="37" customFormat="false" ht="19.5" hidden="false" customHeight="true" outlineLevel="0" collapsed="false">
      <c r="A37" s="18" t="s">
        <v>73</v>
      </c>
      <c r="B37" s="19" t="s">
        <v>74</v>
      </c>
      <c r="C37" s="19"/>
      <c r="D37" s="19"/>
      <c r="E37" s="19"/>
      <c r="F37" s="19"/>
      <c r="G37" s="20" t="s">
        <v>38</v>
      </c>
      <c r="H37" s="31"/>
      <c r="I37" s="31"/>
    </row>
  </sheetData>
  <mergeCells count="46">
    <mergeCell ref="A1:I1"/>
    <mergeCell ref="A2:I2"/>
    <mergeCell ref="A4:I4"/>
    <mergeCell ref="A8:I8"/>
    <mergeCell ref="B9:F9"/>
    <mergeCell ref="H9:I9"/>
    <mergeCell ref="B10:F10"/>
    <mergeCell ref="H10:I10"/>
    <mergeCell ref="B11:F11"/>
    <mergeCell ref="H11:I11"/>
    <mergeCell ref="A13:I13"/>
    <mergeCell ref="B14:D14"/>
    <mergeCell ref="B15:D15"/>
    <mergeCell ref="B16:D16"/>
    <mergeCell ref="B17:D17"/>
    <mergeCell ref="B18:D18"/>
    <mergeCell ref="B19:F19"/>
    <mergeCell ref="H19:I19"/>
    <mergeCell ref="B20:F20"/>
    <mergeCell ref="H20:I20"/>
    <mergeCell ref="B21:F21"/>
    <mergeCell ref="H21:I21"/>
    <mergeCell ref="B22:F22"/>
    <mergeCell ref="H22:I22"/>
    <mergeCell ref="A24:I24"/>
    <mergeCell ref="B25:D25"/>
    <mergeCell ref="B26:D26"/>
    <mergeCell ref="B27:D27"/>
    <mergeCell ref="B28:D28"/>
    <mergeCell ref="B29:D29"/>
    <mergeCell ref="B30:F30"/>
    <mergeCell ref="H30:I30"/>
    <mergeCell ref="B31:F31"/>
    <mergeCell ref="H31:I31"/>
    <mergeCell ref="B32:F32"/>
    <mergeCell ref="H32:I32"/>
    <mergeCell ref="B33:F33"/>
    <mergeCell ref="H33:I33"/>
    <mergeCell ref="B34:F34"/>
    <mergeCell ref="H34:I34"/>
    <mergeCell ref="B35:F35"/>
    <mergeCell ref="H35:I35"/>
    <mergeCell ref="B36:F36"/>
    <mergeCell ref="H36:I36"/>
    <mergeCell ref="B37:F37"/>
    <mergeCell ref="H37:I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24"/>
    <col collapsed="false" customWidth="true" hidden="false" outlineLevel="0" max="8" min="7" style="0" width="16"/>
  </cols>
  <sheetData>
    <row r="1" customFormat="false" ht="30" hidden="false" customHeight="true" outlineLevel="0" collapsed="false">
      <c r="A1" s="11" t="s">
        <v>75</v>
      </c>
      <c r="B1" s="11"/>
      <c r="C1" s="11"/>
      <c r="D1" s="11"/>
      <c r="E1" s="11"/>
      <c r="F1" s="11"/>
      <c r="G1" s="11"/>
      <c r="H1" s="11"/>
    </row>
    <row r="2" customFormat="false" ht="18" hidden="false" customHeight="true" outlineLevel="0" collapsed="false">
      <c r="A2" s="12" t="s">
        <v>76</v>
      </c>
      <c r="B2" s="12"/>
      <c r="C2" s="12"/>
      <c r="D2" s="12"/>
      <c r="E2" s="12"/>
      <c r="F2" s="12"/>
      <c r="G2" s="12"/>
      <c r="H2" s="12"/>
    </row>
    <row r="3" customFormat="false" ht="7.5" hidden="false" customHeight="true" outlineLevel="0" collapsed="false"/>
    <row r="4" customFormat="false" ht="18" hidden="false" customHeight="true" outlineLevel="0" collapsed="false">
      <c r="A4" s="3" t="s">
        <v>77</v>
      </c>
      <c r="B4" s="3"/>
      <c r="C4" s="3"/>
      <c r="D4" s="3"/>
      <c r="E4" s="3"/>
      <c r="F4" s="3"/>
      <c r="G4" s="3"/>
      <c r="H4" s="3"/>
    </row>
    <row r="5" customFormat="false" ht="18" hidden="false" customHeight="true" outlineLevel="0" collapsed="false">
      <c r="A5" s="26" t="s">
        <v>78</v>
      </c>
      <c r="B5" s="27" t="n">
        <v>1000</v>
      </c>
      <c r="C5" s="27"/>
      <c r="D5" s="27"/>
    </row>
    <row r="6" customFormat="false" ht="18" hidden="false" customHeight="true" outlineLevel="0" collapsed="false">
      <c r="A6" s="24" t="s">
        <v>79</v>
      </c>
      <c r="B6" s="32" t="n">
        <v>0.04</v>
      </c>
      <c r="C6" s="32"/>
      <c r="D6" s="32"/>
    </row>
    <row r="7" customFormat="false" ht="18" hidden="false" customHeight="true" outlineLevel="0" collapsed="false">
      <c r="A7" s="26" t="s">
        <v>80</v>
      </c>
      <c r="B7" s="33" t="n">
        <v>99.59</v>
      </c>
      <c r="C7" s="33"/>
      <c r="D7" s="33"/>
    </row>
    <row r="8" customFormat="false" ht="18" hidden="false" customHeight="true" outlineLevel="0" collapsed="false">
      <c r="A8" s="24" t="s">
        <v>81</v>
      </c>
      <c r="B8" s="28" t="n">
        <v>5</v>
      </c>
      <c r="C8" s="28"/>
      <c r="D8" s="28"/>
    </row>
    <row r="9" customFormat="false" ht="19.5" hidden="false" customHeight="true" outlineLevel="0" collapsed="false">
      <c r="A9" s="18" t="s">
        <v>49</v>
      </c>
      <c r="B9" s="19" t="s">
        <v>82</v>
      </c>
      <c r="C9" s="19"/>
      <c r="D9" s="19"/>
      <c r="E9" s="19"/>
      <c r="F9" s="20" t="s">
        <v>38</v>
      </c>
      <c r="G9" s="21"/>
      <c r="H9" s="21"/>
    </row>
    <row r="10" customFormat="false" ht="19.5" hidden="false" customHeight="true" outlineLevel="0" collapsed="false">
      <c r="A10" s="18" t="s">
        <v>51</v>
      </c>
      <c r="B10" s="22" t="s">
        <v>83</v>
      </c>
      <c r="C10" s="22"/>
      <c r="D10" s="22"/>
      <c r="E10" s="22"/>
      <c r="F10" s="23" t="s">
        <v>38</v>
      </c>
      <c r="G10" s="21"/>
      <c r="H10" s="21"/>
    </row>
    <row r="11" customFormat="false" ht="19.5" hidden="false" customHeight="true" outlineLevel="0" collapsed="false">
      <c r="A11" s="18" t="s">
        <v>53</v>
      </c>
      <c r="B11" s="19" t="s">
        <v>84</v>
      </c>
      <c r="C11" s="19"/>
      <c r="D11" s="19"/>
      <c r="E11" s="19"/>
      <c r="F11" s="20" t="s">
        <v>38</v>
      </c>
      <c r="G11" s="21"/>
      <c r="H11" s="21"/>
    </row>
    <row r="12" customFormat="false" ht="19.5" hidden="false" customHeight="true" outlineLevel="0" collapsed="false">
      <c r="A12" s="18" t="s">
        <v>55</v>
      </c>
      <c r="B12" s="22" t="s">
        <v>85</v>
      </c>
      <c r="C12" s="22"/>
      <c r="D12" s="22"/>
      <c r="E12" s="22"/>
      <c r="F12" s="23" t="s">
        <v>38</v>
      </c>
      <c r="G12" s="21"/>
      <c r="H12" s="21"/>
    </row>
    <row r="13" customFormat="false" ht="19.5" hidden="false" customHeight="true" outlineLevel="0" collapsed="false">
      <c r="A13" s="18" t="s">
        <v>67</v>
      </c>
      <c r="B13" s="19" t="s">
        <v>86</v>
      </c>
      <c r="C13" s="19"/>
      <c r="D13" s="19"/>
      <c r="E13" s="19"/>
      <c r="F13" s="20" t="s">
        <v>38</v>
      </c>
      <c r="G13" s="31"/>
      <c r="H13" s="31"/>
    </row>
    <row r="14" customFormat="false" ht="7.5" hidden="false" customHeight="true" outlineLevel="0" collapsed="false"/>
    <row r="15" customFormat="false" ht="18" hidden="false" customHeight="true" outlineLevel="0" collapsed="false">
      <c r="A15" s="3" t="s">
        <v>87</v>
      </c>
      <c r="B15" s="3"/>
      <c r="C15" s="3"/>
      <c r="D15" s="3"/>
      <c r="E15" s="3"/>
      <c r="F15" s="3"/>
      <c r="G15" s="3"/>
      <c r="H15" s="3"/>
    </row>
    <row r="16" customFormat="false" ht="19.5" hidden="false" customHeight="true" outlineLevel="0" collapsed="false">
      <c r="A16" s="34" t="s">
        <v>88</v>
      </c>
      <c r="B16" s="34"/>
      <c r="C16" s="34"/>
      <c r="D16" s="34"/>
      <c r="E16" s="34"/>
      <c r="F16" s="34"/>
      <c r="G16" s="34"/>
      <c r="H16" s="34"/>
    </row>
    <row r="17" customFormat="false" ht="18" hidden="false" customHeight="true" outlineLevel="0" collapsed="false">
      <c r="A17" s="13" t="s">
        <v>89</v>
      </c>
      <c r="B17" s="13" t="s">
        <v>90</v>
      </c>
      <c r="C17" s="13" t="s">
        <v>91</v>
      </c>
      <c r="D17" s="13" t="s">
        <v>92</v>
      </c>
      <c r="E17" s="13" t="s">
        <v>93</v>
      </c>
      <c r="F17" s="13" t="s">
        <v>94</v>
      </c>
    </row>
    <row r="18" customFormat="false" ht="19.5" hidden="false" customHeight="true" outlineLevel="0" collapsed="false">
      <c r="A18" s="35" t="s">
        <v>95</v>
      </c>
      <c r="B18" s="36" t="n">
        <v>105.25</v>
      </c>
      <c r="C18" s="37" t="n">
        <v>1000</v>
      </c>
      <c r="D18" s="21"/>
      <c r="E18" s="21"/>
      <c r="F18" s="38"/>
    </row>
    <row r="19" customFormat="false" ht="19.5" hidden="false" customHeight="true" outlineLevel="0" collapsed="false">
      <c r="A19" s="39" t="s">
        <v>96</v>
      </c>
      <c r="B19" s="40" t="n">
        <v>98</v>
      </c>
      <c r="C19" s="41" t="n">
        <v>1000</v>
      </c>
      <c r="D19" s="21"/>
      <c r="E19" s="21"/>
      <c r="F19" s="38"/>
    </row>
    <row r="20" customFormat="false" ht="19.5" hidden="false" customHeight="true" outlineLevel="0" collapsed="false">
      <c r="A20" s="35" t="s">
        <v>97</v>
      </c>
      <c r="B20" s="36" t="n">
        <v>100</v>
      </c>
      <c r="C20" s="37" t="n">
        <v>1000</v>
      </c>
      <c r="D20" s="21"/>
      <c r="E20" s="21"/>
      <c r="F20" s="38"/>
    </row>
    <row r="21" customFormat="false" ht="19.5" hidden="false" customHeight="true" outlineLevel="0" collapsed="false">
      <c r="A21" s="39" t="s">
        <v>98</v>
      </c>
      <c r="B21" s="40" t="n">
        <v>112.5</v>
      </c>
      <c r="C21" s="41" t="n">
        <v>1000</v>
      </c>
      <c r="D21" s="21"/>
      <c r="E21" s="21"/>
      <c r="F21" s="38"/>
    </row>
  </sheetData>
  <mergeCells count="19">
    <mergeCell ref="A1:H1"/>
    <mergeCell ref="A2:H2"/>
    <mergeCell ref="A4:H4"/>
    <mergeCell ref="B5:D5"/>
    <mergeCell ref="B6:D6"/>
    <mergeCell ref="B7:D7"/>
    <mergeCell ref="B8:D8"/>
    <mergeCell ref="B9:E9"/>
    <mergeCell ref="G9:H9"/>
    <mergeCell ref="B10:E10"/>
    <mergeCell ref="G10:H10"/>
    <mergeCell ref="B11:E11"/>
    <mergeCell ref="G11:H11"/>
    <mergeCell ref="B12:E12"/>
    <mergeCell ref="G12:H12"/>
    <mergeCell ref="B13:E13"/>
    <mergeCell ref="G13:H13"/>
    <mergeCell ref="A15:H15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8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8" min="6" style="0" width="16"/>
  </cols>
  <sheetData>
    <row r="1" customFormat="false" ht="30" hidden="false" customHeight="true" outlineLevel="0" collapsed="false">
      <c r="A1" s="11" t="s">
        <v>99</v>
      </c>
      <c r="B1" s="11"/>
      <c r="C1" s="11"/>
      <c r="D1" s="11"/>
      <c r="E1" s="11"/>
      <c r="F1" s="11"/>
      <c r="G1" s="11"/>
      <c r="H1" s="11"/>
    </row>
    <row r="2" customFormat="false" ht="18" hidden="false" customHeight="true" outlineLevel="0" collapsed="false">
      <c r="A2" s="12" t="s">
        <v>100</v>
      </c>
      <c r="B2" s="12"/>
      <c r="C2" s="12"/>
      <c r="D2" s="12"/>
      <c r="E2" s="12"/>
      <c r="F2" s="12"/>
      <c r="G2" s="12"/>
      <c r="H2" s="12"/>
    </row>
    <row r="3" customFormat="false" ht="7.5" hidden="false" customHeight="true" outlineLevel="0" collapsed="false"/>
    <row r="4" customFormat="false" ht="18" hidden="false" customHeight="true" outlineLevel="0" collapsed="false">
      <c r="A4" s="3" t="s">
        <v>101</v>
      </c>
      <c r="B4" s="3"/>
      <c r="C4" s="3"/>
      <c r="D4" s="3"/>
      <c r="E4" s="3"/>
      <c r="F4" s="3"/>
      <c r="G4" s="3"/>
      <c r="H4" s="3"/>
    </row>
    <row r="5" customFormat="false" ht="18" hidden="false" customHeight="true" outlineLevel="0" collapsed="false">
      <c r="A5" s="26" t="s">
        <v>102</v>
      </c>
      <c r="B5" s="27" t="n">
        <v>5550000</v>
      </c>
      <c r="C5" s="27"/>
      <c r="D5" s="27"/>
    </row>
    <row r="6" customFormat="false" ht="18" hidden="false" customHeight="true" outlineLevel="0" collapsed="false">
      <c r="A6" s="24" t="s">
        <v>103</v>
      </c>
      <c r="B6" s="30" t="n">
        <v>770000</v>
      </c>
      <c r="C6" s="30"/>
      <c r="D6" s="30"/>
    </row>
    <row r="7" customFormat="false" ht="18" hidden="false" customHeight="true" outlineLevel="0" collapsed="false">
      <c r="A7" s="26" t="s">
        <v>104</v>
      </c>
      <c r="B7" s="29" t="n">
        <v>600000</v>
      </c>
      <c r="C7" s="29"/>
      <c r="D7" s="29"/>
    </row>
    <row r="8" customFormat="false" ht="19.5" hidden="false" customHeight="true" outlineLevel="0" collapsed="false">
      <c r="A8" s="18" t="s">
        <v>49</v>
      </c>
      <c r="B8" s="22" t="s">
        <v>105</v>
      </c>
      <c r="C8" s="22"/>
      <c r="D8" s="22"/>
      <c r="E8" s="22"/>
      <c r="F8" s="23" t="s">
        <v>38</v>
      </c>
      <c r="G8" s="21"/>
      <c r="H8" s="21"/>
    </row>
    <row r="9" customFormat="false" ht="19.5" hidden="false" customHeight="true" outlineLevel="0" collapsed="false">
      <c r="A9" s="18" t="s">
        <v>51</v>
      </c>
      <c r="B9" s="19" t="s">
        <v>106</v>
      </c>
      <c r="C9" s="19"/>
      <c r="D9" s="19"/>
      <c r="E9" s="19"/>
      <c r="F9" s="20" t="s">
        <v>38</v>
      </c>
      <c r="G9" s="21"/>
      <c r="H9" s="21"/>
    </row>
    <row r="10" customFormat="false" ht="19.5" hidden="false" customHeight="true" outlineLevel="0" collapsed="false">
      <c r="A10" s="18" t="s">
        <v>53</v>
      </c>
      <c r="B10" s="22" t="s">
        <v>107</v>
      </c>
      <c r="C10" s="22"/>
      <c r="D10" s="22"/>
      <c r="E10" s="22"/>
      <c r="F10" s="23" t="s">
        <v>38</v>
      </c>
      <c r="G10" s="21"/>
      <c r="H10" s="21"/>
    </row>
    <row r="11" customFormat="false" ht="7.5" hidden="false" customHeight="true" outlineLevel="0" collapsed="false"/>
    <row r="12" customFormat="false" ht="18" hidden="false" customHeight="true" outlineLevel="0" collapsed="false">
      <c r="A12" s="3" t="s">
        <v>108</v>
      </c>
      <c r="B12" s="3"/>
      <c r="C12" s="3"/>
      <c r="D12" s="3"/>
      <c r="E12" s="3"/>
      <c r="F12" s="3"/>
      <c r="G12" s="3"/>
      <c r="H12" s="3"/>
    </row>
    <row r="13" customFormat="false" ht="18" hidden="false" customHeight="true" outlineLevel="0" collapsed="false">
      <c r="A13" s="34" t="s">
        <v>109</v>
      </c>
      <c r="B13" s="34"/>
      <c r="C13" s="34"/>
      <c r="D13" s="34"/>
      <c r="E13" s="34"/>
      <c r="F13" s="34"/>
      <c r="G13" s="34"/>
      <c r="H13" s="34"/>
    </row>
    <row r="14" customFormat="false" ht="21.75" hidden="false" customHeight="true" outlineLevel="0" collapsed="false">
      <c r="A14" s="42" t="s">
        <v>110</v>
      </c>
      <c r="B14" s="42" t="s">
        <v>111</v>
      </c>
      <c r="C14" s="42" t="s">
        <v>112</v>
      </c>
      <c r="D14" s="42" t="s">
        <v>104</v>
      </c>
      <c r="E14" s="42" t="s">
        <v>113</v>
      </c>
    </row>
    <row r="15" customFormat="false" ht="19.5" hidden="false" customHeight="true" outlineLevel="0" collapsed="false">
      <c r="A15" s="43" t="s">
        <v>114</v>
      </c>
      <c r="B15" s="44" t="n">
        <v>4200000</v>
      </c>
      <c r="C15" s="44" t="n">
        <v>510000</v>
      </c>
      <c r="D15" s="45" t="n">
        <v>750000</v>
      </c>
      <c r="E15" s="21"/>
    </row>
    <row r="16" customFormat="false" ht="19.5" hidden="false" customHeight="true" outlineLevel="0" collapsed="false">
      <c r="A16" s="46" t="s">
        <v>115</v>
      </c>
      <c r="B16" s="47" t="n">
        <v>9100000</v>
      </c>
      <c r="C16" s="47" t="n">
        <v>1200000</v>
      </c>
      <c r="D16" s="48" t="n">
        <v>1100000</v>
      </c>
      <c r="E16" s="21"/>
    </row>
    <row r="17" customFormat="false" ht="19.5" hidden="false" customHeight="true" outlineLevel="0" collapsed="false">
      <c r="A17" s="43" t="s">
        <v>116</v>
      </c>
      <c r="B17" s="44" t="n">
        <v>2800000</v>
      </c>
      <c r="C17" s="44" t="n">
        <v>320000</v>
      </c>
      <c r="D17" s="45" t="n">
        <v>500000</v>
      </c>
      <c r="E17" s="21"/>
    </row>
  </sheetData>
  <mergeCells count="14">
    <mergeCell ref="A1:H1"/>
    <mergeCell ref="A2:H2"/>
    <mergeCell ref="A4:H4"/>
    <mergeCell ref="B5:D5"/>
    <mergeCell ref="B6:D6"/>
    <mergeCell ref="B7:D7"/>
    <mergeCell ref="B8:E8"/>
    <mergeCell ref="G8:H8"/>
    <mergeCell ref="B9:E9"/>
    <mergeCell ref="G9:H9"/>
    <mergeCell ref="B10:E10"/>
    <mergeCell ref="G10:H10"/>
    <mergeCell ref="A12:H12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34"/>
    <col collapsed="false" customWidth="true" hidden="false" outlineLevel="0" max="4" min="4" style="0" width="36"/>
    <col collapsed="false" customWidth="true" hidden="false" outlineLevel="0" max="5" min="5" style="0" width="14"/>
  </cols>
  <sheetData>
    <row r="1" customFormat="false" ht="30" hidden="false" customHeight="true" outlineLevel="0" collapsed="false">
      <c r="A1" s="11" t="s">
        <v>117</v>
      </c>
      <c r="B1" s="11"/>
      <c r="C1" s="11"/>
      <c r="D1" s="11"/>
      <c r="E1" s="11"/>
      <c r="F1" s="11"/>
      <c r="G1" s="11"/>
    </row>
    <row r="2" customFormat="false" ht="18" hidden="false" customHeight="true" outlineLevel="0" collapsed="false">
      <c r="A2" s="12" t="s">
        <v>118</v>
      </c>
      <c r="B2" s="12"/>
      <c r="C2" s="12"/>
      <c r="D2" s="12"/>
      <c r="E2" s="12"/>
      <c r="F2" s="12"/>
      <c r="G2" s="12"/>
    </row>
    <row r="3" customFormat="false" ht="7.5" hidden="false" customHeight="true" outlineLevel="0" collapsed="false"/>
    <row r="4" customFormat="false" ht="21.75" hidden="false" customHeight="true" outlineLevel="0" collapsed="false">
      <c r="A4" s="42" t="s">
        <v>119</v>
      </c>
      <c r="B4" s="42" t="s">
        <v>120</v>
      </c>
      <c r="C4" s="42" t="s">
        <v>121</v>
      </c>
      <c r="D4" s="42" t="s">
        <v>122</v>
      </c>
      <c r="E4" s="42" t="s">
        <v>123</v>
      </c>
    </row>
    <row r="5" customFormat="false" ht="21.75" hidden="false" customHeight="true" outlineLevel="0" collapsed="false">
      <c r="A5" s="49" t="s">
        <v>124</v>
      </c>
      <c r="B5" s="50" t="s">
        <v>125</v>
      </c>
      <c r="C5" s="51" t="s">
        <v>126</v>
      </c>
      <c r="D5" s="50" t="s">
        <v>127</v>
      </c>
      <c r="E5" s="52" t="s">
        <v>128</v>
      </c>
    </row>
    <row r="6" customFormat="false" ht="21.75" hidden="false" customHeight="true" outlineLevel="0" collapsed="false">
      <c r="A6" s="53" t="s">
        <v>129</v>
      </c>
      <c r="B6" s="54" t="s">
        <v>130</v>
      </c>
      <c r="C6" s="55" t="s">
        <v>131</v>
      </c>
      <c r="D6" s="54" t="s">
        <v>132</v>
      </c>
      <c r="E6" s="56" t="s">
        <v>133</v>
      </c>
    </row>
    <row r="7" customFormat="false" ht="21.75" hidden="false" customHeight="true" outlineLevel="0" collapsed="false">
      <c r="A7" s="49" t="s">
        <v>134</v>
      </c>
      <c r="B7" s="50" t="s">
        <v>135</v>
      </c>
      <c r="C7" s="51" t="s">
        <v>136</v>
      </c>
      <c r="D7" s="50" t="s">
        <v>137</v>
      </c>
      <c r="E7" s="52" t="s">
        <v>138</v>
      </c>
    </row>
    <row r="8" customFormat="false" ht="21.75" hidden="false" customHeight="true" outlineLevel="0" collapsed="false">
      <c r="A8" s="53" t="s">
        <v>139</v>
      </c>
      <c r="B8" s="54" t="s">
        <v>140</v>
      </c>
      <c r="C8" s="55" t="s">
        <v>141</v>
      </c>
      <c r="D8" s="54" t="s">
        <v>142</v>
      </c>
      <c r="E8" s="56" t="s">
        <v>143</v>
      </c>
    </row>
    <row r="9" customFormat="false" ht="21.75" hidden="false" customHeight="true" outlineLevel="0" collapsed="false">
      <c r="A9" s="49" t="s">
        <v>144</v>
      </c>
      <c r="B9" s="50" t="s">
        <v>145</v>
      </c>
      <c r="C9" s="51" t="s">
        <v>146</v>
      </c>
      <c r="D9" s="50" t="s">
        <v>147</v>
      </c>
      <c r="E9" s="52" t="s">
        <v>148</v>
      </c>
    </row>
    <row r="10" customFormat="false" ht="21.75" hidden="false" customHeight="true" outlineLevel="0" collapsed="false">
      <c r="A10" s="53" t="s">
        <v>149</v>
      </c>
      <c r="B10" s="54" t="s">
        <v>150</v>
      </c>
      <c r="C10" s="55" t="s">
        <v>151</v>
      </c>
      <c r="D10" s="54" t="s">
        <v>152</v>
      </c>
      <c r="E10" s="56" t="s">
        <v>153</v>
      </c>
    </row>
    <row r="11" customFormat="false" ht="21.75" hidden="false" customHeight="true" outlineLevel="0" collapsed="false">
      <c r="A11" s="49" t="s">
        <v>154</v>
      </c>
      <c r="B11" s="50" t="s">
        <v>155</v>
      </c>
      <c r="C11" s="51" t="s">
        <v>156</v>
      </c>
      <c r="D11" s="50" t="s">
        <v>157</v>
      </c>
      <c r="E11" s="52" t="s">
        <v>158</v>
      </c>
    </row>
    <row r="12" customFormat="false" ht="21.75" hidden="false" customHeight="true" outlineLevel="0" collapsed="false">
      <c r="A12" s="53" t="s">
        <v>159</v>
      </c>
      <c r="B12" s="54" t="s">
        <v>160</v>
      </c>
      <c r="C12" s="55" t="s">
        <v>161</v>
      </c>
      <c r="D12" s="54" t="s">
        <v>162</v>
      </c>
      <c r="E12" s="56" t="s">
        <v>163</v>
      </c>
    </row>
    <row r="13" customFormat="false" ht="21.75" hidden="false" customHeight="true" outlineLevel="0" collapsed="false">
      <c r="A13" s="49" t="s">
        <v>164</v>
      </c>
      <c r="B13" s="50" t="s">
        <v>165</v>
      </c>
      <c r="C13" s="51" t="s">
        <v>166</v>
      </c>
      <c r="D13" s="50" t="s">
        <v>167</v>
      </c>
      <c r="E13" s="52" t="s">
        <v>168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2026-06-08T23:28:10Z</dcterms:created>
  <dc:creator>openpyxl</dc:creator>
  <dc:description/>
  <dc:language>en-US</dc:language>
  <cp:lastModifiedBy/>
  <dcterms:modified xsi:type="dcterms:W3CDTF">2026-06-08T23:28:10Z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