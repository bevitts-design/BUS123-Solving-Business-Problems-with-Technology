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8372df3bfe4a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c5ce4782bf164fd4" state="visible"/>
    <x:sheet xmlns:r="http://schemas.openxmlformats.org/officeDocument/2006/relationships" name="Live You Try It" sheetId="2" r:id="Re46923eb696e4b6c" state="visible"/>
    <x:sheet xmlns:r="http://schemas.openxmlformats.org/officeDocument/2006/relationships" name="Class Challenge" sheetId="3" r:id="R02eab8e93d72441a" state="visible"/>
    <x:sheet xmlns:r="http://schemas.openxmlformats.org/officeDocument/2006/relationships" name="FormulaReferenceCard" sheetId="4" r:id="Rbfcfffdfe8c6468e" state="visible"/>
  </x:sheets>
</x:workbook>
</file>

<file path=xl/sharedStrings.xml><?xml version="1.0" encoding="utf-8"?>
<x:sst xmlns:x="http://schemas.openxmlformats.org/spreadsheetml/2006/main">
  <x:si>
    <x:t xml:space="preserve">BUS123 - MATH-M07-L01 - Sales, Excise, and Property Taxes</x:t>
  </x:si>
  <x:si>
    <x:t xml:space="preserve">How to use this workbook</x:t>
  </x:si>
  <x:si>
    <x:t xml:space="preserve">Course</x:t>
  </x:si>
  <x:si>
    <x:t xml:space="preserve">BUS123 - Solving Business Problems with Technology</x:t>
  </x:si>
  <x:si>
    <x:t xml:space="preserve">Module</x:t>
  </x:si>
  <x:si>
    <x:t xml:space="preserve">MATH-M07 - Lesson 01</x:t>
  </x:si>
  <x:si>
    <x:t xml:space="preserve">Topic</x:t>
  </x:si>
  <x:si>
    <x:t xml:space="preserve">Sales tax, excise tax, and property tax using a simplified training jurisdiction</x:t>
  </x:si>
  <x:si>
    <x:t xml:space="preserve">Companies</x:t>
  </x:si>
  <x:si>
    <x:t xml:space="preserve">Tidal Goods Co. and Meridian Advisory Group; supplied training rules</x:t>
  </x:si>
  <x:si>
    <x:t xml:space="preserve">Live You Try It</x:t>
  </x:si>
  <x:si>
    <x:t xml:space="preserve">Class Challenge</x:t>
  </x:si>
  <x:si>
    <x:t xml:space="preserve">FormulaReferenceCard</x:t>
  </x:si>
  <x:si>
    <x:t xml:space="preserve">Syntax reminders to use only after you decide which pattern fits the supplied business rule.</x:t>
  </x:si>
  <x:si>
    <x:t xml:space="preserve">Color key</x:t>
  </x:si>
  <x:si>
    <x:t xml:space="preserve">Yellow input cells</x:t>
  </x:si>
  <x:si>
    <x:t xml:space="preserve">Green feedback cells</x:t>
  </x:si>
  <x:si>
    <x:t xml:space="preserve">Yellow audit-repair cells</x:t>
  </x:si>
  <x:si>
    <x:t xml:space="preserve">Only yellow cells are student work. Blue-gray source records and the supplied training-jurisdiction rules stay unchanged.</x:t>
  </x:si>
  <x:si>
    <x:t xml:space="preserve">MATH-M07 - Live You Try It | Self-graded Excel pauses</x:t>
  </x:si>
  <x:si>
    <x:t xml:space="preserve">#</x:t>
  </x:si>
  <x:si>
    <x:t xml:space="preserve">Task</x:t>
  </x:si>
  <x:si>
    <x:t xml:space="preserve">Input 1</x:t>
  </x:si>
  <x:si>
    <x:t xml:space="preserve">Input 2</x:t>
  </x:si>
  <x:si>
    <x:t xml:space="preserve">Formula / Answer</x:t>
  </x:si>
  <x:si>
    <x:t xml:space="preserve">Self-check feedback</x:t>
  </x:si>
  <x:si>
    <x:t xml:space="preserve">Hint</x:t>
  </x:si>
  <x:si>
    <x:t xml:space="preserve">Slide</x:t>
  </x:si>
  <x:si>
    <x:t xml:space="preserve">Sales tax</x:t>
  </x:si>
  <x:si>
    <x:t xml:space="preserve">D: retail price 735; E: trade discount 95; F: taxable subtotal.</x:t>
  </x:si>
  <x:si>
    <x:t xml:space="preserve">Subtract the discount before tax under the supplied rule.</x:t>
  </x:si>
  <x:si>
    <x:t xml:space="preserve">E: tax rate 5.75%; F: tax owed using row 1 subtotal.</x:t>
  </x:si>
  <x:si>
    <x:t xml:space="preserve">Reference the taxable subtotal cell, not the retail price.</x:t>
  </x:si>
  <x:si>
    <x:t xml:space="preserve">D: shipping 22; F: total price using rows 1 and 2.</x:t>
  </x:si>
  <x:si>
    <x:t xml:space="preserve">Reference the subtotal and tax results, then add shipping.</x:t>
  </x:si>
  <x:si>
    <x:t xml:space="preserve">Reverse tax</x:t>
  </x:si>
  <x:si>
    <x:t xml:space="preserve">D: receipts 64,200; E: tax rate 7%; F: pre-tax sales.</x:t>
  </x:si>
  <x:si>
    <x:t xml:space="preserve">Divide receipts by 1 plus the tax rate.</x:t>
  </x:si>
  <x:si>
    <x:t xml:space="preserve">F: tax held using row 4 receipts and pre-tax sales.</x:t>
  </x:si>
  <x:si>
    <x:t xml:space="preserve">Reference receipts and pre-tax sales.</x:t>
  </x:si>
  <x:si>
    <x:t xml:space="preserve">Excise tax</x:t>
  </x:si>
  <x:si>
    <x:t xml:space="preserve">D: base cost 7,250; E: sales tax rate 6%; F: sales tax.</x:t>
  </x:si>
  <x:si>
    <x:t xml:space="preserve">Reference the supplied base and sales-tax rate.</x:t>
  </x:si>
  <x:si>
    <x:t xml:space="preserve">Property tax</x:t>
  </x:si>
  <x:si>
    <x:t xml:space="preserve">D: market value 540,000; E: assessment rate 32%; F: assessed value.</x:t>
  </x:si>
  <x:si>
    <x:t xml:space="preserve">Reference market value and the supplied assessment rate.</x:t>
  </x:si>
  <x:si>
    <x:t xml:space="preserve">D: town budget 234,500; E: total assessed value 3,450,000; F: rounded rate.</x:t>
  </x:si>
  <x:si>
    <x:t xml:space="preserve">Use ROUND on budget divided by total assessed value.</x:t>
  </x:si>
  <x:si>
    <x:t xml:space="preserve">MATH-M07 - Class Challenge | Tax Compliance Audit</x:t>
  </x:si>
  <x:si>
    <x:t xml:space="preserve">All cases use the supplied training-jurisdiction rules. Blue-gray cells are source data and stay unchanged. Yellow cells are your audit work. Corrected liabilities must be formulas, not typed answers.</x:t>
  </x:si>
  <x:si>
    <x:t xml:space="preserve">SUPPLIED SOURCE DATA + FILED CALCULATION</x:t>
  </x:si>
  <x:si>
    <x:t xml:space="preserve">STUDENT AUDIT REPAIRS</x:t>
  </x:si>
  <x:si>
    <x:t xml:space="preserve">Record</x:t>
  </x:si>
  <x:si>
    <x:t xml:space="preserve">Tax area</x:t>
  </x:si>
  <x:si>
    <x:t xml:space="preserve">Audit case</x:t>
  </x:si>
  <x:si>
    <x:t xml:space="preserve">Amount / market value</x:t>
  </x:si>
  <x:si>
    <x:t xml:space="preserve">Discount / assessment rate</x:t>
  </x:si>
  <x:si>
    <x:t xml:space="preserve">Tax rate / town budget</x:t>
  </x:si>
  <x:si>
    <x:t xml:space="preserve">Second rate / total AV</x:t>
  </x:si>
  <x:si>
    <x:t xml:space="preserve">Filed formula</x:t>
  </x:si>
  <x:si>
    <x:t xml:space="preserve">Reported liability</x:t>
  </x:si>
  <x:si>
    <x:t xml:space="preserve">Finding code
0=OK · 1=ERROR</x:t>
  </x:si>
  <x:si>
    <x:t xml:space="preserve">Corrected liability formula</x:t>
  </x:si>
  <x:si>
    <x:t xml:space="preserve">Adjustment
(corrected - reported)</x:t>
  </x:si>
  <x:si>
    <x:t xml:space="preserve">R01</x:t>
  </x:si>
  <x:si>
    <x:t xml:space="preserve">Tidal invoice: $1,200 less $180 trade discount; tax liability only</x:t>
  </x:si>
  <x:si>
    <x:t xml:space="preserve">=ROUND((D7-E7)*F7,2)</x:t>
  </x:si>
  <x:si>
    <x:t xml:space="preserve">R02</x:t>
  </x:si>
  <x:si>
    <x:t xml:space="preserve">Tidal order: $480 less $80 trade discount; tax liability only</x:t>
  </x:si>
  <x:si>
    <x:t xml:space="preserve">=ROUND(D8*F8,2)</x:t>
  </x:si>
  <x:si>
    <x:t xml:space="preserve">R03</x:t>
  </x:si>
  <x:si>
    <x:t xml:space="preserve">Tidal register: tax is included in $78,625 total receipts</x:t>
  </x:si>
  <x:si>
    <x:t xml:space="preserve">=ROUND(D9-D9/(1+F9),2)</x:t>
  </x:si>
  <x:si>
    <x:t xml:space="preserve">R04</x:t>
  </x:si>
  <x:si>
    <x:t xml:space="preserve">Meridian appliance: 7% sales and 8% excise tax share a $6,200 base</x:t>
  </x:si>
  <x:si>
    <x:t xml:space="preserve">=ROUND(D10*(F10+G10),2)</x:t>
  </x:si>
  <x:si>
    <x:t xml:space="preserve">R05</x:t>
  </x:si>
  <x:si>
    <x:t xml:space="preserve">Meridian equipment: 7% sales and 9% excise tax share an $8,400 base</x:t>
  </x:si>
  <x:si>
    <x:t xml:space="preserve">=ROUND(D11*F11+(D11+D11*F11)*G11,2)</x:t>
  </x:si>
  <x:si>
    <x:t xml:space="preserve">R06</x:t>
  </x:si>
  <x:si>
    <x:t xml:space="preserve">Meridian office: annual property tax using assessed value and a 4-decimal rate</x:t>
  </x:si>
  <x:si>
    <x:t xml:space="preserve">=ROUND(D12*ROUND(F12/G12,4),2)</x:t>
  </x:si>
  <x:si>
    <x:t xml:space="preserve">LIABILITY RECONCILIATION</x:t>
  </x:si>
  <x:si>
    <x:t xml:space="preserve">Reported liability total (supplied)</x:t>
  </x:si>
  <x:si>
    <x:t xml:space="preserve">Control total (supplied)</x:t>
  </x:si>
  <x:si>
    <x:t xml:space="preserve">Corrected total</x:t>
  </x:si>
  <x:si>
    <x:t xml:space="preserve">Net adjustment</x:t>
  </x:si>
  <x:si>
    <x:t xml:space="preserve">Corrected from reported</x:t>
  </x:si>
  <x:si>
    <x:t xml:space="preserve">Reconciliation difference</x:t>
  </x:si>
  <x:si>
    <x:t xml:space="preserve">AUDIT NOTE
In 8+ words, identify the most consequential issue and explain why.</x:t>
  </x:si>
  <x:si>
    <x:t xml:space="preserve">MATH-M07 - FormulaReferenceCard</x:t>
  </x:si>
  <x:si>
    <x:t xml:space="preserve">Concept</x:t>
  </x:si>
  <x:si>
    <x:t xml:space="preserve">Excel Pattern</x:t>
  </x:si>
  <x:si>
    <x:t xml:space="preserve">Plain-English Meaning</x:t>
  </x:si>
  <x:si>
    <x:t xml:space="preserve">Watch Out For</x:t>
  </x:si>
  <x:si>
    <x:t xml:space="preserve">Taxable subtotal</x:t>
  </x:si>
  <x:si>
    <x:t xml:space="preserve">=Price-Discount</x:t>
  </x:si>
  <x:si>
    <x:t xml:space="preserve">Finds the amount subject to sales tax.</x:t>
  </x:si>
  <x:si>
    <x:t xml:space="preserve">Apply qualifying discounts before tax under the supplied rule.</x:t>
  </x:si>
  <x:si>
    <x:t xml:space="preserve">Sales tax owed</x:t>
  </x:si>
  <x:si>
    <x:t xml:space="preserve">=Taxable*Rate</x:t>
  </x:si>
  <x:si>
    <x:t xml:space="preserve">Calculates the tax on the taxable subtotal.</x:t>
  </x:si>
  <x:si>
    <x:t xml:space="preserve">Use the tax rate as a decimal and the taxable subtotal as the base.</x:t>
  </x:si>
  <x:si>
    <x:t xml:space="preserve">Total price</x:t>
  </x:si>
  <x:si>
    <x:t xml:space="preserve">=Taxable+Tax+Shipping</x:t>
  </x:si>
  <x:si>
    <x:t xml:space="preserve">Adds taxable amount, tax, and shipping.</x:t>
  </x:si>
  <x:si>
    <x:t xml:space="preserve">Add shipping after tax under the supplied rule.</x:t>
  </x:si>
  <x:si>
    <x:t xml:space="preserve">Back-calculate sales</x:t>
  </x:si>
  <x:si>
    <x:t xml:space="preserve">=TotalReceipts/(1+Rate)</x:t>
  </x:si>
  <x:si>
    <x:t xml:space="preserve">Finds sales before tax from total receipts.</x:t>
  </x:si>
  <x:si>
    <x:t xml:space="preserve">Do not divide receipts by the tax rate alone.</x:t>
  </x:si>
  <x:si>
    <x:t xml:space="preserve">Tax remittance</x:t>
  </x:si>
  <x:si>
    <x:t xml:space="preserve">=Receipts-PreTaxSales</x:t>
  </x:si>
  <x:si>
    <x:t xml:space="preserve">Finds tax collected and owed to the government.</x:t>
  </x:si>
  <x:si>
    <x:t xml:space="preserve">Collected tax is a liability, not revenue.</x:t>
  </x:si>
  <x:si>
    <x:t xml:space="preserve">Separate excise taxes</x:t>
  </x:si>
  <x:si>
    <x:t xml:space="preserve">=Base*SalesRate and =Base*ExciseRate</x:t>
  </x:si>
  <x:si>
    <x:t xml:space="preserve">Calculates both tax amounts from the same base.</x:t>
  </x:si>
  <x:si>
    <x:t xml:space="preserve">Use only when the scenario says both taxes share one base.</x:t>
  </x:si>
  <x:si>
    <x:t xml:space="preserve">Combined excise shortcut</x:t>
  </x:si>
  <x:si>
    <x:t xml:space="preserve">=Base*(1+SalesRate+ExciseRate)</x:t>
  </x:si>
  <x:si>
    <x:t xml:space="preserve">Combines rates when they share one base.</x:t>
  </x:si>
  <x:si>
    <x:t xml:space="preserve">The shortcut is valid only under the supplied same-base rule.</x:t>
  </x:si>
  <x:si>
    <x:t xml:space="preserve">Assessed value</x:t>
  </x:si>
  <x:si>
    <x:t xml:space="preserve">=MarketValue*AssessmentRate</x:t>
  </x:si>
  <x:si>
    <x:t xml:space="preserve">Converts market value to taxable assessed value.</x:t>
  </x:si>
  <x:si>
    <x:t xml:space="preserve">Use the assessment rule supplied by the training municipality.</x:t>
  </x:si>
  <x:si>
    <x:t xml:space="preserve">Property tax rate</x:t>
  </x:si>
  <x:si>
    <x:t xml:space="preserve">=ROUND(Budget/TotalAV,4)</x:t>
  </x:si>
  <x:si>
    <x:t xml:space="preserve">Rounds the municipal tax rate to four decimals.</x:t>
  </x:si>
  <x:si>
    <x:t xml:space="preserve">Round the rate before applying it to assessed value.</x:t>
  </x:si>
  <x:si>
    <x:t xml:space="preserve">Annual property tax</x:t>
  </x:si>
  <x:si>
    <x:t xml:space="preserve">=RoundedRate*AssessedValue</x:t>
  </x:si>
  <x:si>
    <x:t xml:space="preserve">Calculates annual property tax due.</x:t>
  </x:si>
  <x:si>
    <x:t xml:space="preserve">Use assessed value and the rounded rate.</x:t>
  </x:si>
  <x:si>
    <x:t xml:space="preserve">Monthly NNN reserve</x:t>
  </x:si>
  <x:si>
    <x:t xml:space="preserve">=AnnualTax/12</x:t>
  </x:si>
  <x:si>
    <x:t xml:space="preserve">Converts annual property tax into monthly planning cost.</x:t>
  </x:si>
  <x:si>
    <x:t xml:space="preserve">Use for lease cash-flow planning; actual obligations depend on lease terms.</x:t>
  </x:si>
</x:sst>
</file>

<file path=xl/styles.xml><?xml version="1.0" encoding="utf-8"?>
<x:styleSheet xmlns:x="http://schemas.openxmlformats.org/spreadsheetml/2006/main">
  <x:numFmts count="6">
    <x:numFmt numFmtId="164" formatCode="\$#,##0.00"/>
    <x:numFmt numFmtId="165" formatCode="0.0%"/>
    <x:numFmt numFmtId="166" formatCode="0.0000"/>
    <x:numFmt numFmtId="167" formatCode="&quot;$&quot;#,##0.00"/>
    <x:numFmt numFmtId="168" formatCode="&quot;$&quot;#,##0.00;[Red]\-&quot;$&quot;#,##0.00"/>
    <x:numFmt numFmtId="169" formatCode="0.00%;[Red]\-0.00%"/>
  </x:numFmts>
  <x:fonts count="16">
    <x:font>
      <x:sz val="11"/>
      <x:color theme="1"/>
      <x:name val="Calibri"/>
    </x:font>
    <x:font>
      <x:b/>
      <x:sz val="16"/>
      <x:color rgb="FFFFFFFF"/>
      <x:name val="Aptos Display"/>
    </x:font>
    <x:font>
      <x:b/>
      <x:sz val="12"/>
      <x:color rgb="FFFFFFFF"/>
      <x:name val="Aptos"/>
    </x:font>
    <x:font>
      <x:b/>
      <x:sz val="11"/>
      <x:color rgb="FF1A1F2C"/>
      <x:name val="Aptos"/>
    </x:font>
    <x:font>
      <x:i/>
      <x:sz val="11"/>
      <x:color rgb="FF4A5567"/>
      <x:name val="Aptos"/>
    </x:font>
    <x:font>
      <x:b/>
      <x:sz val="11"/>
      <x:color rgb="FFFFFFFF"/>
      <x:name val="Aptos"/>
    </x:font>
    <x:font>
      <x:b/>
      <x:sz val="11"/>
      <x:color rgb="FF355773"/>
      <x:name val="Aptos Mono"/>
    </x:font>
    <x:font>
      <x:sz val="11"/>
      <x:color rgb="FF1A1F2C"/>
      <x:name val="DM Sans"/>
    </x:font>
    <x:font>
      <x:b/>
      <x:sz val="20"/>
      <x:color rgb="FFFFFFFF"/>
      <x:name val="DM Sans"/>
    </x:font>
    <x:font>
      <x:i/>
      <x:sz val="11"/>
      <x:color rgb="FF4A5567"/>
      <x:name val="DM Sans"/>
    </x:font>
    <x:font>
      <x:b/>
      <x:sz val="10"/>
      <x:color rgb="FF355773"/>
      <x:name val="DM Sans"/>
    </x:font>
    <x:font>
      <x:b/>
      <x:sz val="11"/>
      <x:color rgb="FFFFFFFF"/>
      <x:name val="DM Sans"/>
    </x:font>
    <x:font>
      <x:sz val="9"/>
      <x:color rgb="FF355773"/>
      <x:name val="JetBrains Mono"/>
    </x:font>
    <x:font>
      <x:b/>
      <x:sz val="11"/>
      <x:color rgb="FF9C4A2B"/>
      <x:name val="DM Sans"/>
    </x:font>
    <x:font>
      <x:sz val="11"/>
      <x:color rgb="FF1A1F2C"/>
      <x:name val="Aptos"/>
    </x:font>
    <x:font>
      <x:b/>
      <x:sz val="13"/>
      <x:color rgb="FFFFFFFF"/>
      <x:name val="Aptos"/>
    </x:font>
  </x:fonts>
  <x:fills count="32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EAF3EC"/>
      </x:patternFill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B8843D"/>
      </x:patternFill>
    </x:fill>
    <x:fill>
      <x:patternFill patternType="solid">
        <x:fgColor rgb="FF4A7C5E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9C4A2B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</x:fills>
  <x:borders count="13">
    <x:border>
      <x:left/>
      <x:right/>
      <x:top/>
      <x:bottom/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 style="thin">
        <x:color rgb="FFE5E1D6"/>
      </x:left>
      <x:right/>
      <x:top style="thin">
        <x:color rgb="FFE5E1D6"/>
      </x:top>
      <x:bottom style="thin">
        <x:color rgb="FFE5E1D6"/>
      </x:bottom>
      <x:diagonal/>
    </x:border>
    <x:border>
      <x:left/>
      <x:right/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/>
      <x:bottom style="thin">
        <x:color rgb="FFE5E1D6"/>
      </x:bottom>
      <x:diagonal/>
    </x:border>
    <x:border>
      <x:left style="thin">
        <x:color rgb="FFE5E1D6"/>
      </x:left>
      <x:right style="thin">
        <x:color rgb="FFE5E1D6"/>
      </x:right>
      <x:top/>
      <x:bottom style="thin">
        <x:color rgb="FFE5E1D6"/>
      </x:bottom>
      <x:diagonal/>
    </x:border>
    <x:border>
      <x:left style="thin">
        <x:color rgb="FFE5E1D6"/>
      </x:left>
      <x:right/>
      <x:top/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/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/>
      <x:diagonal/>
    </x:border>
    <x:border>
      <x:left style="thin">
        <x:color rgb="FFE5E1D6"/>
      </x:left>
      <x:right/>
      <x:top style="thin">
        <x:color rgb="FFE5E1D6"/>
      </x:top>
      <x:bottom/>
      <x:diagonal/>
    </x:border>
    <x:border>
      <x:left/>
      <x:right/>
      <x:top style="thin">
        <x:color rgb="FFE5E1D6"/>
      </x:top>
      <x:bottom/>
      <x:diagonal/>
    </x:border>
    <x:border>
      <x:left/>
      <x:right/>
      <x:top/>
      <x:bottom style="thin">
        <x:color rgb="FFE5E1D6"/>
      </x:bottom>
      <x:diagonal/>
    </x:border>
  </x:borders>
  <x:cellStyleXfs count="1">
    <x:xf numFmtId="0" fontId="0" fillId="0" borderId="0"/>
  </x:cellStyleXfs>
  <x:cellXfs count="104">
    <x:xf numFmtId="0" fontId="0" fillId="0" borderId="0" xfId="0"/>
    <x:xf numFmtId="0" fontId="0" fillId="0" borderId="0" xfId="0" applyAlignment="1">
      <x:alignment vertical="center" wrapText="1"/>
    </x:xf>
    <x:xf numFmtId="0" fontId="3" fillId="0" borderId="1" xfId="0" applyFont="1" applyBorder="1" applyAlignment="1">
      <x:alignment vertical="center" wrapText="1"/>
    </x:xf>
    <x:xf numFmtId="0" fontId="0" fillId="0" borderId="1" xfId="0" applyBorder="1" applyAlignment="1">
      <x:alignment vertical="center" wrapText="1"/>
    </x:xf>
    <x:xf numFmtId="0" fontId="5" fillId="6" borderId="1" xfId="0" applyFont="1" applyFill="1" applyBorder="1" applyAlignment="1">
      <x:alignment vertical="center" wrapText="1"/>
    </x:xf>
    <x:xf numFmtId="164" fontId="0" fillId="7" borderId="1" xfId="0" applyNumberFormat="1" applyFill="1" applyBorder="1" applyAlignment="1">
      <x:alignment vertical="center" wrapText="1"/>
    </x:xf>
    <x:xf numFmtId="0" fontId="0" fillId="5" borderId="1" xfId="0" applyFill="1" applyBorder="1" applyAlignment="1">
      <x:alignment vertical="center" wrapText="1"/>
    </x:xf>
    <x:xf numFmtId="0" fontId="0" fillId="8" borderId="1" xfId="0" applyFill="1" applyBorder="1" applyAlignment="1">
      <x:alignment vertical="center" wrapText="1"/>
    </x:xf>
    <x:xf numFmtId="165" fontId="0" fillId="7" borderId="1" xfId="0" applyNumberFormat="1" applyFill="1" applyBorder="1" applyAlignment="1">
      <x:alignment vertical="center" wrapText="1"/>
    </x:xf>
    <x:xf numFmtId="166" fontId="0" fillId="7" borderId="1" xfId="0" applyNumberFormat="1" applyFill="1" applyBorder="1" applyAlignment="1">
      <x:alignment vertical="center" wrapText="1"/>
    </x:xf>
    <x:xf numFmtId="0" fontId="6" fillId="8" borderId="1" xfId="0" applyFont="1" applyFill="1" applyBorder="1" applyAlignment="1">
      <x:alignment vertical="center" wrapText="1"/>
    </x:xf>
    <x:xf numFmtId="0" fontId="7" fillId="0" borderId="0" xfId="0" applyFont="1" applyAlignment="1">
      <x:alignment vertical="center"/>
    </x:xf>
    <x:xf numFmtId="0" fontId="7" fillId="0" borderId="4" xfId="0" applyFont="1" applyBorder="1" applyAlignment="1">
      <x:alignment vertical="center"/>
    </x:xf>
    <x:xf numFmtId="0" fontId="7" fillId="0" borderId="8" xfId="0" applyFont="1" applyBorder="1" applyAlignment="1">
      <x:alignment vertical="center"/>
    </x:xf>
    <x:xf numFmtId="0" fontId="7" fillId="0" borderId="9" xfId="0" applyFont="1" applyBorder="1" applyAlignment="1">
      <x:alignment vertical="center"/>
    </x:xf>
    <x:xf numFmtId="0" fontId="11" fillId="14" borderId="2" xfId="0" applyFont="1" applyFill="1" applyBorder="1" applyAlignment="1">
      <x:alignment vertical="center" wrapText="1"/>
    </x:xf>
    <x:xf numFmtId="0" fontId="11" fillId="14" borderId="3" xfId="0" applyFont="1" applyFill="1" applyBorder="1" applyAlignment="1">
      <x:alignment vertical="center" wrapText="1"/>
    </x:xf>
    <x:xf numFmtId="0" fontId="11" fillId="14" borderId="4" xfId="0" applyFont="1" applyFill="1" applyBorder="1" applyAlignment="1">
      <x:alignment vertical="center" wrapText="1"/>
    </x:xf>
    <x:xf numFmtId="0" fontId="7" fillId="15" borderId="5" xfId="0" applyFont="1" applyFill="1" applyBorder="1" applyAlignment="1">
      <x:alignment vertical="center"/>
    </x:xf>
    <x:xf numFmtId="0" fontId="7" fillId="16" borderId="6" xfId="0" applyFont="1" applyFill="1" applyBorder="1" applyAlignment="1">
      <x:alignment vertical="center"/>
    </x:xf>
    <x:xf numFmtId="0" fontId="7" fillId="15" borderId="4" xfId="0" applyFont="1" applyFill="1" applyBorder="1" applyAlignment="1">
      <x:alignment vertical="center"/>
    </x:xf>
    <x:xf numFmtId="0" fontId="7" fillId="16" borderId="1" xfId="0" applyFont="1" applyFill="1" applyBorder="1" applyAlignment="1">
      <x:alignment vertical="center"/>
    </x:xf>
    <x:xf numFmtId="0" fontId="7" fillId="15" borderId="8" xfId="0" applyFont="1" applyFill="1" applyBorder="1" applyAlignment="1">
      <x:alignment vertical="center"/>
    </x:xf>
    <x:xf numFmtId="0" fontId="7" fillId="16" borderId="9" xfId="0" applyFont="1" applyFill="1" applyBorder="1" applyAlignment="1">
      <x:alignment vertical="center"/>
    </x:xf>
    <x:xf numFmtId="0" fontId="7" fillId="15" borderId="6" xfId="0" applyFont="1" applyFill="1" applyBorder="1" applyAlignment="1">
      <x:alignment vertical="center" wrapText="1"/>
    </x:xf>
    <x:xf numFmtId="0" fontId="7" fillId="15" borderId="1" xfId="0" applyFont="1" applyFill="1" applyBorder="1" applyAlignment="1">
      <x:alignment vertical="center" wrapText="1"/>
    </x:xf>
    <x:xf numFmtId="0" fontId="7" fillId="15" borderId="9" xfId="0" applyFont="1" applyFill="1" applyBorder="1" applyAlignment="1">
      <x:alignment vertical="center" wrapText="1"/>
    </x:xf>
    <x:xf numFmtId="0" fontId="12" fillId="15" borderId="6" xfId="0" applyFont="1" applyFill="1" applyBorder="1" applyAlignment="1">
      <x:alignment vertical="center" wrapText="1"/>
    </x:xf>
    <x:xf numFmtId="0" fontId="12" fillId="15" borderId="1" xfId="0" applyFont="1" applyFill="1" applyBorder="1" applyAlignment="1">
      <x:alignment vertical="center" wrapText="1"/>
    </x:xf>
    <x:xf numFmtId="0" fontId="12" fillId="15" borderId="9" xfId="0" applyFont="1" applyFill="1" applyBorder="1" applyAlignment="1">
      <x:alignment vertical="center" wrapText="1"/>
    </x:xf>
    <x:xf numFmtId="167" fontId="7" fillId="15" borderId="6" xfId="0" applyNumberFormat="1" applyFont="1" applyFill="1" applyBorder="1" applyAlignment="1">
      <x:alignment vertical="center"/>
    </x:xf>
    <x:xf numFmtId="167" fontId="7" fillId="15" borderId="1" xfId="0" applyNumberFormat="1" applyFont="1" applyFill="1" applyBorder="1" applyAlignment="1">
      <x:alignment vertical="center"/>
    </x:xf>
    <x:xf numFmtId="167" fontId="7" fillId="15" borderId="9" xfId="0" applyNumberFormat="1" applyFont="1" applyFill="1" applyBorder="1" applyAlignment="1">
      <x:alignment vertical="center"/>
    </x:xf>
    <x:xf numFmtId="168" fontId="7" fillId="16" borderId="6" xfId="0" applyNumberFormat="1" applyFont="1" applyFill="1" applyBorder="1" applyAlignment="1">
      <x:alignment vertical="center"/>
    </x:xf>
    <x:xf numFmtId="168" fontId="7" fillId="16" borderId="7" xfId="0" applyNumberFormat="1" applyFont="1" applyFill="1" applyBorder="1" applyAlignment="1">
      <x:alignment vertical="center"/>
    </x:xf>
    <x:xf numFmtId="168" fontId="7" fillId="16" borderId="1" xfId="0" applyNumberFormat="1" applyFont="1" applyFill="1" applyBorder="1" applyAlignment="1">
      <x:alignment vertical="center"/>
    </x:xf>
    <x:xf numFmtId="168" fontId="7" fillId="16" borderId="2" xfId="0" applyNumberFormat="1" applyFont="1" applyFill="1" applyBorder="1" applyAlignment="1">
      <x:alignment vertical="center"/>
    </x:xf>
    <x:xf numFmtId="168" fontId="7" fillId="16" borderId="9" xfId="0" applyNumberFormat="1" applyFont="1" applyFill="1" applyBorder="1" applyAlignment="1">
      <x:alignment vertical="center"/>
    </x:xf>
    <x:xf numFmtId="168" fontId="7" fillId="16" borderId="10" xfId="0" applyNumberFormat="1" applyFont="1" applyFill="1" applyBorder="1" applyAlignment="1">
      <x:alignment vertical="center"/>
    </x:xf>
    <x:xf numFmtId="169" fontId="7" fillId="15" borderId="6" xfId="0" applyNumberFormat="1" applyFont="1" applyFill="1" applyBorder="1" applyAlignment="1">
      <x:alignment vertical="center"/>
    </x:xf>
    <x:xf numFmtId="169" fontId="7" fillId="15" borderId="1" xfId="0" applyNumberFormat="1" applyFont="1" applyFill="1" applyBorder="1" applyAlignment="1">
      <x:alignment vertical="center"/>
    </x:xf>
    <x:xf numFmtId="169" fontId="7" fillId="15" borderId="9" xfId="0" applyNumberFormat="1" applyFont="1" applyFill="1" applyBorder="1" applyAlignment="1">
      <x:alignment vertical="center"/>
    </x:xf>
    <x:xf numFmtId="0" fontId="7" fillId="0" borderId="1" xfId="0" applyFont="1" applyBorder="1" applyAlignment="1">
      <x:alignment vertical="center"/>
    </x:xf>
    <x:xf numFmtId="168" fontId="13" fillId="16" borderId="10" xfId="0" applyNumberFormat="1" applyFont="1" applyFill="1" applyBorder="1" applyAlignment="1">
      <x:alignment vertical="center"/>
    </x:xf>
    <x:xf numFmtId="0" fontId="14" fillId="18" borderId="1" xfId="0" applyFont="1" applyFill="1" applyBorder="1" applyAlignment="1">
      <x:alignment vertical="center" wrapText="1"/>
    </x:xf>
    <x:xf numFmtId="0" fontId="14" fillId="19" borderId="1" xfId="0" applyFont="1" applyFill="1" applyBorder="1" applyAlignment="1">
      <x:alignment vertical="center" wrapText="1"/>
    </x:xf>
    <x:xf numFmtId="0" fontId="14" fillId="20" borderId="1" xfId="0" applyFont="1" applyFill="1" applyBorder="1" applyAlignment="1">
      <x:alignment vertical="center" wrapText="1"/>
    </x:xf>
    <x:xf numFmtId="0" fontId="5" fillId="23" borderId="0" xfId="0" applyFont="1" applyFill="1" applyAlignment="1">
      <x:alignment vertical="center" wrapText="1"/>
    </x:xf>
    <x:xf numFmtId="167" fontId="14" fillId="24" borderId="1" xfId="0" applyNumberFormat="1" applyFont="1" applyFill="1" applyBorder="1" applyAlignment="1">
      <x:alignment vertical="center" wrapText="1"/>
    </x:xf>
    <x:xf numFmtId="165" fontId="14" fillId="24" borderId="1" xfId="0" applyNumberFormat="1" applyFont="1" applyFill="1" applyBorder="1" applyAlignment="1">
      <x:alignment vertical="center" wrapText="1"/>
    </x:xf>
    <x:xf numFmtId="164" fontId="0" fillId="19" borderId="1" xfId="0" applyNumberFormat="1" applyFill="1" applyBorder="1" applyAlignment="1">
      <x:alignment vertical="center" wrapText="1"/>
    </x:xf>
    <x:xf numFmtId="0" fontId="2" fillId="3" borderId="0" xfId="0" applyFont="1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2" fillId="4" borderId="0" xfId="0" applyFont="1" applyFill="1" applyAlignment="1">
      <x:alignment vertical="center" wrapText="1"/>
    </x:xf>
    <x:xf numFmtId="0" fontId="0" fillId="4" borderId="0" xfId="0" applyFill="1" applyAlignment="1">
      <x:alignment vertical="center" wrapText="1"/>
    </x:xf>
    <x:xf numFmtId="0" fontId="1" fillId="2" borderId="0" xfId="0" applyFont="1" applyFill="1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4" fillId="5" borderId="0" xfId="0" applyFont="1" applyFill="1" applyAlignment="1">
      <x:alignment vertical="center" wrapText="1"/>
    </x:xf>
    <x:xf numFmtId="0" fontId="0" fillId="0" borderId="0" xfId="0" applyAlignment="1">
      <x:alignment vertical="center" wrapText="1"/>
    </x:xf>
    <x:xf numFmtId="0" fontId="15" fillId="21" borderId="0" xfId="0" applyFont="1" applyFill="1"/>
    <x:xf numFmtId="0" fontId="14" fillId="22" borderId="0" xfId="0" applyFont="1" applyFill="1" applyAlignment="1">
      <x:alignment wrapText="1"/>
    </x:xf>
    <x:xf numFmtId="0" fontId="13" fillId="16" borderId="9" xfId="0" applyFont="1" applyFill="1" applyBorder="1" applyAlignment="1">
      <x:alignment vertical="center"/>
    </x:xf>
    <x:xf numFmtId="0" fontId="11" fillId="12" borderId="10" xfId="0" applyFont="1" applyFill="1" applyBorder="1" applyAlignment="1">
      <x:alignment vertical="center" wrapText="1"/>
    </x:xf>
    <x:xf numFmtId="0" fontId="11" fillId="12" borderId="11" xfId="0" applyFont="1" applyFill="1" applyBorder="1" applyAlignment="1">
      <x:alignment vertical="center" wrapText="1"/>
    </x:xf>
    <x:xf numFmtId="0" fontId="11" fillId="12" borderId="7" xfId="0" applyFont="1" applyFill="1" applyBorder="1" applyAlignment="1">
      <x:alignment vertical="center" wrapText="1"/>
    </x:xf>
    <x:xf numFmtId="0" fontId="11" fillId="12" borderId="12" xfId="0" applyFont="1" applyFill="1" applyBorder="1" applyAlignment="1">
      <x:alignment vertical="center" wrapText="1"/>
    </x:xf>
    <x:xf numFmtId="0" fontId="8" fillId="9" borderId="0" xfId="0" applyFont="1" applyFill="1" applyAlignment="1">
      <x:alignment vertical="center"/>
    </x:xf>
    <x:xf numFmtId="0" fontId="9" fillId="10" borderId="0" xfId="0" applyFont="1" applyFill="1" applyAlignment="1">
      <x:alignment vertical="center" wrapText="1"/>
    </x:xf>
    <x:xf numFmtId="0" fontId="10" fillId="11" borderId="0" xfId="0" applyFont="1" applyFill="1" applyAlignment="1">
      <x:alignment vertical="center" wrapText="1"/>
    </x:xf>
    <x:xf numFmtId="0" fontId="11" fillId="12" borderId="2" xfId="0" applyFont="1" applyFill="1" applyBorder="1" applyAlignment="1">
      <x:alignment vertical="center"/>
    </x:xf>
    <x:xf numFmtId="0" fontId="11" fillId="12" borderId="3" xfId="0" applyFont="1" applyFill="1" applyBorder="1" applyAlignment="1">
      <x:alignment vertical="center"/>
    </x:xf>
    <x:xf numFmtId="0" fontId="11" fillId="12" borderId="4" xfId="0" applyFont="1" applyFill="1" applyBorder="1" applyAlignment="1">
      <x:alignment vertical="center"/>
    </x:xf>
    <x:xf numFmtId="0" fontId="11" fillId="13" borderId="2" xfId="0" applyFont="1" applyFill="1" applyBorder="1" applyAlignment="1">
      <x:alignment vertical="center"/>
    </x:xf>
    <x:xf numFmtId="0" fontId="11" fillId="13" borderId="3" xfId="0" applyFont="1" applyFill="1" applyBorder="1" applyAlignment="1">
      <x:alignment vertical="center"/>
    </x:xf>
    <x:xf numFmtId="0" fontId="11" fillId="13" borderId="4" xfId="0" applyFont="1" applyFill="1" applyBorder="1" applyAlignment="1">
      <x:alignment vertical="center"/>
    </x:xf>
    <x:xf numFmtId="0" fontId="11" fillId="17" borderId="2" xfId="0" applyFont="1" applyFill="1" applyBorder="1" applyAlignment="1">
      <x:alignment vertical="center"/>
    </x:xf>
    <x:xf numFmtId="0" fontId="11" fillId="17" borderId="3" xfId="0" applyFont="1" applyFill="1" applyBorder="1" applyAlignment="1">
      <x:alignment vertical="center"/>
    </x:xf>
    <x:xf numFmtId="0" fontId="11" fillId="17" borderId="4" xfId="0" applyFont="1" applyFill="1" applyBorder="1" applyAlignment="1">
      <x:alignment vertical="center"/>
    </x:xf>
    <x:xf numFmtId="0" fontId="7" fillId="16" borderId="11" xfId="0" applyFont="1" applyFill="1" applyBorder="1" applyAlignment="1">
      <x:alignment vertical="center" wrapText="1"/>
    </x:xf>
    <x:xf numFmtId="0" fontId="7" fillId="16" borderId="8" xfId="0" applyFont="1" applyFill="1" applyBorder="1" applyAlignment="1">
      <x:alignment vertical="center" wrapText="1"/>
    </x:xf>
    <x:xf numFmtId="0" fontId="7" fillId="16" borderId="12" xfId="0" applyFont="1" applyFill="1" applyBorder="1" applyAlignment="1">
      <x:alignment vertical="center" wrapText="1"/>
    </x:xf>
    <x:xf numFmtId="0" fontId="7" fillId="16" borderId="5" xfId="0" applyFont="1" applyFill="1" applyBorder="1" applyAlignment="1">
      <x:alignment vertical="center" wrapText="1"/>
    </x:xf>
    <x:xf numFmtId="0" fontId="7" fillId="15" borderId="5" xfId="0" applyFont="1" applyFill="1" applyBorder="1" applyAlignment="1">
      <x:alignment vertical="center"/>
    </x:xf>
    <x:xf numFmtId="0" fontId="7" fillId="15" borderId="6" xfId="0" applyFont="1" applyFill="1" applyBorder="1" applyAlignment="1">
      <x:alignment vertical="center"/>
    </x:xf>
    <x:xf numFmtId="0" fontId="7" fillId="16" borderId="6" xfId="0" applyFont="1" applyFill="1" applyBorder="1" applyAlignment="1">
      <x:alignment vertical="center"/>
    </x:xf>
    <x:xf numFmtId="0" fontId="7" fillId="16" borderId="1" xfId="0" applyFont="1" applyFill="1" applyBorder="1" applyAlignment="1">
      <x:alignment vertical="center"/>
    </x:xf>
    <x:xf numFmtId="0" fontId="0" fillId="25" borderId="1" xfId="0" applyNumberFormat="1" applyFont="1" applyFill="1" applyBorder="1" applyAlignment="1">
      <x:alignment vertical="center" wrapText="1"/>
    </x:xf>
    <x:xf numFmtId="164" fontId="0" fillId="25" borderId="1" xfId="0" applyNumberFormat="1" applyFont="1" applyFill="1" applyBorder="1" applyAlignment="1">
      <x:alignment vertical="center" wrapText="1"/>
    </x:xf>
    <x:xf numFmtId="165" fontId="0" fillId="25" borderId="1" xfId="0" applyNumberFormat="1" applyFont="1" applyFill="1" applyBorder="1" applyAlignment="1">
      <x:alignment vertical="center" wrapText="1"/>
    </x:xf>
    <x:xf numFmtId="0" fontId="14" fillId="25" borderId="1" xfId="0" applyNumberFormat="1" applyFont="1" applyFill="1" applyBorder="1" applyAlignment="1">
      <x:alignment vertical="center" wrapText="1"/>
    </x:xf>
    <x:xf numFmtId="164" fontId="14" fillId="25" borderId="1" xfId="0" applyNumberFormat="1" applyFont="1" applyFill="1" applyBorder="1" applyAlignment="1">
      <x:alignment vertical="center" wrapText="1"/>
    </x:xf>
    <x:xf numFmtId="165" fontId="14" fillId="25" borderId="1" xfId="0" applyNumberFormat="1" applyFont="1" applyFill="1" applyBorder="1" applyAlignment="1">
      <x:alignment vertical="center" wrapText="1"/>
    </x:xf>
    <x:xf numFmtId="164" fontId="14" fillId="26" borderId="1" xfId="0" applyNumberFormat="1" applyFont="1" applyFill="1" applyBorder="1" applyAlignment="1">
      <x:alignment vertical="center" wrapText="1"/>
    </x:xf>
    <x:xf numFmtId="0" fontId="14" fillId="26" borderId="1" xfId="0" applyNumberFormat="1" applyFont="1" applyFill="1" applyBorder="1" applyAlignment="1">
      <x:alignment vertical="center" wrapText="1"/>
    </x:xf>
    <x:xf numFmtId="165" fontId="14" fillId="26" borderId="1" xfId="0" applyNumberFormat="1" applyFont="1" applyFill="1" applyBorder="1" applyAlignment="1">
      <x:alignment vertical="center" wrapText="1"/>
    </x:xf>
    <x:xf numFmtId="0" fontId="14" fillId="27" borderId="1" xfId="0" applyNumberFormat="1" applyFont="1" applyFill="1" applyBorder="1" applyAlignment="1">
      <x:alignment vertical="center" wrapText="1"/>
    </x:xf>
    <x:xf numFmtId="0" fontId="15" fillId="28" borderId="0" xfId="0" applyNumberFormat="1" applyFont="1" applyFill="1" applyBorder="1"/>
    <x:xf numFmtId="0" fontId="14" fillId="29" borderId="0" xfId="0" applyNumberFormat="1" applyFont="1" applyFill="1" applyBorder="1" applyAlignment="1">
      <x:alignment wrapText="1"/>
    </x:xf>
    <x:xf numFmtId="0" fontId="5" fillId="30" borderId="1" xfId="0" applyNumberFormat="1" applyFont="1" applyFill="1" applyBorder="1" applyAlignment="1">
      <x:alignment vertical="center" wrapText="1"/>
    </x:xf>
    <x:xf numFmtId="164" fontId="14" fillId="31" borderId="1" xfId="0" applyNumberFormat="1" applyFont="1" applyFill="1" applyBorder="1" applyAlignment="1">
      <x:alignment vertical="center" wrapText="1"/>
    </x:xf>
    <x:xf numFmtId="167" fontId="14" fillId="31" borderId="1" xfId="0" applyNumberFormat="1" applyFont="1" applyFill="1" applyBorder="1" applyAlignment="1">
      <x:alignment vertical="center" wrapText="1"/>
    </x:xf>
    <x:xf numFmtId="165" fontId="14" fillId="31" borderId="1" xfId="0" applyNumberFormat="1" applyFont="1" applyFill="1" applyBorder="1" applyAlignment="1">
      <x:alignment vertical="center" wrapText="1"/>
    </x:xf>
    <x:xf numFmtId="164" fontId="0" fillId="26" borderId="1" xfId="0" applyNumberFormat="1" applyFont="1" applyFill="1" applyBorder="1" applyAlignment="1">
      <x:alignment vertical="center" wrapText="1"/>
    </x:xf>
    <x:xf numFmtId="166" fontId="0" fillId="7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1f1d29a21146fa" /><Relationship Type="http://schemas.openxmlformats.org/officeDocument/2006/relationships/theme" Target="/xl/theme/theme1.xml" Id="R726b01098da44ae5" /><Relationship Type="http://schemas.openxmlformats.org/officeDocument/2006/relationships/sharedStrings" Target="/xl/sharedStrings.xml" Id="Ra1731f651c5a438e" /><Relationship Type="http://schemas.openxmlformats.org/officeDocument/2006/relationships/worksheet" Target="/xl/worksheets/sheet1.xml" Id="Rc5ce4782bf164fd4" /><Relationship Type="http://schemas.openxmlformats.org/officeDocument/2006/relationships/worksheet" Target="/xl/worksheets/sheet2.xml" Id="Re46923eb696e4b6c" /><Relationship Type="http://schemas.openxmlformats.org/officeDocument/2006/relationships/worksheet" Target="/xl/worksheets/sheet3.xml" Id="R02eab8e93d72441a" /><Relationship Type="http://schemas.openxmlformats.org/officeDocument/2006/relationships/worksheet" Target="/xl/worksheets/sheet4.xml" Id="Rbfcfffdfe8c6468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4" customWidth="1"/>
    <x:col min="2" max="2" width="26" customWidth="1"/>
    <x:col min="3" max="3" width="34" customWidth="1"/>
    <x:col min="4" max="4" width="24" customWidth="1"/>
    <x:col min="5" max="5" width="30" customWidth="1"/>
    <x:col min="6" max="6" width="26" customWidth="1"/>
  </x:cols>
  <x:sheetData>
    <x:row r="1" ht="34" customHeight="1">
      <x:c r="A1" s="55" t="s">
        <x:v>0</x:v>
      </x:c>
      <x:c r="B1" s="56"/>
      <x:c r="C1" s="56"/>
      <x:c r="D1" s="56"/>
      <x:c r="E1" s="56"/>
      <x:c r="F1" s="56"/>
    </x:row>
    <x:row r="2">
      <x:c r="A2" s="1"/>
      <x:c r="B2" s="1"/>
      <x:c r="C2" s="1"/>
      <x:c r="D2" s="1"/>
      <x:c r="E2" s="1"/>
      <x:c r="F2" s="1"/>
    </x:row>
    <x:row r="3" ht="24" customHeight="1">
      <x:c r="A3" s="51" t="s">
        <x:v>1</x:v>
      </x:c>
      <x:c r="B3" s="52"/>
      <x:c r="C3" s="52"/>
      <x:c r="D3" s="52"/>
      <x:c r="E3" s="52"/>
      <x:c r="F3" s="52"/>
    </x:row>
    <x:row r="4" ht="32">
      <x:c r="A4" s="1"/>
      <x:c r="B4" s="2" t="s">
        <x:v>2</x:v>
      </x:c>
      <x:c r="C4" s="3" t="s">
        <x:v>3</x:v>
      </x:c>
      <x:c r="D4" s="1"/>
      <x:c r="E4" s="1"/>
      <x:c r="F4" s="1"/>
    </x:row>
    <x:row r="5" ht="16">
      <x:c r="A5" s="1"/>
      <x:c r="B5" s="2" t="s">
        <x:v>4</x:v>
      </x:c>
      <x:c r="C5" s="3" t="s">
        <x:v>5</x:v>
      </x:c>
      <x:c r="D5" s="1"/>
      <x:c r="E5" s="1"/>
      <x:c r="F5" s="1"/>
    </x:row>
    <x:row r="6" ht="32">
      <x:c r="A6" s="1"/>
      <x:c r="B6" s="2" t="s">
        <x:v>6</x:v>
      </x:c>
      <x:c r="C6" s="3" t="s">
        <x:v>7</x:v>
      </x:c>
      <x:c r="D6" s="1"/>
      <x:c r="E6" s="1"/>
      <x:c r="F6" s="1"/>
    </x:row>
    <x:row r="7" ht="32">
      <x:c r="A7" s="1"/>
      <x:c r="B7" s="2" t="s">
        <x:v>8</x:v>
      </x:c>
      <x:c r="C7" s="3" t="s">
        <x:v>9</x:v>
      </x:c>
      <x:c r="D7" s="1"/>
      <x:c r="E7" s="1"/>
      <x:c r="F7" s="1"/>
    </x:row>
    <x:row r="8" ht="64">
      <x:c r="A8" s="1"/>
      <x:c r="B8" s="2" t="s">
        <x:v>10</x:v>
      </x:c>
      <x:c r="C8" s="3" t="str">
        <x:v>Slide 6: follow Version A in rows 22-25, then try Version B in rows 31-34. Later slides use tasks 1-11 above. Compare with the slide reveals.</x:v>
      </x:c>
      <x:c r="D8" s="1"/>
      <x:c r="E8" s="1"/>
      <x:c r="F8" s="1"/>
    </x:row>
    <x:row r="9" ht="48" customHeight="1">
      <x:c r="A9" s="1"/>
      <x:c r="B9" s="2" t="s">
        <x:v>11</x:v>
      </x:c>
      <x:c r="C9" s="3" t="str">
        <x:v>In pairs, audit R01-R03 and one of R04-R06. Complete all six and reconcile for homework.</x:v>
      </x:c>
      <x:c r="D9" s="1"/>
      <x:c r="E9" s="1"/>
      <x:c r="F9" s="1"/>
    </x:row>
    <x:row r="10" ht="48">
      <x:c r="A10" s="1"/>
      <x:c r="B10" s="2" t="s">
        <x:v>12</x:v>
      </x:c>
      <x:c r="C10" s="3" t="s">
        <x:v>13</x:v>
      </x:c>
      <x:c r="D10" s="1"/>
      <x:c r="E10" s="1"/>
      <x:c r="F10" s="1"/>
    </x:row>
    <x:row r="11">
      <x:c r="A11" s="1"/>
      <x:c r="B11" s="1"/>
      <x:c r="C11" s="1"/>
      <x:c r="D11" s="1"/>
      <x:c r="E11" s="1"/>
      <x:c r="F11" s="1"/>
    </x:row>
    <x:row r="12">
      <x:c r="A12" s="1"/>
      <x:c r="B12" s="1"/>
      <x:c r="C12" s="1"/>
      <x:c r="D12" s="1"/>
      <x:c r="E12" s="1"/>
      <x:c r="F12" s="1"/>
    </x:row>
    <x:row r="13" ht="24" customHeight="1">
      <x:c r="A13" s="53" t="s">
        <x:v>14</x:v>
      </x:c>
      <x:c r="B13" s="54"/>
      <x:c r="C13" s="54"/>
      <x:c r="D13" s="54"/>
      <x:c r="E13" s="54"/>
      <x:c r="F13" s="54"/>
    </x:row>
    <x:row r="14" ht="32">
      <x:c r="A14" s="1"/>
      <x:c r="B14" s="3" t="s">
        <x:v>15</x:v>
      </x:c>
      <x:c r="C14" s="3" t="str">
        <x:v>Yellow input cells and answer cells are blank for student work.</x:v>
      </x:c>
      <x:c r="D14" s="1"/>
      <x:c r="E14" s="1"/>
      <x:c r="F14" s="1"/>
    </x:row>
    <x:row r="15" ht="48">
      <x:c r="A15" s="1"/>
      <x:c r="B15" s="3" t="s">
        <x:v>16</x:v>
      </x:c>
      <x:c r="C15" s="3" t="str">
        <x:v>Feedback checks baseline values and required references; explain your logic and test changing inputs.</x:v>
      </x:c>
      <x:c r="D15" s="1"/>
      <x:c r="E15" s="1"/>
      <x:c r="F15" s="1"/>
    </x:row>
    <x:row r="16" ht="38" customHeight="1">
      <x:c r="A16" s="1"/>
      <x:c r="B16" s="3" t="s">
        <x:v>17</x:v>
      </x:c>
      <x:c r="C16" s="3" t="s">
        <x:v>18</x:v>
      </x:c>
      <x:c r="D16" s="1"/>
      <x:c r="E16" s="1"/>
      <x:c r="F16" s="1"/>
    </x:row>
  </x:sheetData>
  <x:mergeCells>
    <x:mergeCell ref="A3:F3"/>
    <x:mergeCell ref="A13:F13"/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7" customWidth="1"/>
    <x:col min="2" max="2" width="16" customWidth="1"/>
    <x:col min="3" max="3" width="58" customWidth="1"/>
    <x:col min="4" max="4" width="16" customWidth="1"/>
    <x:col min="5" max="5" width="16" customWidth="1"/>
    <x:col min="6" max="6" width="22" customWidth="1"/>
    <x:col min="7" max="7" width="34" customWidth="1"/>
    <x:col min="8" max="8" width="34" customWidth="1"/>
    <x:col min="9" max="9" width="14" customWidth="1"/>
  </x:cols>
  <x:sheetData>
    <x:row r="1" ht="34" customHeight="1">
      <x:c r="A1" s="55" t="s">
        <x:v>19</x:v>
      </x:c>
      <x:c r="B1" s="56"/>
      <x:c r="C1" s="56"/>
      <x:c r="D1" s="56"/>
      <x:c r="E1" s="56"/>
      <x:c r="F1" s="56"/>
      <x:c r="G1" s="56"/>
      <x:c r="H1" s="56"/>
      <x:c r="I1" s="56"/>
    </x:row>
    <x:row r="2">
      <x:c r="A2" s="1"/>
      <x:c r="B2" s="1"/>
      <x:c r="C2" s="1"/>
      <x:c r="D2" s="1"/>
      <x:c r="E2" s="1"/>
      <x:c r="F2" s="1"/>
      <x:c r="G2" s="1"/>
      <x:c r="H2" s="1"/>
      <x:c r="I2" s="1"/>
    </x:row>
    <x:row r="3" ht="42" customHeight="1">
      <x:c r="A3" s="57" t="str">
        <x:v>Enter inputs and formulas in F. Feedback checks baseline values and required references. Attempt first, then compare with the slide reveal. Restore inputs after Predict → Change → Explain.</x:v>
      </x:c>
      <x:c r="B3" s="58"/>
      <x:c r="C3" s="58"/>
      <x:c r="D3" s="58"/>
      <x:c r="E3" s="58"/>
      <x:c r="F3" s="58"/>
      <x:c r="G3" s="58"/>
      <x:c r="H3" s="58"/>
      <x:c r="I3" s="58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16">
      <x:c r="A5" s="4" t="s">
        <x:v>20</x:v>
      </x:c>
      <x:c r="B5" s="4" t="s">
        <x:v>6</x:v>
      </x:c>
      <x:c r="C5" s="4" t="s">
        <x:v>21</x:v>
      </x:c>
      <x:c r="D5" s="4" t="s">
        <x:v>22</x:v>
      </x:c>
      <x:c r="E5" s="4" t="s">
        <x:v>23</x:v>
      </x:c>
      <x:c r="F5" s="4" t="s">
        <x:v>24</x:v>
      </x:c>
      <x:c r="G5" s="4" t="s">
        <x:v>25</x:v>
      </x:c>
      <x:c r="H5" s="4" t="s">
        <x:v>26</x:v>
      </x:c>
      <x:c r="I5" s="4" t="s">
        <x:v>27</x:v>
      </x:c>
    </x:row>
    <x:row r="6" ht="32">
      <x:c r="A6" s="3">
        <x:v>1</x:v>
      </x:c>
      <x:c r="B6" s="3" t="s">
        <x:v>28</x:v>
      </x:c>
      <x:c r="C6" s="3" t="s">
        <x:v>29</x:v>
      </x:c>
      <x:c r="D6" s="5"/>
      <x:c r="E6" s="5"/>
      <x:c r="F6" s="5"/>
      <x:c r="G6" s="7" t="str">
        <x:f ca="1">IF(COUNT(D6,E6,F6)&lt;3,"Enter inputs and a formula first",IF(NOT(_xlfn.ISFORMULA(F6)),"Use a formula, not a typed answer",IF(NOT(IFERROR(AND(ISNUMBER(SEARCH("D6",SUBSTITUTE(UPPER(_xlfn.FORMULATEXT(F6)),"$",""))),ISNUMBER(SEARCH("E6",SUBSTITUTE(UPPER(_xlfn.FORMULATEXT(F6)),"$","")))),FALSE)),"Use the required input/result references",IF(AND(ABS(D6-735)&lt;=0.01,ABS(E6-95)&lt;=0.01,ABS(F6-640)&lt;=0.01),"Correct - explain and test your model","Check the baseline inputs and calculation"))))</x:f>
        <x:v>Enter inputs and a formula first</x:v>
      </x:c>
      <x:c r="H6" s="3" t="s">
        <x:v>30</x:v>
      </x:c>
      <x:c r="I6" s="3" t="str">
        <x:v>slide 8</x:v>
      </x:c>
    </x:row>
    <x:row r="7" ht="32">
      <x:c r="A7" s="3">
        <x:v>2</x:v>
      </x:c>
      <x:c r="B7" s="3" t="s">
        <x:v>28</x:v>
      </x:c>
      <x:c r="C7" s="3" t="s">
        <x:v>31</x:v>
      </x:c>
      <x:c r="D7" s="6"/>
      <x:c r="E7" s="8"/>
      <x:c r="F7" s="5"/>
      <x:c r="G7" s="7" t="str">
        <x:f ca="1">IF(COUNT(F6,E7,F7)&lt;3,"Enter inputs and a formula first",IF(NOT(_xlfn.ISFORMULA(F7)),"Use a formula, not a typed answer",IF(NOT(IFERROR(AND(ISNUMBER(SEARCH("F6",SUBSTITUTE(UPPER(_xlfn.FORMULATEXT(F7)),"$",""))),ISNUMBER(SEARCH("E7",SUBSTITUTE(UPPER(_xlfn.FORMULATEXT(F7)),"$","")))),FALSE)),"Use the required input/result references",IF(AND(ABS(E7-0.0575)&lt;=0.0000001,ABS(F7-36.8)&lt;=0.01),"Correct - explain and test your model","Check the baseline inputs and calculation"))))</x:f>
        <x:v>Enter inputs and a formula first</x:v>
      </x:c>
      <x:c r="H7" s="3" t="s">
        <x:v>32</x:v>
      </x:c>
      <x:c r="I7" s="3" t="str">
        <x:v>slide 8</x:v>
      </x:c>
    </x:row>
    <x:row r="8" ht="32">
      <x:c r="A8" s="3">
        <x:v>3</x:v>
      </x:c>
      <x:c r="B8" s="3" t="s">
        <x:v>28</x:v>
      </x:c>
      <x:c r="C8" s="3" t="s">
        <x:v>33</x:v>
      </x:c>
      <x:c r="D8" s="5"/>
      <x:c r="E8" s="6"/>
      <x:c r="F8" s="5"/>
      <x:c r="G8" s="7" t="str">
        <x:f ca="1">IF(COUNT(F6,F7,D8,F8)&lt;4,"Enter inputs and a formula first",IF(NOT(_xlfn.ISFORMULA(F8)),"Use a formula, not a typed answer",IF(NOT(IFERROR(AND(ISNUMBER(SEARCH("F6",SUBSTITUTE(UPPER(_xlfn.FORMULATEXT(F8)),"$",""))),ISNUMBER(SEARCH("F7",SUBSTITUTE(UPPER(_xlfn.FORMULATEXT(F8)),"$",""))),ISNUMBER(SEARCH("D8",SUBSTITUTE(UPPER(_xlfn.FORMULATEXT(F8)),"$","")))),FALSE)),"Use the required input/result references",IF(AND(ABS(D8-22)&lt;=0.01,ABS(F8-698.8)&lt;=0.01),"Correct - explain and test your model","Check the baseline inputs and calculation"))))</x:f>
        <x:v>Enter inputs and a formula first</x:v>
      </x:c>
      <x:c r="H8" s="3" t="s">
        <x:v>34</x:v>
      </x:c>
      <x:c r="I8" s="3" t="str">
        <x:v>slide 8</x:v>
      </x:c>
    </x:row>
    <x:row r="9" ht="16">
      <x:c r="A9" s="3">
        <x:v>4</x:v>
      </x:c>
      <x:c r="B9" s="3" t="s">
        <x:v>35</x:v>
      </x:c>
      <x:c r="C9" s="3" t="s">
        <x:v>36</x:v>
      </x:c>
      <x:c r="D9" s="5"/>
      <x:c r="E9" s="8"/>
      <x:c r="F9" s="5"/>
      <x:c r="G9" s="7" t="str">
        <x:f ca="1">IF(COUNT(D9,E9,F9)&lt;3,"Enter inputs and a formula first",IF(NOT(_xlfn.ISFORMULA(F9)),"Use a formula, not a typed answer",IF(NOT(IFERROR(AND(ISNUMBER(SEARCH("D9",SUBSTITUTE(UPPER(_xlfn.FORMULATEXT(F9)),"$",""))),ISNUMBER(SEARCH("E9",SUBSTITUTE(UPPER(_xlfn.FORMULATEXT(F9)),"$","")))),FALSE)),"Use the required input/result references",IF(AND(ABS(D9-64200)&lt;=0.01,ABS(E9-0.07)&lt;=0.0000001,ABS(F9-60000)&lt;=0.01),"Correct - explain and test your model","Check the baseline inputs and calculation"))))</x:f>
        <x:v>Enter inputs and a formula first</x:v>
      </x:c>
      <x:c r="H9" s="3" t="s">
        <x:v>37</x:v>
      </x:c>
      <x:c r="I9" s="3" t="str">
        <x:v>slide 8</x:v>
      </x:c>
    </x:row>
    <x:row r="10" ht="16">
      <x:c r="A10" s="3">
        <x:v>5</x:v>
      </x:c>
      <x:c r="B10" s="3" t="s">
        <x:v>35</x:v>
      </x:c>
      <x:c r="C10" s="3" t="s">
        <x:v>38</x:v>
      </x:c>
      <x:c r="D10" s="6"/>
      <x:c r="E10" s="6"/>
      <x:c r="F10" s="5"/>
      <x:c r="G10" s="7" t="str">
        <x:f ca="1">IF(COUNT(D9,F9,F10)&lt;3,"Enter inputs and a formula first",IF(NOT(_xlfn.ISFORMULA(F10)),"Use a formula, not a typed answer",IF(NOT(IFERROR(AND(ISNUMBER(SEARCH("D9",SUBSTITUTE(UPPER(_xlfn.FORMULATEXT(F10)),"$",""))),ISNUMBER(SEARCH("F9",SUBSTITUTE(UPPER(_xlfn.FORMULATEXT(F10)),"$","")))),FALSE)),"Use the required input/result references",IF(AND(ABS(F10-4200)&lt;=0.01),"Correct - explain and test your model","Check the baseline inputs and calculation"))))</x:f>
        <x:v>Enter inputs and a formula first</x:v>
      </x:c>
      <x:c r="H10" s="3" t="s">
        <x:v>39</x:v>
      </x:c>
      <x:c r="I10" s="3" t="str">
        <x:v>slide 8</x:v>
      </x:c>
    </x:row>
    <x:row r="11" ht="32">
      <x:c r="A11" s="3">
        <x:v>6</x:v>
      </x:c>
      <x:c r="B11" s="3" t="s">
        <x:v>40</x:v>
      </x:c>
      <x:c r="C11" s="3" t="s">
        <x:v>41</x:v>
      </x:c>
      <x:c r="D11" s="5"/>
      <x:c r="E11" s="8"/>
      <x:c r="F11" s="5"/>
      <x:c r="G11" s="7" t="str">
        <x:f ca="1">IF(COUNT(D11,E11,F11)&lt;3,"Enter inputs and a formula first",IF(NOT(_xlfn.ISFORMULA(F11)),"Use a formula, not a typed answer",IF(NOT(IFERROR(AND(ISNUMBER(SEARCH("D11",SUBSTITUTE(UPPER(_xlfn.FORMULATEXT(F11)),"$",""))),ISNUMBER(SEARCH("E11",SUBSTITUTE(UPPER(_xlfn.FORMULATEXT(F11)),"$","")))),FALSE)),"Use the required input/result references",IF(AND(ABS(D11-7250)&lt;=0.01,ABS(E11-0.06)&lt;=0.0000001,ABS(F11-435)&lt;=0.01),"Correct - explain and test your model","Check the baseline inputs and calculation"))))</x:f>
        <x:v>Enter inputs and a formula first</x:v>
      </x:c>
      <x:c r="H11" s="3" t="s">
        <x:v>42</x:v>
      </x:c>
      <x:c r="I11" s="3" t="str">
        <x:v>slide 13</x:v>
      </x:c>
    </x:row>
    <x:row r="12" ht="32">
      <x:c r="A12" s="3">
        <x:v>7</x:v>
      </x:c>
      <x:c r="B12" s="3" t="s">
        <x:v>40</x:v>
      </x:c>
      <x:c r="C12" s="3" t="str">
        <x:v>E: excise rate 4.5%; F: excise tax using the original base in D11.</x:v>
      </x:c>
      <x:c r="D12" s="102"/>
      <x:c r="E12" s="8"/>
      <x:c r="F12" s="5"/>
      <x:c r="G12" s="7" t="str">
        <x:f ca="1">IF(COUNT(D11,E12,F12)&lt;3,"Enter inputs and a formula first",IF(NOT(_xlfn.ISFORMULA(F12)),"Use a formula, not a typed answer",IF(NOT(IFERROR(AND(ISNUMBER(SEARCH("D11",SUBSTITUTE(UPPER(_xlfn.FORMULATEXT(F12)),"$",""))),ISNUMBER(SEARCH("E12",SUBSTITUTE(UPPER(_xlfn.FORMULATEXT(F12)),"$","")))),FALSE)),"Use the required input/result references",IF(AND(ABS(E12-0.045)&lt;=0.0000001,ABS(F12-326.25)&lt;=0.01),"Correct - explain and test your model","Check the baseline inputs and calculation"))))</x:f>
        <x:v>Enter inputs and a formula first</x:v>
      </x:c>
      <x:c r="H12" s="3" t="str">
        <x:v>Reference the same original base cell used for sales tax: D11.</x:v>
      </x:c>
      <x:c r="I12" s="3" t="str">
        <x:v>slide 13</x:v>
      </x:c>
    </x:row>
    <x:row r="13" ht="32">
      <x:c r="A13" s="3">
        <x:v>8</x:v>
      </x:c>
      <x:c r="B13" s="3" t="s">
        <x:v>40</x:v>
      </x:c>
      <x:c r="C13" s="3" t="str">
        <x:v>F: total cost using original base D11 and tax results F11 and F12.</x:v>
      </x:c>
      <x:c r="D13" s="102"/>
      <x:c r="E13" s="6"/>
      <x:c r="F13" s="5"/>
      <x:c r="G13" s="7" t="str">
        <x:f ca="1">IF(COUNT(D11,F11,F12,F13)&lt;4,"Enter inputs and a formula first",IF(NOT(_xlfn.ISFORMULA(F13)),"Use a formula, not a typed answer",IF(NOT(IFERROR(AND(ISNUMBER(SEARCH("D11",SUBSTITUTE(UPPER(_xlfn.FORMULATEXT(F13)),"$",""))),ISNUMBER(SEARCH("F11",SUBSTITUTE(UPPER(_xlfn.FORMULATEXT(F13)),"$",""))),ISNUMBER(SEARCH("F12",SUBSTITUTE(UPPER(_xlfn.FORMULATEXT(F13)),"$","")))),FALSE)),"Use the required input/result references",IF(AND(ABS(F13-8011.25)&lt;=0.01),"Correct - explain and test your model","Check the baseline inputs and calculation"))))</x:f>
        <x:v>Enter inputs and a formula first</x:v>
      </x:c>
      <x:c r="H13" s="3" t="str">
        <x:v>Add the original base and both separate tax results.</x:v>
      </x:c>
      <x:c r="I13" s="3" t="str">
        <x:v>slide 13</x:v>
      </x:c>
    </x:row>
    <x:row r="14" ht="32">
      <x:c r="A14" s="3">
        <x:v>9</x:v>
      </x:c>
      <x:c r="B14" s="3" t="s">
        <x:v>43</x:v>
      </x:c>
      <x:c r="C14" s="3" t="s">
        <x:v>44</x:v>
      </x:c>
      <x:c r="D14" s="5"/>
      <x:c r="E14" s="8"/>
      <x:c r="F14" s="5"/>
      <x:c r="G14" s="7" t="str">
        <x:f ca="1">IF(COUNT(D14,E14,F14)&lt;3,"Enter inputs and a formula first",IF(NOT(_xlfn.ISFORMULA(F14)),"Use a formula, not a typed answer",IF(NOT(IFERROR(AND(ISNUMBER(SEARCH("D14",SUBSTITUTE(UPPER(_xlfn.FORMULATEXT(F14)),"$",""))),ISNUMBER(SEARCH("E14",SUBSTITUTE(UPPER(_xlfn.FORMULATEXT(F14)),"$","")))),FALSE)),"Use the required input/result references",IF(AND(ABS(D14-540000)&lt;=0.01,ABS(E14-0.32)&lt;=0.0000001,ABS(F14-172800)&lt;=0.01),"Correct - explain and test your model","Check the baseline inputs and calculation"))))</x:f>
        <x:v>Enter inputs and a formula first</x:v>
      </x:c>
      <x:c r="H14" s="3" t="s">
        <x:v>45</x:v>
      </x:c>
      <x:c r="I14" s="3" t="str">
        <x:v>slide 17</x:v>
      </x:c>
    </x:row>
    <x:row r="15" ht="32">
      <x:c r="A15" s="3">
        <x:v>10</x:v>
      </x:c>
      <x:c r="B15" s="3" t="s">
        <x:v>43</x:v>
      </x:c>
      <x:c r="C15" s="3" t="s">
        <x:v>46</x:v>
      </x:c>
      <x:c r="D15" s="5"/>
      <x:c r="E15" s="5"/>
      <x:c r="F15" s="103"/>
      <x:c r="G15" s="7" t="str">
        <x:f ca="1">IF(COUNT(D15,E15,F15)&lt;3,"Enter inputs and a formula first",IF(NOT(_xlfn.ISFORMULA(F15)),"Use a formula, not a typed answer",IF(NOT(IFERROR(AND(ISNUMBER(SEARCH("D15",SUBSTITUTE(UPPER(_xlfn.FORMULATEXT(F15)),"$",""))),ISNUMBER(SEARCH("E15",SUBSTITUTE(UPPER(_xlfn.FORMULATEXT(F15)),"$","")))),FALSE)),"Use the required input/result references",IF(AND(ABS(D15-234500)&lt;=0.01,ABS(E15-3450000)&lt;=0.01,ABS(F15-0.068)&lt;=0.0000001),"Correct - explain and test your model","Check the baseline inputs and calculation"))))</x:f>
        <x:v>Enter inputs and a formula first</x:v>
      </x:c>
      <x:c r="H15" s="3" t="s">
        <x:v>47</x:v>
      </x:c>
      <x:c r="I15" s="3" t="str">
        <x:v>slide 17</x:v>
      </x:c>
    </x:row>
    <x:row r="16" ht="32">
      <x:c r="A16" s="3">
        <x:v>11</x:v>
      </x:c>
      <x:c r="B16" s="3" t="s">
        <x:v>43</x:v>
      </x:c>
      <x:c r="C16" s="3" t="str">
        <x:v>F: annual tax due using assessed value F14 and rounded rate F15.</x:v>
      </x:c>
      <x:c r="D16" s="6"/>
      <x:c r="E16" s="6"/>
      <x:c r="F16" s="5"/>
      <x:c r="G16" s="7" t="str">
        <x:f ca="1">IF(COUNT(F14,F15,F16)&lt;3,"Enter inputs and a formula first",IF(NOT(_xlfn.ISFORMULA(F16)),"Use a formula, not a typed answer",IF(NOT(IFERROR(AND(ISNUMBER(SEARCH("F14",SUBSTITUTE(UPPER(_xlfn.FORMULATEXT(F16)),"$",""))),ISNUMBER(SEARCH("F15",SUBSTITUTE(UPPER(_xlfn.FORMULATEXT(F16)),"$","")))),FALSE)),"Use the required input/result references",IF(AND(ABS(F16-11750.4)&lt;=0.01),"Correct - explain and test your model","Check the baseline inputs and calculation"))))</x:f>
        <x:v>Enter inputs and a formula first</x:v>
      </x:c>
      <x:c r="H16" s="3" t="str">
        <x:v>Reference assessed value F14 and rounded rate F15.</x:v>
      </x:c>
      <x:c r="I16" s="3" t="str">
        <x:v>slide 17</x:v>
      </x:c>
    </x:row>
    <x:row r="19" ht="30" customHeight="1">
      <x:c r="A19" s="96" t="str">
        <x:v>Slide 6 - Reverse sales tax - Version A (follow along)</x:v>
      </x:c>
      <x:c r="B19" s="96"/>
      <x:c r="C19" s="96"/>
      <x:c r="D19" s="96"/>
      <x:c r="E19" s="96"/>
      <x:c r="F19" s="96"/>
      <x:c r="G19" s="96"/>
      <x:c r="H19" s="96"/>
      <x:c r="I19" s="96"/>
    </x:row>
    <x:row r="20" ht="36" customHeight="1">
      <x:c r="A20" s="97" t="str">
        <x:v>Tidal register receipts of $52,000 include 6.5% sales tax. Enter the givens, calculate pre-tax sales and tax held, and explain why they add back to receipts.</x:v>
      </x:c>
      <x:c r="B20" s="97"/>
      <x:c r="C20" s="97"/>
      <x:c r="D20" s="97"/>
      <x:c r="E20" s="97"/>
      <x:c r="F20" s="97"/>
      <x:c r="G20" s="97"/>
      <x:c r="H20" s="97"/>
      <x:c r="I20" s="97"/>
    </x:row>
    <x:row r="21" ht="28" customHeight="1">
      <x:c r="A21" s="98" t="s">
        <x:v>20</x:v>
      </x:c>
      <x:c r="B21" s="98" t="s">
        <x:v>6</x:v>
      </x:c>
      <x:c r="C21" s="98" t="s">
        <x:v>21</x:v>
      </x:c>
      <x:c r="D21" s="98" t="s">
        <x:v>22</x:v>
      </x:c>
      <x:c r="E21" s="98" t="s">
        <x:v>23</x:v>
      </x:c>
      <x:c r="F21" s="98" t="s">
        <x:v>24</x:v>
      </x:c>
      <x:c r="G21" s="98" t="s">
        <x:v>25</x:v>
      </x:c>
      <x:c r="H21" s="98" t="s">
        <x:v>26</x:v>
      </x:c>
      <x:c r="I21" s="98" t="s">
        <x:v>27</x:v>
      </x:c>
    </x:row>
    <x:row r="22" ht="42" customHeight="1">
      <x:c r="A22" s="89" t="str">
        <x:v>A1</x:v>
      </x:c>
      <x:c r="B22" s="89" t="str">
        <x:v>Receipts</x:v>
      </x:c>
      <x:c r="C22" s="89" t="str">
        <x:v>Enter tax-inclusive receipts 52,000 in D22.</x:v>
      </x:c>
      <x:c r="D22" s="100"/>
      <x:c r="E22" s="92"/>
      <x:c r="F22" s="92"/>
      <x:c r="G22" s="95"/>
      <x:c r="H22" s="89"/>
      <x:c r="I22" s="89" t="str">
        <x:v>slide 6</x:v>
      </x:c>
    </x:row>
    <x:row r="23" ht="42" customHeight="1">
      <x:c r="A23" s="89" t="str">
        <x:v>A2</x:v>
      </x:c>
      <x:c r="B23" s="89" t="str">
        <x:v>Tax rate</x:v>
      </x:c>
      <x:c r="C23" s="89" t="str">
        <x:v>Enter sales-tax rate 6.5% in E23.</x:v>
      </x:c>
      <x:c r="D23" s="93"/>
      <x:c r="E23" s="101"/>
      <x:c r="F23" s="92"/>
      <x:c r="G23" s="95"/>
      <x:c r="H23" s="89"/>
      <x:c r="I23" s="89" t="str">
        <x:v>slide 6</x:v>
      </x:c>
    </x:row>
    <x:row r="24" ht="42" customHeight="1">
      <x:c r="A24" s="89" t="str">
        <x:v>A3</x:v>
      </x:c>
      <x:c r="B24" s="89" t="str">
        <x:v>Pre-tax sales</x:v>
      </x:c>
      <x:c r="C24" s="89" t="str">
        <x:v>Calculate sales before tax in F24 using the two inputs above.</x:v>
      </x:c>
      <x:c r="D24" s="92"/>
      <x:c r="E24" s="93"/>
      <x:c r="F24" s="100"/>
      <x:c r="G24" s="95" t="str">
        <x:f>IF(COUNT(D22,E23,F24)&lt;3,"Enter inputs and a formula first",IF(NOT(_xlfn.ISFORMULA(F24)),"Use a formula, not a typed answer",IF(NOT(IFERROR(AND(ISNUMBER(SEARCH("D22",SUBSTITUTE(UPPER(_xlfn.FORMULATEXT(F24)),"$",""))),ISNUMBER(SEARCH("E23",SUBSTITUTE(UPPER(_xlfn.FORMULATEXT(F24)),"$","")))),FALSE)),"Use the required input/result references",IF(ABS(F24-48826.29107981221)&lt;=0.01,"Correct - explain your revenue/tax split","Check the inputs and reverse-tax calculation"))))</x:f>
        <x:v>Enter inputs and a formula first</x:v>
      </x:c>
      <x:c r="H24" s="89" t="str">
        <x:v>Explain why the divisor includes 1 plus the tax rate.</x:v>
      </x:c>
      <x:c r="I24" s="89" t="str">
        <x:v>slide 6</x:v>
      </x:c>
    </x:row>
    <x:row r="25" ht="42" customHeight="1">
      <x:c r="A25" s="89" t="str">
        <x:v>A4</x:v>
      </x:c>
      <x:c r="B25" s="89" t="str">
        <x:v>Tax held</x:v>
      </x:c>
      <x:c r="C25" s="89" t="str">
        <x:v>Calculate tax held in F25 using receipts and your pre-tax sales result.</x:v>
      </x:c>
      <x:c r="D25" s="92"/>
      <x:c r="E25" s="94"/>
      <x:c r="F25" s="100"/>
      <x:c r="G25" s="95" t="str">
        <x:f>IF(COUNT(D22,F24,F25)&lt;3,"Enter inputs and a formula first",IF(NOT(_xlfn.ISFORMULA(F25)),"Use a formula, not a typed answer",IF(NOT(IFERROR(AND(ISNUMBER(SEARCH("D22",SUBSTITUTE(UPPER(_xlfn.FORMULATEXT(F25)),"$",""))),ISNUMBER(SEARCH("F24",SUBSTITUTE(UPPER(_xlfn.FORMULATEXT(F25)),"$","")))),FALSE)),"Use the required input/result references",IF(ABS(F25-3173.7089201877898)&lt;=0.01,"Correct - explain your revenue/tax split","Check the inputs and reverse-tax calculation"))))</x:f>
        <x:v>Enter inputs and a formula first</x:v>
      </x:c>
      <x:c r="H25" s="89" t="str">
        <x:v>Sales plus tax held must equal receipts.</x:v>
      </x:c>
      <x:c r="I25" s="89" t="str">
        <x:v>slide 6</x:v>
      </x:c>
    </x:row>
    <x:row r="28" ht="30" customHeight="1">
      <x:c r="A28" s="96" t="str">
        <x:v>Slide 6 - Reverse sales tax - Version B (try independently)</x:v>
      </x:c>
      <x:c r="B28" s="96"/>
      <x:c r="C28" s="96"/>
      <x:c r="D28" s="96"/>
      <x:c r="E28" s="96"/>
      <x:c r="F28" s="96"/>
      <x:c r="G28" s="96"/>
      <x:c r="H28" s="96"/>
      <x:c r="I28" s="96"/>
    </x:row>
    <x:row r="29" ht="36" customHeight="1">
      <x:c r="A29" s="97" t="str">
        <x:v>Tidal register receipts of $43,200 include 8% sales tax. Enter the givens, calculate pre-tax sales and tax held, and explain why they add back to receipts.</x:v>
      </x:c>
      <x:c r="B29" s="97"/>
      <x:c r="C29" s="97"/>
      <x:c r="D29" s="97"/>
      <x:c r="E29" s="97"/>
      <x:c r="F29" s="97"/>
      <x:c r="G29" s="97"/>
      <x:c r="H29" s="97"/>
      <x:c r="I29" s="97"/>
    </x:row>
    <x:row r="30" ht="28" customHeight="1">
      <x:c r="A30" s="98" t="s">
        <x:v>20</x:v>
      </x:c>
      <x:c r="B30" s="98" t="s">
        <x:v>6</x:v>
      </x:c>
      <x:c r="C30" s="98" t="s">
        <x:v>21</x:v>
      </x:c>
      <x:c r="D30" s="98" t="s">
        <x:v>22</x:v>
      </x:c>
      <x:c r="E30" s="98" t="s">
        <x:v>23</x:v>
      </x:c>
      <x:c r="F30" s="98" t="s">
        <x:v>24</x:v>
      </x:c>
      <x:c r="G30" s="98" t="s">
        <x:v>25</x:v>
      </x:c>
      <x:c r="H30" s="98" t="s">
        <x:v>26</x:v>
      </x:c>
      <x:c r="I30" s="98" t="s">
        <x:v>27</x:v>
      </x:c>
    </x:row>
    <x:row r="31" ht="42" customHeight="1">
      <x:c r="A31" s="89" t="str">
        <x:v>B1</x:v>
      </x:c>
      <x:c r="B31" s="89" t="str">
        <x:v>Receipts</x:v>
      </x:c>
      <x:c r="C31" s="89" t="str">
        <x:v>Enter tax-inclusive receipts 43,200 in D31.</x:v>
      </x:c>
      <x:c r="D31" s="100"/>
      <x:c r="E31" s="92"/>
      <x:c r="F31" s="92"/>
      <x:c r="G31" s="95"/>
      <x:c r="H31" s="89"/>
      <x:c r="I31" s="89" t="str">
        <x:v>slide 6</x:v>
      </x:c>
    </x:row>
    <x:row r="32" ht="42" customHeight="1">
      <x:c r="A32" s="89" t="str">
        <x:v>B2</x:v>
      </x:c>
      <x:c r="B32" s="89" t="str">
        <x:v>Tax rate</x:v>
      </x:c>
      <x:c r="C32" s="89" t="str">
        <x:v>Enter sales-tax rate 8% in E32.</x:v>
      </x:c>
      <x:c r="D32" s="93"/>
      <x:c r="E32" s="101"/>
      <x:c r="F32" s="92"/>
      <x:c r="G32" s="95"/>
      <x:c r="H32" s="89"/>
      <x:c r="I32" s="89" t="str">
        <x:v>slide 6</x:v>
      </x:c>
    </x:row>
    <x:row r="33" ht="42" customHeight="1">
      <x:c r="A33" s="89" t="str">
        <x:v>B3</x:v>
      </x:c>
      <x:c r="B33" s="89" t="str">
        <x:v>Pre-tax sales</x:v>
      </x:c>
      <x:c r="C33" s="89" t="str">
        <x:v>Calculate sales before tax in F33 using the two inputs above.</x:v>
      </x:c>
      <x:c r="D33" s="92"/>
      <x:c r="E33" s="93"/>
      <x:c r="F33" s="100"/>
      <x:c r="G33" s="95" t="str">
        <x:f>IF(COUNT(D31,E32,F33)&lt;3,"Enter inputs and a formula first",IF(NOT(_xlfn.ISFORMULA(F33)),"Use a formula, not a typed answer",IF(NOT(IFERROR(AND(ISNUMBER(SEARCH("D31",SUBSTITUTE(UPPER(_xlfn.FORMULATEXT(F33)),"$",""))),ISNUMBER(SEARCH("E32",SUBSTITUTE(UPPER(_xlfn.FORMULATEXT(F33)),"$","")))),FALSE)),"Use the required input/result references",IF(ABS(F33-40000)&lt;=0.01,"Correct - explain your revenue/tax split","Check the inputs and reverse-tax calculation"))))</x:f>
        <x:v>Enter inputs and a formula first</x:v>
      </x:c>
      <x:c r="H33" s="89" t="str">
        <x:v>Explain why the divisor includes 1 plus the tax rate.</x:v>
      </x:c>
      <x:c r="I33" s="89" t="str">
        <x:v>slide 6</x:v>
      </x:c>
    </x:row>
    <x:row r="34" ht="42" customHeight="1">
      <x:c r="A34" s="89" t="str">
        <x:v>B4</x:v>
      </x:c>
      <x:c r="B34" s="89" t="str">
        <x:v>Tax held</x:v>
      </x:c>
      <x:c r="C34" s="89" t="str">
        <x:v>Calculate tax held in F34 using receipts and your pre-tax sales result.</x:v>
      </x:c>
      <x:c r="D34" s="92"/>
      <x:c r="E34" s="94"/>
      <x:c r="F34" s="100"/>
      <x:c r="G34" s="95" t="str">
        <x:f>IF(COUNT(D31,F33,F34)&lt;3,"Enter inputs and a formula first",IF(NOT(_xlfn.ISFORMULA(F34)),"Use a formula, not a typed answer",IF(NOT(IFERROR(AND(ISNUMBER(SEARCH("D31",SUBSTITUTE(UPPER(_xlfn.FORMULATEXT(F34)),"$",""))),ISNUMBER(SEARCH("F33",SUBSTITUTE(UPPER(_xlfn.FORMULATEXT(F34)),"$","")))),FALSE)),"Use the required input/result references",IF(ABS(F34-3200)&lt;=0.01,"Correct - explain your revenue/tax split","Check the inputs and reverse-tax calculation"))))</x:f>
        <x:v>Enter inputs and a formula first</x:v>
      </x:c>
      <x:c r="H34" s="89" t="str">
        <x:v>Sales plus tax held must equal receipts.</x:v>
      </x:c>
      <x:c r="I34" s="89" t="str">
        <x:v>slide 6</x:v>
      </x:c>
    </x:row>
  </x:sheetData>
  <x:mergeCells>
    <x:mergeCell ref="A1:I1"/>
    <x:mergeCell ref="A3:I3"/>
    <x:mergeCell ref="A19:I19"/>
    <x:mergeCell ref="A20:I20"/>
    <x:mergeCell ref="A28:I28"/>
    <x:mergeCell ref="A29:I2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0" customWidth="1"/>
    <x:col min="2" max="2" width="14" customWidth="1"/>
    <x:col min="3" max="3" width="37" customWidth="1"/>
    <x:col min="4" max="4" width="17" customWidth="1"/>
    <x:col min="5" max="5" width="18" customWidth="1"/>
    <x:col min="6" max="6" width="17" customWidth="1"/>
    <x:col min="7" max="7" width="18" customWidth="1"/>
    <x:col min="8" max="8" width="34" customWidth="1"/>
    <x:col min="9" max="9" width="17" customWidth="1"/>
    <x:col min="10" max="10" width="16" customWidth="1"/>
    <x:col min="11" max="11" width="23" customWidth="1"/>
    <x:col min="12" max="12" width="18" customWidth="1"/>
  </x:cols>
  <x:sheetData>
    <x:row r="1" ht="36" customHeight="1">
      <x:c r="A1" s="66" t="s">
        <x:v>48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6"/>
      <x:c r="L1" s="66"/>
    </x:row>
    <x:row r="2">
      <x:c r="A2" s="11"/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</x:row>
    <x:row r="3" ht="42" customHeight="1">
      <x:c r="A3" s="67" t="str">
        <x:v>In pairs: audit R01-R03, then one of R04-R06. Finish all six for homework before reconciling to the control total. Enter 0 for OK or 1 for ERROR, repair formulas, and compute adjustments.</x:v>
      </x:c>
      <x:c r="B3" s="67"/>
      <x:c r="C3" s="67"/>
      <x:c r="D3" s="67"/>
      <x:c r="E3" s="67"/>
      <x:c r="F3" s="67"/>
      <x:c r="G3" s="67"/>
      <x:c r="H3" s="67"/>
      <x:c r="I3" s="67"/>
      <x:c r="J3" s="67"/>
      <x:c r="K3" s="67"/>
      <x:c r="L3" s="67"/>
    </x:row>
    <x:row r="4" ht="32" customHeight="1">
      <x:c r="A4" s="68" t="s">
        <x:v>49</x:v>
      </x:c>
      <x:c r="B4" s="68"/>
      <x:c r="C4" s="68"/>
      <x:c r="D4" s="68"/>
      <x:c r="E4" s="68"/>
      <x:c r="F4" s="68"/>
      <x:c r="G4" s="68"/>
      <x:c r="H4" s="68"/>
      <x:c r="I4" s="68"/>
      <x:c r="J4" s="68"/>
      <x:c r="K4" s="68"/>
      <x:c r="L4" s="68"/>
    </x:row>
    <x:row r="5">
      <x:c r="A5" s="69" t="s">
        <x:v>50</x:v>
      </x:c>
      <x:c r="B5" s="70"/>
      <x:c r="C5" s="70"/>
      <x:c r="D5" s="70"/>
      <x:c r="E5" s="70"/>
      <x:c r="F5" s="70"/>
      <x:c r="G5" s="70"/>
      <x:c r="H5" s="70"/>
      <x:c r="I5" s="71"/>
      <x:c r="J5" s="72" t="s">
        <x:v>51</x:v>
      </x:c>
      <x:c r="K5" s="73"/>
      <x:c r="L5" s="74"/>
    </x:row>
    <x:row r="6" ht="42" customHeight="1">
      <x:c r="A6" s="15" t="s">
        <x:v>52</x:v>
      </x:c>
      <x:c r="B6" s="16" t="s">
        <x:v>53</x:v>
      </x:c>
      <x:c r="C6" s="16" t="s">
        <x:v>54</x:v>
      </x:c>
      <x:c r="D6" s="16" t="s">
        <x:v>55</x:v>
      </x:c>
      <x:c r="E6" s="16" t="s">
        <x:v>56</x:v>
      </x:c>
      <x:c r="F6" s="16" t="s">
        <x:v>57</x:v>
      </x:c>
      <x:c r="G6" s="16" t="s">
        <x:v>58</x:v>
      </x:c>
      <x:c r="H6" s="16" t="s">
        <x:v>59</x:v>
      </x:c>
      <x:c r="I6" s="16" t="s">
        <x:v>60</x:v>
      </x:c>
      <x:c r="J6" s="16" t="s">
        <x:v>61</x:v>
      </x:c>
      <x:c r="K6" s="16" t="s">
        <x:v>62</x:v>
      </x:c>
      <x:c r="L6" s="17" t="s">
        <x:v>63</x:v>
      </x:c>
    </x:row>
    <x:row r="7" ht="42" customHeight="1">
      <x:c r="A7" s="18" t="s">
        <x:v>64</x:v>
      </x:c>
      <x:c r="B7" s="24" t="s">
        <x:v>28</x:v>
      </x:c>
      <x:c r="C7" s="24" t="s">
        <x:v>65</x:v>
      </x:c>
      <x:c r="D7" s="30">
        <x:v>1200</x:v>
      </x:c>
      <x:c r="E7" s="30">
        <x:v>180</x:v>
      </x:c>
      <x:c r="F7" s="39">
        <x:v>6.25E-2</x:v>
      </x:c>
      <x:c r="G7" s="39"/>
      <x:c r="H7" s="27" t="s">
        <x:v>66</x:v>
      </x:c>
      <x:c r="I7" s="30" t="n">
        <x:f>ROUND((D7-E7)*F7,2)</x:f>
        <x:v>63.75</x:v>
      </x:c>
      <x:c r="J7" s="19"/>
      <x:c r="K7" s="33"/>
      <x:c r="L7" s="34"/>
    </x:row>
    <x:row r="8" ht="42" customHeight="1">
      <x:c r="A8" s="20" t="s">
        <x:v>67</x:v>
      </x:c>
      <x:c r="B8" s="25" t="s">
        <x:v>28</x:v>
      </x:c>
      <x:c r="C8" s="25" t="s">
        <x:v>68</x:v>
      </x:c>
      <x:c r="D8" s="31">
        <x:v>480</x:v>
      </x:c>
      <x:c r="E8" s="31">
        <x:v>80</x:v>
      </x:c>
      <x:c r="F8" s="40">
        <x:v>0.06</x:v>
      </x:c>
      <x:c r="G8" s="40"/>
      <x:c r="H8" s="28" t="s">
        <x:v>69</x:v>
      </x:c>
      <x:c r="I8" s="31" t="n">
        <x:f>ROUND(D8*F8,2)</x:f>
        <x:v>28.8</x:v>
      </x:c>
      <x:c r="J8" s="21"/>
      <x:c r="K8" s="35"/>
      <x:c r="L8" s="36"/>
    </x:row>
    <x:row r="9" ht="42" customHeight="1">
      <x:c r="A9" s="20" t="s">
        <x:v>70</x:v>
      </x:c>
      <x:c r="B9" s="25" t="s">
        <x:v>28</x:v>
      </x:c>
      <x:c r="C9" s="25" t="s">
        <x:v>71</x:v>
      </x:c>
      <x:c r="D9" s="31">
        <x:v>78625</x:v>
      </x:c>
      <x:c r="E9" s="40"/>
      <x:c r="F9" s="40">
        <x:v>6.25E-2</x:v>
      </x:c>
      <x:c r="G9" s="40"/>
      <x:c r="H9" s="28" t="s">
        <x:v>72</x:v>
      </x:c>
      <x:c r="I9" s="31" t="n">
        <x:f>ROUND(D9-D9/(1+F9),2)</x:f>
        <x:v>4625</x:v>
      </x:c>
      <x:c r="J9" s="21"/>
      <x:c r="K9" s="35"/>
      <x:c r="L9" s="36"/>
    </x:row>
    <x:row r="10" ht="42" customHeight="1">
      <x:c r="A10" s="20" t="s">
        <x:v>73</x:v>
      </x:c>
      <x:c r="B10" s="25" t="s">
        <x:v>40</x:v>
      </x:c>
      <x:c r="C10" s="25" t="s">
        <x:v>74</x:v>
      </x:c>
      <x:c r="D10" s="31">
        <x:v>6200</x:v>
      </x:c>
      <x:c r="E10" s="40"/>
      <x:c r="F10" s="40">
        <x:v>7.0000000000000007E-2</x:v>
      </x:c>
      <x:c r="G10" s="40">
        <x:v>0.08</x:v>
      </x:c>
      <x:c r="H10" s="28" t="s">
        <x:v>75</x:v>
      </x:c>
      <x:c r="I10" s="31" t="n">
        <x:f>ROUND(D10*(F10+G10),2)</x:f>
        <x:v>930</x:v>
      </x:c>
      <x:c r="J10" s="21"/>
      <x:c r="K10" s="35"/>
      <x:c r="L10" s="36"/>
    </x:row>
    <x:row r="11" ht="42" customHeight="1">
      <x:c r="A11" s="20" t="s">
        <x:v>76</x:v>
      </x:c>
      <x:c r="B11" s="25" t="s">
        <x:v>40</x:v>
      </x:c>
      <x:c r="C11" s="25" t="s">
        <x:v>77</x:v>
      </x:c>
      <x:c r="D11" s="31">
        <x:v>8400</x:v>
      </x:c>
      <x:c r="E11" s="40"/>
      <x:c r="F11" s="40">
        <x:v>7.0000000000000007E-2</x:v>
      </x:c>
      <x:c r="G11" s="40">
        <x:v>0.09</x:v>
      </x:c>
      <x:c r="H11" s="28" t="s">
        <x:v>78</x:v>
      </x:c>
      <x:c r="I11" s="31" t="n">
        <x:f>ROUND(D11*F11+(D11+D11*F11)*G11,2)</x:f>
        <x:v>1396.92</x:v>
      </x:c>
      <x:c r="J11" s="21"/>
      <x:c r="K11" s="35"/>
      <x:c r="L11" s="36"/>
    </x:row>
    <x:row r="12" ht="42" customHeight="1">
      <x:c r="A12" s="22" t="s">
        <x:v>79</x:v>
      </x:c>
      <x:c r="B12" s="26" t="s">
        <x:v>43</x:v>
      </x:c>
      <x:c r="C12" s="26" t="s">
        <x:v>80</x:v>
      </x:c>
      <x:c r="D12" s="32">
        <x:v>820000</x:v>
      </x:c>
      <x:c r="E12" s="41">
        <x:v>0.4</x:v>
      </x:c>
      <x:c r="F12" s="32">
        <x:v>310000</x:v>
      </x:c>
      <x:c r="G12" s="32">
        <x:v>4750000</x:v>
      </x:c>
      <x:c r="H12" s="29" t="s">
        <x:v>81</x:v>
      </x:c>
      <x:c r="I12" s="32" t="n">
        <x:f>ROUND(D12*ROUND(F12/G12,4),2)</x:f>
        <x:v>53546</x:v>
      </x:c>
      <x:c r="J12" s="23"/>
      <x:c r="K12" s="37"/>
      <x:c r="L12" s="38"/>
    </x:row>
    <x:row r="13">
      <x:c r="A13" s="11"/>
      <x:c r="B13" s="11"/>
      <x:c r="C13" s="11"/>
      <x:c r="D13" s="11"/>
      <x:c r="E13" s="11"/>
      <x:c r="F13" s="11"/>
      <x:c r="G13" s="11"/>
      <x:c r="H13" s="11"/>
      <x:c r="I13" s="11"/>
      <x:c r="J13" s="11"/>
      <x:c r="K13" s="11"/>
      <x:c r="L13" s="11"/>
    </x:row>
    <x:row r="14">
      <x:c r="A14" s="11"/>
      <x:c r="B14" s="11"/>
      <x:c r="C14" s="11"/>
      <x:c r="D14" s="11"/>
      <x:c r="E14" s="11"/>
      <x:c r="F14" s="11"/>
      <x:c r="G14" s="11"/>
      <x:c r="H14" s="11"/>
      <x:c r="I14" s="11"/>
      <x:c r="J14" s="11"/>
      <x:c r="K14" s="11"/>
      <x:c r="L14" s="11"/>
    </x:row>
    <x:row r="15">
      <x:c r="A15" s="75" t="s">
        <x:v>82</x:v>
      </x:c>
      <x:c r="B15" s="76"/>
      <x:c r="C15" s="76"/>
      <x:c r="D15" s="76"/>
      <x:c r="E15" s="76"/>
      <x:c r="F15" s="76"/>
      <x:c r="G15" s="76"/>
      <x:c r="H15" s="76"/>
      <x:c r="I15" s="76"/>
      <x:c r="J15" s="76"/>
      <x:c r="K15" s="76"/>
      <x:c r="L15" s="77"/>
    </x:row>
    <x:row r="16">
      <x:c r="A16" s="82" t="s">
        <x:v>83</x:v>
      </x:c>
      <x:c r="B16" s="83"/>
      <x:c r="C16" s="83"/>
      <x:c r="D16" s="30" t="n">
        <x:f>SUM(I7:I12)</x:f>
        <x:v>60590.47</x:v>
      </x:c>
      <x:c r="E16" s="83" t="s">
        <x:v>84</x:v>
      </x:c>
      <x:c r="F16" s="83"/>
      <x:c r="G16" s="83"/>
      <x:c r="H16" s="30">
        <x:v>28405.15</x:v>
      </x:c>
      <x:c r="I16" s="84" t="s">
        <x:v>85</x:v>
      </x:c>
      <x:c r="J16" s="84"/>
      <x:c r="K16" s="34"/>
      <x:c r="L16" s="11"/>
    </x:row>
    <x:row r="17">
      <x:c r="A17" s="12"/>
      <x:c r="B17" s="42"/>
      <x:c r="C17" s="42"/>
      <x:c r="D17" s="42"/>
      <x:c r="E17" s="42"/>
      <x:c r="F17" s="42"/>
      <x:c r="G17" s="42"/>
      <x:c r="H17" s="42"/>
      <x:c r="I17" s="85" t="s">
        <x:v>86</x:v>
      </x:c>
      <x:c r="J17" s="85"/>
      <x:c r="K17" s="36"/>
      <x:c r="L17" s="11"/>
    </x:row>
    <x:row r="18">
      <x:c r="A18" s="12"/>
      <x:c r="B18" s="42"/>
      <x:c r="C18" s="42"/>
      <x:c r="D18" s="42"/>
      <x:c r="E18" s="42"/>
      <x:c r="F18" s="42"/>
      <x:c r="G18" s="42"/>
      <x:c r="H18" s="42"/>
      <x:c r="I18" s="85" t="s">
        <x:v>87</x:v>
      </x:c>
      <x:c r="J18" s="85"/>
      <x:c r="K18" s="36"/>
      <x:c r="L18" s="11"/>
    </x:row>
    <x:row r="19">
      <x:c r="A19" s="13"/>
      <x:c r="B19" s="14"/>
      <x:c r="C19" s="14"/>
      <x:c r="D19" s="14"/>
      <x:c r="E19" s="14"/>
      <x:c r="F19" s="14"/>
      <x:c r="G19" s="14"/>
      <x:c r="H19" s="14"/>
      <x:c r="I19" s="61" t="s">
        <x:v>88</x:v>
      </x:c>
      <x:c r="J19" s="61"/>
      <x:c r="K19" s="43"/>
      <x:c r="L19" s="11"/>
    </x:row>
    <x:row r="20">
      <x:c r="A20" s="11"/>
      <x:c r="B20" s="11"/>
      <x:c r="C20" s="11"/>
      <x:c r="D20" s="11"/>
      <x:c r="E20" s="11"/>
      <x:c r="F20" s="11"/>
      <x:c r="G20" s="11"/>
      <x:c r="H20" s="11"/>
      <x:c r="I20" s="11"/>
      <x:c r="J20" s="11"/>
      <x:c r="K20" s="11"/>
      <x:c r="L20" s="11"/>
    </x:row>
    <x:row r="21" ht="32" customHeight="1">
      <x:c r="A21" s="62" t="s">
        <x:v>89</x:v>
      </x:c>
      <x:c r="B21" s="63"/>
      <x:c r="C21" s="63"/>
      <x:c r="D21" s="78"/>
      <x:c r="E21" s="78"/>
      <x:c r="F21" s="78"/>
      <x:c r="G21" s="78"/>
      <x:c r="H21" s="78"/>
      <x:c r="I21" s="78"/>
      <x:c r="J21" s="78"/>
      <x:c r="K21" s="78"/>
      <x:c r="L21" s="79"/>
    </x:row>
    <x:row r="22" ht="32" customHeight="1">
      <x:c r="A22" s="64"/>
      <x:c r="B22" s="65"/>
      <x:c r="C22" s="65"/>
      <x:c r="D22" s="80"/>
      <x:c r="E22" s="80"/>
      <x:c r="F22" s="80"/>
      <x:c r="G22" s="80"/>
      <x:c r="H22" s="80"/>
      <x:c r="I22" s="80"/>
      <x:c r="J22" s="80"/>
      <x:c r="K22" s="80"/>
      <x:c r="L22" s="81"/>
    </x:row>
    <x:row r="23">
      <x:c r="A23" s="11"/>
      <x:c r="B23" s="11"/>
      <x:c r="C23" s="11"/>
      <x:c r="D23" s="11"/>
      <x:c r="E23" s="11"/>
      <x:c r="F23" s="11"/>
      <x:c r="G23" s="11"/>
      <x:c r="H23" s="11"/>
      <x:c r="I23" s="11"/>
      <x:c r="J23" s="11"/>
      <x:c r="K23" s="11"/>
      <x:c r="L23" s="11"/>
    </x:row>
    <x:row r="24">
      <x:c r="A24" s="11"/>
      <x:c r="B24" s="11"/>
      <x:c r="C24" s="11"/>
      <x:c r="D24" s="11"/>
      <x:c r="E24" s="11"/>
      <x:c r="F24" s="11"/>
      <x:c r="G24" s="11"/>
      <x:c r="H24" s="11"/>
      <x:c r="I24" s="11"/>
      <x:c r="J24" s="11"/>
      <x:c r="K24" s="11"/>
      <x:c r="L24" s="11"/>
    </x:row>
  </x:sheetData>
  <x:mergeCells>
    <x:mergeCell ref="I19:J19"/>
    <x:mergeCell ref="A21:C22"/>
    <x:mergeCell ref="A1:L1"/>
    <x:mergeCell ref="A3:L3"/>
    <x:mergeCell ref="A4:L4"/>
    <x:mergeCell ref="A5:I5"/>
    <x:mergeCell ref="J5:L5"/>
    <x:mergeCell ref="A15:L15"/>
    <x:mergeCell ref="D21:L22"/>
    <x:mergeCell ref="A16:C16"/>
    <x:mergeCell ref="E16:G16"/>
    <x:mergeCell ref="I16:J16"/>
    <x:mergeCell ref="I17:J17"/>
    <x:mergeCell ref="I18:J18"/>
  </x:mergeCells>
  <x:dataValidations count="1">
    <x:dataValidation type="list" sqref="J7:J12">
      <x:formula1>"0,1"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8" customWidth="1"/>
    <x:col min="2" max="2" width="36" customWidth="1"/>
    <x:col min="3" max="3" width="44" customWidth="1"/>
    <x:col min="4" max="4" width="38" customWidth="1"/>
  </x:cols>
  <x:sheetData>
    <x:row r="1" ht="34" customHeight="1">
      <x:c r="A1" s="55" t="s">
        <x:v>90</x:v>
      </x:c>
      <x:c r="B1" s="56"/>
      <x:c r="C1" s="56"/>
      <x:c r="D1" s="56"/>
    </x:row>
    <x:row r="2">
      <x:c r="A2" s="1"/>
      <x:c r="B2" s="1"/>
      <x:c r="C2" s="1"/>
      <x:c r="D2" s="1"/>
    </x:row>
    <x:row r="3" ht="16">
      <x:c r="A3" s="4" t="s">
        <x:v>91</x:v>
      </x:c>
      <x:c r="B3" s="4" t="s">
        <x:v>92</x:v>
      </x:c>
      <x:c r="C3" s="4" t="s">
        <x:v>93</x:v>
      </x:c>
      <x:c r="D3" s="4" t="s">
        <x:v>94</x:v>
      </x:c>
    </x:row>
    <x:row r="4" ht="32">
      <x:c r="A4" s="3" t="s">
        <x:v>95</x:v>
      </x:c>
      <x:c r="B4" s="10" t="s">
        <x:v>96</x:v>
      </x:c>
      <x:c r="C4" s="3" t="s">
        <x:v>97</x:v>
      </x:c>
      <x:c r="D4" s="3" t="s">
        <x:v>98</x:v>
      </x:c>
    </x:row>
    <x:row r="5" ht="32">
      <x:c r="A5" s="3" t="s">
        <x:v>99</x:v>
      </x:c>
      <x:c r="B5" s="10" t="s">
        <x:v>100</x:v>
      </x:c>
      <x:c r="C5" s="3" t="s">
        <x:v>101</x:v>
      </x:c>
      <x:c r="D5" s="3" t="s">
        <x:v>102</x:v>
      </x:c>
    </x:row>
    <x:row r="6" ht="16">
      <x:c r="A6" s="3" t="s">
        <x:v>103</x:v>
      </x:c>
      <x:c r="B6" s="10" t="s">
        <x:v>104</x:v>
      </x:c>
      <x:c r="C6" s="3" t="s">
        <x:v>105</x:v>
      </x:c>
      <x:c r="D6" s="3" t="s">
        <x:v>106</x:v>
      </x:c>
    </x:row>
    <x:row r="7" ht="16">
      <x:c r="A7" s="3" t="s">
        <x:v>107</x:v>
      </x:c>
      <x:c r="B7" s="10" t="s">
        <x:v>108</x:v>
      </x:c>
      <x:c r="C7" s="3" t="s">
        <x:v>109</x:v>
      </x:c>
      <x:c r="D7" s="3" t="s">
        <x:v>110</x:v>
      </x:c>
    </x:row>
    <x:row r="8" ht="16">
      <x:c r="A8" s="3" t="s">
        <x:v>111</x:v>
      </x:c>
      <x:c r="B8" s="10" t="s">
        <x:v>112</x:v>
      </x:c>
      <x:c r="C8" s="3" t="s">
        <x:v>113</x:v>
      </x:c>
      <x:c r="D8" s="3" t="s">
        <x:v>114</x:v>
      </x:c>
    </x:row>
    <x:row r="9" ht="32">
      <x:c r="A9" s="3" t="s">
        <x:v>115</x:v>
      </x:c>
      <x:c r="B9" s="10" t="s">
        <x:v>116</x:v>
      </x:c>
      <x:c r="C9" s="3" t="s">
        <x:v>117</x:v>
      </x:c>
      <x:c r="D9" s="3" t="s">
        <x:v>118</x:v>
      </x:c>
    </x:row>
    <x:row r="10" ht="32">
      <x:c r="A10" s="3" t="s">
        <x:v>119</x:v>
      </x:c>
      <x:c r="B10" s="10" t="s">
        <x:v>120</x:v>
      </x:c>
      <x:c r="C10" s="3" t="s">
        <x:v>121</x:v>
      </x:c>
      <x:c r="D10" s="3" t="s">
        <x:v>122</x:v>
      </x:c>
    </x:row>
    <x:row r="11" ht="32">
      <x:c r="A11" s="3" t="s">
        <x:v>123</x:v>
      </x:c>
      <x:c r="B11" s="10" t="s">
        <x:v>124</x:v>
      </x:c>
      <x:c r="C11" s="3" t="s">
        <x:v>125</x:v>
      </x:c>
      <x:c r="D11" s="3" t="s">
        <x:v>126</x:v>
      </x:c>
    </x:row>
    <x:row r="12" ht="32">
      <x:c r="A12" s="3" t="s">
        <x:v>127</x:v>
      </x:c>
      <x:c r="B12" s="10" t="s">
        <x:v>128</x:v>
      </x:c>
      <x:c r="C12" s="3" t="s">
        <x:v>129</x:v>
      </x:c>
      <x:c r="D12" s="3" t="s">
        <x:v>130</x:v>
      </x:c>
    </x:row>
    <x:row r="13" ht="16">
      <x:c r="A13" s="3" t="s">
        <x:v>131</x:v>
      </x:c>
      <x:c r="B13" s="10" t="s">
        <x:v>132</x:v>
      </x:c>
      <x:c r="C13" s="3" t="s">
        <x:v>133</x:v>
      </x:c>
      <x:c r="D13" s="3" t="s">
        <x:v>134</x:v>
      </x:c>
    </x:row>
    <x:row r="14" ht="32">
      <x:c r="A14" s="3" t="s">
        <x:v>135</x:v>
      </x:c>
      <x:c r="B14" s="10" t="s">
        <x:v>136</x:v>
      </x:c>
      <x:c r="C14" s="3" t="s">
        <x:v>137</x:v>
      </x:c>
      <x:c r="D14" s="3" t="s">
        <x:v>138</x:v>
      </x:c>
    </x:row>
  </x:sheetData>
  <x:mergeCells>
    <x:mergeCell ref="A1:D1"/>
  </x:mergeCells>
  <x:pageMargins left="0.7" right="0.7" top="0.75" bottom="0.75" header="0.3" footer="0.3"/>
</x:worksheet>
</file>