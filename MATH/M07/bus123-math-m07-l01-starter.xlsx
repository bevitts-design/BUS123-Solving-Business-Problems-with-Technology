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bethanyevittsair2/Documents/GitHub/BUS123-Solving-Business-Problems-with-Technology/MATH/M07/"/>
    </mc:Choice>
  </mc:AlternateContent>
  <xr:revisionPtr revIDLastSave="0" documentId="13_ncr:1_{0EE17BDD-596D-4145-B4D3-A9373CE20D27}" xr6:coauthVersionLast="47" xr6:coauthVersionMax="47" xr10:uidLastSave="{00000000-0000-0000-0000-000000000000}"/>
  <bookViews>
    <workbookView xWindow="0" yWindow="580" windowWidth="25600" windowHeight="16060" tabRatio="500" xr2:uid="{00000000-000D-0000-FFFF-FFFF00000000}"/>
  </bookViews>
  <sheets>
    <sheet name="START HERE" sheetId="1" r:id="rId1"/>
    <sheet name="Sales Tax" sheetId="2" r:id="rId2"/>
    <sheet name="Excise Tax" sheetId="3" r:id="rId3"/>
    <sheet name="Property Tax" sheetId="4" r:id="rId4"/>
    <sheet name="Formula Ref Card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5" i="4" l="1"/>
  <c r="C24" i="4"/>
  <c r="C18" i="4"/>
  <c r="C21" i="4" s="1"/>
  <c r="C28" i="4" s="1"/>
  <c r="C17" i="4"/>
  <c r="C14" i="4"/>
  <c r="C26" i="4" s="1"/>
  <c r="C19" i="3"/>
  <c r="C20" i="3" s="1"/>
  <c r="C15" i="3"/>
  <c r="C14" i="3"/>
  <c r="C16" i="3" s="1"/>
  <c r="C23" i="3" s="1"/>
  <c r="C25" i="2"/>
  <c r="C15" i="2"/>
  <c r="C16" i="2" l="1"/>
  <c r="C17" i="2" s="1"/>
  <c r="C27" i="4"/>
</calcChain>
</file>

<file path=xl/sharedStrings.xml><?xml version="1.0" encoding="utf-8"?>
<sst xmlns="http://schemas.openxmlformats.org/spreadsheetml/2006/main" count="124" uniqueCount="122">
  <si>
    <t>BUS123 · MATH-M07-L01 · Sales, Excise &amp; Property Taxes</t>
  </si>
  <si>
    <t>About This Workbook</t>
  </si>
  <si>
    <t>Course</t>
  </si>
  <si>
    <t>BUS123 — Solving Business Problems with Technology</t>
  </si>
  <si>
    <t>Module</t>
  </si>
  <si>
    <t>MATH-M07 · Lesson 01</t>
  </si>
  <si>
    <t>Topic</t>
  </si>
  <si>
    <t>Sales Tax, Excise Tax, and Property Tax</t>
  </si>
  <si>
    <t>Company</t>
  </si>
  <si>
    <t>Tidal Goods Co. · Meridian Advisory Group</t>
  </si>
  <si>
    <t>Est. Time</t>
  </si>
  <si>
    <t>30–35 minutes in class</t>
  </si>
  <si>
    <t>Learning Objectives</t>
  </si>
  <si>
    <t xml:space="preserve">  ☐  I can compute sales tax with a trade discount and shipping in the correct order.</t>
  </si>
  <si>
    <t xml:space="preserve">  ☐  I can calculate total cost when both excise tax and sales tax apply to one item.</t>
  </si>
  <si>
    <t xml:space="preserve">  ☐  I can perform the full 3-step property tax calculation (assessed value → tax rate → annual tax due).</t>
  </si>
  <si>
    <t xml:space="preserve">  ☐  I can back-calculate actual pre-tax sales from a total-receipts figure.</t>
  </si>
  <si>
    <t>Color Key</t>
  </si>
  <si>
    <t>Yellow cell</t>
  </si>
  <si>
    <t>Your input — enter a value here</t>
  </si>
  <si>
    <t>White formula cell</t>
  </si>
  <si>
    <t>Auto-calculated — do not type here</t>
  </si>
  <si>
    <t>Green result cell</t>
  </si>
  <si>
    <t>Final answer — check your work</t>
  </si>
  <si>
    <t>Navigation</t>
  </si>
  <si>
    <t>→  Sales Tax</t>
  </si>
  <si>
    <t>Tidal Goods Co. order with trade discount + shipping</t>
  </si>
  <si>
    <t>→  Excise Tax</t>
  </si>
  <si>
    <t>Meridian Advisory Group appliance purchase — both taxes</t>
  </si>
  <si>
    <t>→  Property Tax</t>
  </si>
  <si>
    <t>Meridian Advisory Group office — full 3-step calculation</t>
  </si>
  <si>
    <t>→  Formula Ref</t>
  </si>
  <si>
    <t>Quick reference for all formulas used in this module</t>
  </si>
  <si>
    <t>Sales Tax — Tidal Goods Co.</t>
  </si>
  <si>
    <t>Tidal Goods Co. is processing a wholesale order. Enter the given values in the yellow cells, then use formulas to complete the calculation chain.</t>
  </si>
  <si>
    <t>PART A — Sales Tax with Trade Discount &amp; Shipping</t>
  </si>
  <si>
    <t>GIVEN VALUES — enter in yellow cells</t>
  </si>
  <si>
    <t>Retail Price ($)</t>
  </si>
  <si>
    <t>Trade Discount ($)</t>
  </si>
  <si>
    <t>Sales Tax Rate (enter as decimal, e.g. 0.06)</t>
  </si>
  <si>
    <t>Shipping Charge ($)</t>
  </si>
  <si>
    <t>CALCULATIONS — formulas only, no typing</t>
  </si>
  <si>
    <t>Step 1 — Taxable Subtotal ($)</t>
  </si>
  <si>
    <t>Step 2 — Tax Owed ($)</t>
  </si>
  <si>
    <t>Step 3 — Total Price w/Shipping ($)</t>
  </si>
  <si>
    <t>PART B — Back-Calculate Actual Sales from Register Receipts</t>
  </si>
  <si>
    <t>Tidal Goods Co.'s register shows total receipts including tax. Find the actual pre-tax sales.</t>
  </si>
  <si>
    <t>Total Register Receipts (including tax) ($)</t>
  </si>
  <si>
    <t>Tax Rate (enter as decimal)</t>
  </si>
  <si>
    <t>FORMULA</t>
  </si>
  <si>
    <t>Actual Pre-Tax Sales ($)</t>
  </si>
  <si>
    <t>💡 Reflection: What happens to the tax owed (Step 2) if you apply the trade discount AFTER calculating tax instead of before? Why does order matter?</t>
  </si>
  <si>
    <t>Excise Tax — Meridian Advisory Group</t>
  </si>
  <si>
    <t>Meridian Advisory Group is purchasing a commercial appliance for their client hospitality suite. Both sales tax and excise tax apply. Enter given values in yellow cells.</t>
  </si>
  <si>
    <t>PART A — Total Cost with Sales Tax + Excise Tax</t>
  </si>
  <si>
    <t>Base Cost of Appliance ($)</t>
  </si>
  <si>
    <t>Sales Tax Rate (enter as decimal)</t>
  </si>
  <si>
    <t>Excise Tax Rate (enter as decimal)</t>
  </si>
  <si>
    <t>APPROACH 1 — Calculate each tax separately</t>
  </si>
  <si>
    <t>Sales Tax Amount ($)</t>
  </si>
  <si>
    <t>Excise Tax Amount ($)</t>
  </si>
  <si>
    <t>Total Cost — Approach 1 ($)</t>
  </si>
  <si>
    <t>APPROACH 2 — Combined rate shortcut</t>
  </si>
  <si>
    <t>Combined Tax Rate</t>
  </si>
  <si>
    <t>Total Cost — Approach 2 ($)</t>
  </si>
  <si>
    <t>✓ Approaches 1 and 2 should be equal:</t>
  </si>
  <si>
    <t>Do both approaches give the same total?</t>
  </si>
  <si>
    <t>PART B — Excise Tax Concept Check</t>
  </si>
  <si>
    <t>⚠  Common Error: Do NOT apply the second tax to the already-taxed total. Both rates are always calculated from the original base cost. Approach 2 works because adding the rates first is mathematically equivalent.</t>
  </si>
  <si>
    <t>What-if: Change the base cost to $10,000. Do both totals update automatically?</t>
  </si>
  <si>
    <t>Property Tax — Meridian Advisory Group</t>
  </si>
  <si>
    <t>Meridian Advisory Group is evaluating office space. Complete the three-step property tax calculation. Tax rate must be rounded to 4 decimal places.</t>
  </si>
  <si>
    <t>Market Value of Office Property ($)</t>
  </si>
  <si>
    <t>Assessment Rate (enter as decimal, e.g. 0.40)</t>
  </si>
  <si>
    <t>Town's Annual Budget Need ($)</t>
  </si>
  <si>
    <t>Total Assessed Value of All Property in Town ($)</t>
  </si>
  <si>
    <t>STEP 1 — Assessed Value</t>
  </si>
  <si>
    <t>Assessed Value = Assessment Rate × Market Value ($)</t>
  </si>
  <si>
    <t>STEP 2 — Tax Rate  (round to nearest ten-thousandth)</t>
  </si>
  <si>
    <t>Raw Tax Rate (before rounding)</t>
  </si>
  <si>
    <t>Tax Rate Rounded to 4 Decimal Places (ten-thousandths)</t>
  </si>
  <si>
    <t>STEP 3 — Annual Tax Due</t>
  </si>
  <si>
    <t>Annual Property Tax Due ($) = Rounded Tax Rate × Assessed Value</t>
  </si>
  <si>
    <t>SUMMARY</t>
  </si>
  <si>
    <t>Market Value</t>
  </si>
  <si>
    <t>Assessment Rate</t>
  </si>
  <si>
    <t>Assessed Value</t>
  </si>
  <si>
    <t>Tax Rate (4 decimals)</t>
  </si>
  <si>
    <t>Annual Tax Due</t>
  </si>
  <si>
    <t>💡 NNN Lease Alert: If Meridian signs a Triple Net lease instead of owning, this annual tax amount becomes part of their variable rent obligation. A 10% rise in the town's budget need would raise their tax proportionally.</t>
  </si>
  <si>
    <t>Formula Reference Card — MATH-M07-L01</t>
  </si>
  <si>
    <t>Formula / Rule</t>
  </si>
  <si>
    <t>Algebraic Form</t>
  </si>
  <si>
    <t>Excel Syntax</t>
  </si>
  <si>
    <t>Sales Tax — Taxable Subtotal</t>
  </si>
  <si>
    <t>Price − Trade Discount</t>
  </si>
  <si>
    <t>'=Price_Cell - Discount_Cell</t>
  </si>
  <si>
    <t>Sales Tax — Tax Owed</t>
  </si>
  <si>
    <t>Taxable Subtotal × Tax Rate</t>
  </si>
  <si>
    <t>'=Taxable_Cell * Rate_Cell</t>
  </si>
  <si>
    <t>Sales Tax — Total Price</t>
  </si>
  <si>
    <t>Taxable + Tax + Shipping</t>
  </si>
  <si>
    <t>'=Taxable + Tax + Shipping</t>
  </si>
  <si>
    <t>Back-Calculate Actual Sales</t>
  </si>
  <si>
    <t>Total Receipts ÷ (1 + Tax Rate)</t>
  </si>
  <si>
    <t>'=TotalReceipts / (1+Rate)</t>
  </si>
  <si>
    <t>Excise Tax — Each tax separately</t>
  </si>
  <si>
    <t>Base × Sales Rate ; Base × Excise Rate</t>
  </si>
  <si>
    <t>'=Base*SalesRate  |  =Base*ExciseRate</t>
  </si>
  <si>
    <t>Excise Tax — Combined shortcut</t>
  </si>
  <si>
    <t>Base × (1 + Sales Rate + Excise Rate)</t>
  </si>
  <si>
    <t>'=Base*(1+SalesRate+ExciseRate)</t>
  </si>
  <si>
    <t>Property — Assessed Value</t>
  </si>
  <si>
    <t>Assessment Rate × Market Value</t>
  </si>
  <si>
    <t>'=AssessRate * MarketValue</t>
  </si>
  <si>
    <t>Property — Tax Rate</t>
  </si>
  <si>
    <t>Town Budget ÷ Total Assessed Value</t>
  </si>
  <si>
    <t>'=ROUND(Budget/TotalAV, 4)</t>
  </si>
  <si>
    <t>Property — Annual Tax Due</t>
  </si>
  <si>
    <t>Rounded Tax Rate × Assessed Value</t>
  </si>
  <si>
    <t>'=TaxRate * AssessedValue</t>
  </si>
  <si>
    <t>KEY RULE: Tax rate for property tax must ALWAYS be rounded to 4 decimal places (ten-thousandths) using =ROUND(formula, 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</si>
</sst>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.00"/>
    <numFmt numFmtId="165" formatCode="0.0000%"/>
    <numFmt numFmtId="166" formatCode="0.0000"/>
  </numFmts>
  <fonts count="15" x14ac:knownFonts="1">
    <font>
      <sz val="11"/>
      <color theme="1"/>
      <name val="Calibri"/>
      <family val="2"/>
      <charset val="1"/>
    </font>
    <font>
      <b/>
      <sz val="18"/>
      <color rgb="FFFFFFFF"/>
      <name val="Aptos"/>
    </font>
    <font>
      <b/>
      <sz val="12"/>
      <color rgb="FFFFFFFF"/>
      <name val="Aptos"/>
    </font>
    <font>
      <b/>
      <sz val="11"/>
      <color rgb="FF1A1F2C"/>
      <name val="Aptos"/>
    </font>
    <font>
      <sz val="11"/>
      <color rgb="FF1A1F2C"/>
      <name val="Aptos"/>
    </font>
    <font>
      <b/>
      <sz val="11"/>
      <color rgb="FF1A6B3C"/>
      <name val="Aptos"/>
    </font>
    <font>
      <b/>
      <sz val="11"/>
      <color rgb="FFFFFFFF"/>
      <name val="Aptos"/>
    </font>
    <font>
      <b/>
      <sz val="16"/>
      <color rgb="FFFFFFFF"/>
      <name val="Aptos"/>
    </font>
    <font>
      <b/>
      <i/>
      <sz val="10"/>
      <color rgb="FFB8843D"/>
      <name val="Aptos"/>
    </font>
    <font>
      <b/>
      <sz val="11"/>
      <color rgb="FF0A3D6B"/>
      <name val="Aptos"/>
    </font>
    <font>
      <b/>
      <i/>
      <sz val="10"/>
      <color rgb="FF4A7C5E"/>
      <name val="Aptos"/>
    </font>
    <font>
      <sz val="11"/>
      <color rgb="FF1A6B3C"/>
      <name val="Aptos"/>
    </font>
    <font>
      <i/>
      <sz val="10"/>
      <color rgb="FF4A5567"/>
      <name val="Aptos"/>
    </font>
    <font>
      <i/>
      <sz val="10"/>
      <color rgb="FF9C4A2B"/>
      <name val="Aptos"/>
    </font>
    <font>
      <sz val="10"/>
      <color rgb="FF1A6B3C"/>
      <name val="Courier New"/>
      <family val="1"/>
    </font>
  </fonts>
  <fills count="12">
    <fill>
      <patternFill patternType="none"/>
    </fill>
    <fill>
      <patternFill patternType="gray125"/>
    </fill>
    <fill>
      <patternFill patternType="solid">
        <fgColor rgb="FF0E1116"/>
        <bgColor rgb="FF1A1F2C"/>
      </patternFill>
    </fill>
    <fill>
      <patternFill patternType="solid">
        <fgColor rgb="FFB8843D"/>
        <bgColor rgb="FF969696"/>
      </patternFill>
    </fill>
    <fill>
      <patternFill patternType="solid">
        <fgColor rgb="FF4A7C5E"/>
        <bgColor rgb="FF4A5567"/>
      </patternFill>
    </fill>
    <fill>
      <patternFill patternType="solid">
        <fgColor rgb="FFF2EEE5"/>
        <bgColor rgb="FFFAE8E0"/>
      </patternFill>
    </fill>
    <fill>
      <patternFill patternType="solid">
        <fgColor rgb="FFFFD966"/>
        <bgColor rgb="FFFFCC00"/>
      </patternFill>
    </fill>
    <fill>
      <patternFill patternType="solid">
        <fgColor rgb="FFFFFFFF"/>
        <bgColor rgb="FFEBF5F0"/>
      </patternFill>
    </fill>
    <fill>
      <patternFill patternType="solid">
        <fgColor rgb="FFE2EFDA"/>
        <bgColor rgb="FFF2EEE5"/>
      </patternFill>
    </fill>
    <fill>
      <patternFill patternType="solid">
        <fgColor rgb="FFEBF5F0"/>
        <bgColor rgb="FFF2EEE5"/>
      </patternFill>
    </fill>
    <fill>
      <patternFill patternType="solid">
        <fgColor rgb="FFFAE8E0"/>
        <bgColor rgb="FFF2EEE5"/>
      </patternFill>
    </fill>
    <fill>
      <patternFill patternType="solid">
        <fgColor rgb="FF9C4A2B"/>
        <bgColor rgb="FF993366"/>
      </patternFill>
    </fill>
  </fills>
  <borders count="5">
    <border>
      <left/>
      <right/>
      <top/>
      <bottom/>
      <diagonal/>
    </border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  <diagonal/>
    </border>
    <border>
      <left style="thin">
        <color rgb="FFE5E1D6"/>
      </left>
      <right/>
      <top style="thin">
        <color rgb="FFE5E1D6"/>
      </top>
      <bottom style="thin">
        <color rgb="FFE5E1D6"/>
      </bottom>
      <diagonal/>
    </border>
    <border>
      <left style="medium">
        <color rgb="FFB8843D"/>
      </left>
      <right style="medium">
        <color rgb="FFB8843D"/>
      </right>
      <top style="medium">
        <color rgb="FFB8843D"/>
      </top>
      <bottom style="medium">
        <color rgb="FFB8843D"/>
      </bottom>
      <diagonal/>
    </border>
    <border>
      <left style="medium">
        <color rgb="FF9C4A2B"/>
      </left>
      <right/>
      <top style="thin">
        <color rgb="FFE5E1D6"/>
      </top>
      <bottom style="thin">
        <color rgb="FFE5E1D6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6" fillId="11" borderId="2" xfId="0" applyFont="1" applyFill="1" applyBorder="1" applyAlignment="1">
      <alignment horizontal="left" vertical="center" indent="1"/>
    </xf>
    <xf numFmtId="0" fontId="13" fillId="10" borderId="4" xfId="0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12" fillId="9" borderId="2" xfId="0" applyFont="1" applyFill="1" applyBorder="1" applyAlignment="1">
      <alignment horizontal="left" vertical="center" wrapText="1"/>
    </xf>
    <xf numFmtId="0" fontId="7" fillId="2" borderId="0" xfId="0" applyFont="1" applyFill="1" applyAlignment="1">
      <alignment horizontal="center" vertical="center"/>
    </xf>
    <xf numFmtId="0" fontId="4" fillId="5" borderId="2" xfId="0" applyFont="1" applyFill="1" applyBorder="1" applyAlignment="1">
      <alignment horizontal="left" vertical="center" wrapText="1"/>
    </xf>
    <xf numFmtId="0" fontId="2" fillId="4" borderId="0" xfId="0" applyFont="1" applyFill="1" applyAlignment="1">
      <alignment horizontal="left" vertical="center" indent="1"/>
    </xf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164" fontId="9" fillId="6" borderId="1" xfId="0" applyNumberFormat="1" applyFont="1" applyFill="1" applyBorder="1" applyAlignment="1">
      <alignment horizontal="right" vertical="center"/>
    </xf>
    <xf numFmtId="10" fontId="9" fillId="6" borderId="1" xfId="0" applyNumberFormat="1" applyFont="1" applyFill="1" applyBorder="1" applyAlignment="1">
      <alignment horizontal="right" vertical="center"/>
    </xf>
    <xf numFmtId="0" fontId="10" fillId="0" borderId="0" xfId="0" applyFont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164" fontId="11" fillId="7" borderId="1" xfId="0" applyNumberFormat="1" applyFont="1" applyFill="1" applyBorder="1" applyAlignment="1">
      <alignment horizontal="right" vertical="center"/>
    </xf>
    <xf numFmtId="0" fontId="5" fillId="8" borderId="3" xfId="0" applyFont="1" applyFill="1" applyBorder="1" applyAlignment="1">
      <alignment horizontal="left" vertical="center" wrapText="1"/>
    </xf>
    <xf numFmtId="164" fontId="5" fillId="8" borderId="3" xfId="0" applyNumberFormat="1" applyFont="1" applyFill="1" applyBorder="1" applyAlignment="1">
      <alignment horizontal="right" vertical="center"/>
    </xf>
    <xf numFmtId="10" fontId="11" fillId="7" borderId="1" xfId="0" applyNumberFormat="1" applyFont="1" applyFill="1" applyBorder="1" applyAlignment="1">
      <alignment horizontal="right" vertical="center"/>
    </xf>
    <xf numFmtId="165" fontId="11" fillId="7" borderId="1" xfId="0" applyNumberFormat="1" applyFont="1" applyFill="1" applyBorder="1" applyAlignment="1">
      <alignment horizontal="right" vertical="center"/>
    </xf>
    <xf numFmtId="166" fontId="5" fillId="8" borderId="3" xfId="0" applyNumberFormat="1" applyFont="1" applyFill="1" applyBorder="1" applyAlignment="1">
      <alignment horizontal="right" vertical="center"/>
    </xf>
    <xf numFmtId="164" fontId="4" fillId="7" borderId="1" xfId="0" applyNumberFormat="1" applyFont="1" applyFill="1" applyBorder="1" applyAlignment="1">
      <alignment horizontal="right" vertical="center"/>
    </xf>
    <xf numFmtId="166" fontId="4" fillId="7" borderId="1" xfId="0" applyNumberFormat="1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14" fillId="5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14" fillId="7" borderId="1" xfId="0" applyFont="1" applyFill="1" applyBorder="1" applyAlignment="1">
      <alignment horizontal="left" vertical="center" wrapText="1"/>
    </xf>
    <xf numFmtId="10" fontId="4" fillId="7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6B3C"/>
      <rgbColor rgb="FF000080"/>
      <rgbColor rgb="FFB8843D"/>
      <rgbColor rgb="FF800080"/>
      <rgbColor rgb="FF008080"/>
      <rgbColor rgb="FFC0C0C0"/>
      <rgbColor rgb="FF808080"/>
      <rgbColor rgb="FF9999FF"/>
      <rgbColor rgb="FF993366"/>
      <rgbColor rgb="FFF2EEE5"/>
      <rgbColor rgb="FFEBF5F0"/>
      <rgbColor rgb="FF660066"/>
      <rgbColor rgb="FFFF8080"/>
      <rgbColor rgb="FF0066CC"/>
      <rgbColor rgb="FFE5E1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AE8E0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4A5567"/>
      <rgbColor rgb="FF969696"/>
      <rgbColor rgb="FF0A3D6B"/>
      <rgbColor rgb="FF4A7C5E"/>
      <rgbColor rgb="FF0E1116"/>
      <rgbColor rgb="FF333300"/>
      <rgbColor rgb="FF9C4A2B"/>
      <rgbColor rgb="FF993366"/>
      <rgbColor rgb="FF333399"/>
      <rgbColor rgb="FF1A1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59E519B-E1B1-8047-942D-718DE8289C91}">
  <we:reference id="wa200010215" version="2.0.0.0" store="en-US" storeType="OMEX"/>
  <we:alternateReferences>
    <we:reference id="WA200010215" version="2.0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28"/>
  <sheetViews>
    <sheetView showGridLines="0" tabSelected="1" zoomScaleNormal="100" workbookViewId="0"/>
  </sheetViews>
  <sheetFormatPr baseColWidth="10" defaultColWidth="8.6640625" defaultRowHeight="15" x14ac:dyDescent="0.2"/>
  <cols>
    <col min="1" max="1" width="3" customWidth="1"/>
    <col min="2" max="2" width="28" customWidth="1"/>
    <col min="3" max="3" width="52" customWidth="1"/>
    <col min="4" max="4" width="3" customWidth="1"/>
  </cols>
  <sheetData>
    <row r="1" spans="2:3" ht="13.5" customHeight="1" x14ac:dyDescent="0.2"/>
    <row r="2" spans="2:3" ht="51.75" customHeight="1" x14ac:dyDescent="0.2">
      <c r="B2" s="8" t="s">
        <v>0</v>
      </c>
      <c r="C2" s="8"/>
    </row>
    <row r="3" spans="2:3" ht="13.5" customHeight="1" x14ac:dyDescent="0.2"/>
    <row r="4" spans="2:3" ht="6" customHeight="1" x14ac:dyDescent="0.2">
      <c r="B4" s="9"/>
      <c r="C4" s="9"/>
    </row>
    <row r="5" spans="2:3" ht="9.75" customHeight="1" x14ac:dyDescent="0.2"/>
    <row r="6" spans="2:3" ht="27.75" customHeight="1" x14ac:dyDescent="0.2">
      <c r="B6" s="7" t="s">
        <v>1</v>
      </c>
      <c r="C6" s="7"/>
    </row>
    <row r="7" spans="2:3" ht="21.75" customHeight="1" x14ac:dyDescent="0.2">
      <c r="B7" s="10" t="s">
        <v>2</v>
      </c>
      <c r="C7" s="11" t="s">
        <v>3</v>
      </c>
    </row>
    <row r="8" spans="2:3" ht="21.75" customHeight="1" x14ac:dyDescent="0.2">
      <c r="B8" s="10" t="s">
        <v>4</v>
      </c>
      <c r="C8" s="11" t="s">
        <v>5</v>
      </c>
    </row>
    <row r="9" spans="2:3" ht="21.75" customHeight="1" x14ac:dyDescent="0.2">
      <c r="B9" s="10" t="s">
        <v>6</v>
      </c>
      <c r="C9" s="11" t="s">
        <v>7</v>
      </c>
    </row>
    <row r="10" spans="2:3" ht="21.75" customHeight="1" x14ac:dyDescent="0.2">
      <c r="B10" s="10" t="s">
        <v>8</v>
      </c>
      <c r="C10" s="11" t="s">
        <v>9</v>
      </c>
    </row>
    <row r="11" spans="2:3" ht="21.75" customHeight="1" x14ac:dyDescent="0.2">
      <c r="B11" s="10" t="s">
        <v>10</v>
      </c>
      <c r="C11" s="11" t="s">
        <v>11</v>
      </c>
    </row>
    <row r="12" spans="2:3" ht="9.75" customHeight="1" x14ac:dyDescent="0.2"/>
    <row r="13" spans="2:3" ht="27.75" customHeight="1" x14ac:dyDescent="0.2">
      <c r="B13" s="7" t="s">
        <v>12</v>
      </c>
      <c r="C13" s="7"/>
    </row>
    <row r="14" spans="2:3" ht="21.75" customHeight="1" x14ac:dyDescent="0.2">
      <c r="B14" s="6" t="s">
        <v>13</v>
      </c>
      <c r="C14" s="6"/>
    </row>
    <row r="15" spans="2:3" ht="21.75" customHeight="1" x14ac:dyDescent="0.2">
      <c r="B15" s="6" t="s">
        <v>14</v>
      </c>
      <c r="C15" s="6"/>
    </row>
    <row r="16" spans="2:3" ht="21.75" customHeight="1" x14ac:dyDescent="0.2">
      <c r="B16" s="6" t="s">
        <v>15</v>
      </c>
      <c r="C16" s="6"/>
    </row>
    <row r="17" spans="2:3" ht="21.75" customHeight="1" x14ac:dyDescent="0.2">
      <c r="B17" s="6" t="s">
        <v>16</v>
      </c>
      <c r="C17" s="6"/>
    </row>
    <row r="18" spans="2:3" ht="9.75" customHeight="1" x14ac:dyDescent="0.2"/>
    <row r="19" spans="2:3" ht="27.75" customHeight="1" x14ac:dyDescent="0.2">
      <c r="B19" s="7" t="s">
        <v>17</v>
      </c>
      <c r="C19" s="7"/>
    </row>
    <row r="20" spans="2:3" ht="21.75" customHeight="1" x14ac:dyDescent="0.2">
      <c r="B20" s="12" t="s">
        <v>18</v>
      </c>
      <c r="C20" s="11" t="s">
        <v>19</v>
      </c>
    </row>
    <row r="21" spans="2:3" ht="21.75" customHeight="1" x14ac:dyDescent="0.2">
      <c r="B21" s="13" t="s">
        <v>20</v>
      </c>
      <c r="C21" s="11" t="s">
        <v>21</v>
      </c>
    </row>
    <row r="22" spans="2:3" ht="21.75" customHeight="1" x14ac:dyDescent="0.2">
      <c r="B22" s="14" t="s">
        <v>22</v>
      </c>
      <c r="C22" s="11" t="s">
        <v>23</v>
      </c>
    </row>
    <row r="23" spans="2:3" ht="9.75" customHeight="1" x14ac:dyDescent="0.2"/>
    <row r="24" spans="2:3" ht="27.75" customHeight="1" x14ac:dyDescent="0.2">
      <c r="B24" s="7" t="s">
        <v>24</v>
      </c>
      <c r="C24" s="7"/>
    </row>
    <row r="25" spans="2:3" ht="21.75" customHeight="1" x14ac:dyDescent="0.2">
      <c r="B25" s="15" t="s">
        <v>25</v>
      </c>
      <c r="C25" s="11" t="s">
        <v>26</v>
      </c>
    </row>
    <row r="26" spans="2:3" ht="21.75" customHeight="1" x14ac:dyDescent="0.2">
      <c r="B26" s="15" t="s">
        <v>27</v>
      </c>
      <c r="C26" s="11" t="s">
        <v>28</v>
      </c>
    </row>
    <row r="27" spans="2:3" ht="21.75" customHeight="1" x14ac:dyDescent="0.2">
      <c r="B27" s="15" t="s">
        <v>29</v>
      </c>
      <c r="C27" s="11" t="s">
        <v>30</v>
      </c>
    </row>
    <row r="28" spans="2:3" ht="21.75" customHeight="1" x14ac:dyDescent="0.2">
      <c r="B28" s="15" t="s">
        <v>31</v>
      </c>
      <c r="C28" s="11" t="s">
        <v>32</v>
      </c>
    </row>
  </sheetData>
  <mergeCells count="9">
    <mergeCell ref="B16:C16"/>
    <mergeCell ref="B17:C17"/>
    <mergeCell ref="B19:C19"/>
    <mergeCell ref="B24:C24"/>
    <mergeCell ref="B2:C2"/>
    <mergeCell ref="B6:C6"/>
    <mergeCell ref="B13:C13"/>
    <mergeCell ref="B14:C14"/>
    <mergeCell ref="B15:C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C27"/>
  <sheetViews>
    <sheetView showGridLines="0" zoomScaleNormal="100" workbookViewId="0"/>
  </sheetViews>
  <sheetFormatPr baseColWidth="10" defaultColWidth="8.6640625" defaultRowHeight="15" x14ac:dyDescent="0.2"/>
  <cols>
    <col min="1" max="1" width="3" customWidth="1"/>
    <col min="2" max="2" width="34" customWidth="1"/>
    <col min="3" max="3" width="20" customWidth="1"/>
    <col min="4" max="4" width="3" customWidth="1"/>
  </cols>
  <sheetData>
    <row r="1" spans="2:3" ht="13.5" customHeight="1" x14ac:dyDescent="0.2"/>
    <row r="2" spans="2:3" ht="43.5" customHeight="1" x14ac:dyDescent="0.2">
      <c r="B2" s="5" t="s">
        <v>33</v>
      </c>
      <c r="C2" s="5"/>
    </row>
    <row r="3" spans="2:3" ht="6" customHeight="1" x14ac:dyDescent="0.2">
      <c r="B3" s="9"/>
      <c r="C3" s="9"/>
    </row>
    <row r="4" spans="2:3" ht="9.75" customHeight="1" x14ac:dyDescent="0.2"/>
    <row r="5" spans="2:3" ht="21.75" customHeight="1" x14ac:dyDescent="0.2">
      <c r="B5" s="6" t="s">
        <v>34</v>
      </c>
      <c r="C5" s="6"/>
    </row>
    <row r="6" spans="2:3" ht="7.5" customHeight="1" x14ac:dyDescent="0.2"/>
    <row r="7" spans="2:3" ht="27.75" customHeight="1" x14ac:dyDescent="0.2">
      <c r="B7" s="7" t="s">
        <v>35</v>
      </c>
      <c r="C7" s="7"/>
    </row>
    <row r="8" spans="2:3" ht="21.75" customHeight="1" x14ac:dyDescent="0.2">
      <c r="B8" s="16" t="s">
        <v>36</v>
      </c>
    </row>
    <row r="9" spans="2:3" ht="25.5" customHeight="1" x14ac:dyDescent="0.2">
      <c r="B9" s="10" t="s">
        <v>37</v>
      </c>
      <c r="C9" s="17"/>
    </row>
    <row r="10" spans="2:3" ht="25.5" customHeight="1" x14ac:dyDescent="0.2">
      <c r="B10" s="10" t="s">
        <v>38</v>
      </c>
      <c r="C10" s="17"/>
    </row>
    <row r="11" spans="2:3" ht="25.5" customHeight="1" x14ac:dyDescent="0.2">
      <c r="B11" s="10" t="s">
        <v>39</v>
      </c>
      <c r="C11" s="18"/>
    </row>
    <row r="12" spans="2:3" ht="25.5" customHeight="1" x14ac:dyDescent="0.2">
      <c r="B12" s="10" t="s">
        <v>40</v>
      </c>
      <c r="C12" s="17"/>
    </row>
    <row r="13" spans="2:3" ht="7.5" customHeight="1" x14ac:dyDescent="0.2"/>
    <row r="14" spans="2:3" ht="21.75" customHeight="1" x14ac:dyDescent="0.2">
      <c r="B14" s="19" t="s">
        <v>41</v>
      </c>
    </row>
    <row r="15" spans="2:3" ht="25.5" customHeight="1" x14ac:dyDescent="0.2">
      <c r="B15" s="20" t="s">
        <v>42</v>
      </c>
      <c r="C15" s="21">
        <f>C9-C10</f>
        <v>0</v>
      </c>
    </row>
    <row r="16" spans="2:3" ht="25.5" customHeight="1" x14ac:dyDescent="0.2">
      <c r="B16" s="20" t="s">
        <v>43</v>
      </c>
      <c r="C16" s="21">
        <f>C15*C11</f>
        <v>0</v>
      </c>
    </row>
    <row r="17" spans="2:3" ht="25.5" customHeight="1" x14ac:dyDescent="0.2">
      <c r="B17" s="22" t="s">
        <v>44</v>
      </c>
      <c r="C17" s="23">
        <f>C15+C16+C12</f>
        <v>0</v>
      </c>
    </row>
    <row r="18" spans="2:3" ht="9.75" customHeight="1" x14ac:dyDescent="0.2"/>
    <row r="19" spans="2:3" ht="27.75" customHeight="1" x14ac:dyDescent="0.2">
      <c r="B19" s="7" t="s">
        <v>45</v>
      </c>
      <c r="C19" s="7"/>
    </row>
    <row r="20" spans="2:3" ht="21.75" customHeight="1" x14ac:dyDescent="0.2">
      <c r="B20" s="6" t="s">
        <v>46</v>
      </c>
      <c r="C20" s="6"/>
    </row>
    <row r="21" spans="2:3" ht="25.5" customHeight="1" x14ac:dyDescent="0.2">
      <c r="B21" s="10" t="s">
        <v>47</v>
      </c>
      <c r="C21" s="17"/>
    </row>
    <row r="22" spans="2:3" ht="25.5" customHeight="1" x14ac:dyDescent="0.2">
      <c r="B22" s="10" t="s">
        <v>48</v>
      </c>
      <c r="C22" s="18"/>
    </row>
    <row r="23" spans="2:3" ht="7.5" customHeight="1" x14ac:dyDescent="0.2"/>
    <row r="24" spans="2:3" ht="21.75" customHeight="1" x14ac:dyDescent="0.2">
      <c r="B24" s="19" t="s">
        <v>49</v>
      </c>
    </row>
    <row r="25" spans="2:3" ht="25.5" customHeight="1" x14ac:dyDescent="0.2">
      <c r="B25" s="22" t="s">
        <v>50</v>
      </c>
      <c r="C25" s="23">
        <f>C21/(1+C22)</f>
        <v>0</v>
      </c>
    </row>
    <row r="26" spans="2:3" ht="9.75" customHeight="1" x14ac:dyDescent="0.2"/>
    <row r="27" spans="2:3" ht="31.5" customHeight="1" x14ac:dyDescent="0.2">
      <c r="B27" s="4" t="s">
        <v>51</v>
      </c>
      <c r="C27" s="4"/>
    </row>
  </sheetData>
  <mergeCells count="6">
    <mergeCell ref="B27:C27"/>
    <mergeCell ref="B2:C2"/>
    <mergeCell ref="B5:C5"/>
    <mergeCell ref="B7:C7"/>
    <mergeCell ref="B19:C19"/>
    <mergeCell ref="B20:C20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C28"/>
  <sheetViews>
    <sheetView showGridLines="0" zoomScaleNormal="100" workbookViewId="0"/>
  </sheetViews>
  <sheetFormatPr baseColWidth="10" defaultColWidth="8.6640625" defaultRowHeight="15" x14ac:dyDescent="0.2"/>
  <cols>
    <col min="1" max="1" width="3" customWidth="1"/>
    <col min="2" max="2" width="38" customWidth="1"/>
    <col min="3" max="3" width="20" customWidth="1"/>
    <col min="4" max="4" width="3" customWidth="1"/>
  </cols>
  <sheetData>
    <row r="1" spans="2:3" ht="13.5" customHeight="1" x14ac:dyDescent="0.2"/>
    <row r="2" spans="2:3" ht="43.5" customHeight="1" x14ac:dyDescent="0.2">
      <c r="B2" s="5" t="s">
        <v>52</v>
      </c>
      <c r="C2" s="5"/>
    </row>
    <row r="3" spans="2:3" ht="6" customHeight="1" x14ac:dyDescent="0.2">
      <c r="B3" s="9"/>
      <c r="C3" s="9"/>
    </row>
    <row r="4" spans="2:3" ht="9.75" customHeight="1" x14ac:dyDescent="0.2"/>
    <row r="5" spans="2:3" ht="27.75" customHeight="1" x14ac:dyDescent="0.2">
      <c r="B5" s="6" t="s">
        <v>53</v>
      </c>
      <c r="C5" s="6"/>
    </row>
    <row r="6" spans="2:3" ht="7.5" customHeight="1" x14ac:dyDescent="0.2"/>
    <row r="7" spans="2:3" ht="27.75" customHeight="1" x14ac:dyDescent="0.2">
      <c r="B7" s="7" t="s">
        <v>54</v>
      </c>
      <c r="C7" s="7"/>
    </row>
    <row r="8" spans="2:3" ht="21.75" customHeight="1" x14ac:dyDescent="0.2">
      <c r="B8" s="16" t="s">
        <v>36</v>
      </c>
    </row>
    <row r="9" spans="2:3" ht="25.5" customHeight="1" x14ac:dyDescent="0.2">
      <c r="B9" s="10" t="s">
        <v>55</v>
      </c>
      <c r="C9" s="17"/>
    </row>
    <row r="10" spans="2:3" ht="25.5" customHeight="1" x14ac:dyDescent="0.2">
      <c r="B10" s="10" t="s">
        <v>56</v>
      </c>
      <c r="C10" s="18"/>
    </row>
    <row r="11" spans="2:3" ht="25.5" customHeight="1" x14ac:dyDescent="0.2">
      <c r="B11" s="10" t="s">
        <v>57</v>
      </c>
      <c r="C11" s="18"/>
    </row>
    <row r="12" spans="2:3" ht="7.5" customHeight="1" x14ac:dyDescent="0.2"/>
    <row r="13" spans="2:3" ht="21.75" customHeight="1" x14ac:dyDescent="0.2">
      <c r="B13" s="19" t="s">
        <v>58</v>
      </c>
    </row>
    <row r="14" spans="2:3" ht="25.5" customHeight="1" x14ac:dyDescent="0.2">
      <c r="B14" s="20" t="s">
        <v>59</v>
      </c>
      <c r="C14" s="21">
        <f>C9*C10</f>
        <v>0</v>
      </c>
    </row>
    <row r="15" spans="2:3" ht="25.5" customHeight="1" x14ac:dyDescent="0.2">
      <c r="B15" s="20" t="s">
        <v>60</v>
      </c>
      <c r="C15" s="21">
        <f>C9*C11</f>
        <v>0</v>
      </c>
    </row>
    <row r="16" spans="2:3" ht="25.5" customHeight="1" x14ac:dyDescent="0.2">
      <c r="B16" s="22" t="s">
        <v>61</v>
      </c>
      <c r="C16" s="23">
        <f>C9+C14+C15</f>
        <v>0</v>
      </c>
    </row>
    <row r="17" spans="2:3" ht="7.5" customHeight="1" x14ac:dyDescent="0.2"/>
    <row r="18" spans="2:3" ht="21.75" customHeight="1" x14ac:dyDescent="0.2">
      <c r="B18" s="19" t="s">
        <v>62</v>
      </c>
    </row>
    <row r="19" spans="2:3" ht="25.5" customHeight="1" x14ac:dyDescent="0.2">
      <c r="B19" s="20" t="s">
        <v>63</v>
      </c>
      <c r="C19" s="24">
        <f>C10+C11</f>
        <v>0</v>
      </c>
    </row>
    <row r="20" spans="2:3" ht="25.5" customHeight="1" x14ac:dyDescent="0.2">
      <c r="B20" s="22" t="s">
        <v>64</v>
      </c>
      <c r="C20" s="23">
        <f>C9*(1+C19)</f>
        <v>0</v>
      </c>
    </row>
    <row r="21" spans="2:3" ht="7.5" customHeight="1" x14ac:dyDescent="0.2"/>
    <row r="22" spans="2:3" ht="25.5" customHeight="1" x14ac:dyDescent="0.2">
      <c r="B22" s="3" t="s">
        <v>65</v>
      </c>
      <c r="C22" s="3"/>
    </row>
    <row r="23" spans="2:3" ht="25.5" customHeight="1" x14ac:dyDescent="0.2">
      <c r="B23" s="11" t="s">
        <v>66</v>
      </c>
      <c r="C23" s="14" t="str">
        <f>IF(C16=C20,"✓ Yes — correct","✗ Check your formulas")</f>
        <v>✓ Yes — correct</v>
      </c>
    </row>
    <row r="24" spans="2:3" ht="9.75" customHeight="1" x14ac:dyDescent="0.2"/>
    <row r="25" spans="2:3" ht="27.75" customHeight="1" x14ac:dyDescent="0.2">
      <c r="B25" s="7" t="s">
        <v>67</v>
      </c>
      <c r="C25" s="7"/>
    </row>
    <row r="26" spans="2:3" ht="27.75" customHeight="1" x14ac:dyDescent="0.2">
      <c r="B26" s="2" t="s">
        <v>68</v>
      </c>
      <c r="C26" s="2"/>
    </row>
    <row r="27" spans="2:3" ht="9.75" customHeight="1" x14ac:dyDescent="0.2"/>
    <row r="28" spans="2:3" ht="21.75" customHeight="1" x14ac:dyDescent="0.2">
      <c r="B28" s="4" t="s">
        <v>69</v>
      </c>
      <c r="C28" s="4"/>
    </row>
  </sheetData>
  <mergeCells count="7">
    <mergeCell ref="B26:C26"/>
    <mergeCell ref="B28:C28"/>
    <mergeCell ref="B2:C2"/>
    <mergeCell ref="B5:C5"/>
    <mergeCell ref="B7:C7"/>
    <mergeCell ref="B22:C22"/>
    <mergeCell ref="B25:C25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C29"/>
  <sheetViews>
    <sheetView showGridLines="0" zoomScaleNormal="100" workbookViewId="0"/>
  </sheetViews>
  <sheetFormatPr baseColWidth="10" defaultColWidth="8.6640625" defaultRowHeight="15" x14ac:dyDescent="0.2"/>
  <cols>
    <col min="1" max="1" width="3" customWidth="1"/>
    <col min="2" max="2" width="44" customWidth="1"/>
    <col min="3" max="3" width="20" customWidth="1"/>
    <col min="4" max="4" width="3" customWidth="1"/>
  </cols>
  <sheetData>
    <row r="1" spans="2:3" ht="13.5" customHeight="1" x14ac:dyDescent="0.2"/>
    <row r="2" spans="2:3" ht="43.5" customHeight="1" x14ac:dyDescent="0.2">
      <c r="B2" s="5" t="s">
        <v>70</v>
      </c>
      <c r="C2" s="5"/>
    </row>
    <row r="3" spans="2:3" ht="6" customHeight="1" x14ac:dyDescent="0.2">
      <c r="B3" s="9"/>
      <c r="C3" s="9"/>
    </row>
    <row r="4" spans="2:3" ht="9.75" customHeight="1" x14ac:dyDescent="0.2"/>
    <row r="5" spans="2:3" ht="27.75" customHeight="1" x14ac:dyDescent="0.2">
      <c r="B5" s="6" t="s">
        <v>71</v>
      </c>
      <c r="C5" s="6"/>
    </row>
    <row r="6" spans="2:3" ht="7.5" customHeight="1" x14ac:dyDescent="0.2"/>
    <row r="7" spans="2:3" ht="27.75" customHeight="1" x14ac:dyDescent="0.2">
      <c r="B7" s="7" t="s">
        <v>36</v>
      </c>
      <c r="C7" s="7"/>
    </row>
    <row r="8" spans="2:3" ht="25.5" customHeight="1" x14ac:dyDescent="0.2">
      <c r="B8" s="10" t="s">
        <v>72</v>
      </c>
      <c r="C8" s="17"/>
    </row>
    <row r="9" spans="2:3" ht="25.5" customHeight="1" x14ac:dyDescent="0.2">
      <c r="B9" s="10" t="s">
        <v>73</v>
      </c>
      <c r="C9" s="18"/>
    </row>
    <row r="10" spans="2:3" ht="25.5" customHeight="1" x14ac:dyDescent="0.2">
      <c r="B10" s="10" t="s">
        <v>74</v>
      </c>
      <c r="C10" s="17"/>
    </row>
    <row r="11" spans="2:3" ht="25.5" customHeight="1" x14ac:dyDescent="0.2">
      <c r="B11" s="10" t="s">
        <v>75</v>
      </c>
      <c r="C11" s="17"/>
    </row>
    <row r="12" spans="2:3" ht="7.5" customHeight="1" x14ac:dyDescent="0.2"/>
    <row r="13" spans="2:3" ht="27.75" customHeight="1" x14ac:dyDescent="0.2">
      <c r="B13" s="7" t="s">
        <v>76</v>
      </c>
      <c r="C13" s="7"/>
    </row>
    <row r="14" spans="2:3" ht="25.5" customHeight="1" x14ac:dyDescent="0.2">
      <c r="B14" s="22" t="s">
        <v>77</v>
      </c>
      <c r="C14" s="23">
        <f>IFERROR(C9*C8,"")</f>
        <v>0</v>
      </c>
    </row>
    <row r="15" spans="2:3" ht="7.5" customHeight="1" x14ac:dyDescent="0.2"/>
    <row r="16" spans="2:3" ht="27.75" customHeight="1" x14ac:dyDescent="0.2">
      <c r="B16" s="7" t="s">
        <v>78</v>
      </c>
      <c r="C16" s="7"/>
    </row>
    <row r="17" spans="2:3" ht="25.5" customHeight="1" x14ac:dyDescent="0.2">
      <c r="B17" s="20" t="s">
        <v>79</v>
      </c>
      <c r="C17" s="25" t="str">
        <f>IFERROR(C10/C11,"")</f>
        <v/>
      </c>
    </row>
    <row r="18" spans="2:3" ht="25.5" customHeight="1" x14ac:dyDescent="0.2">
      <c r="B18" s="22" t="s">
        <v>80</v>
      </c>
      <c r="C18" s="26" t="str">
        <f>IFERROR(ROUND(C10/C11,4),"")</f>
        <v/>
      </c>
    </row>
    <row r="19" spans="2:3" ht="7.5" customHeight="1" x14ac:dyDescent="0.2"/>
    <row r="20" spans="2:3" ht="27.75" customHeight="1" x14ac:dyDescent="0.2">
      <c r="B20" s="7" t="s">
        <v>81</v>
      </c>
      <c r="C20" s="7"/>
    </row>
    <row r="21" spans="2:3" ht="25.5" customHeight="1" x14ac:dyDescent="0.2">
      <c r="B21" s="22" t="s">
        <v>82</v>
      </c>
      <c r="C21" s="23" t="str">
        <f>IFERROR(C18*C14,"")</f>
        <v/>
      </c>
    </row>
    <row r="22" spans="2:3" ht="9.75" customHeight="1" x14ac:dyDescent="0.2"/>
    <row r="23" spans="2:3" ht="27.75" customHeight="1" x14ac:dyDescent="0.2">
      <c r="B23" s="7" t="s">
        <v>83</v>
      </c>
      <c r="C23" s="7"/>
    </row>
    <row r="24" spans="2:3" ht="21.75" customHeight="1" x14ac:dyDescent="0.2">
      <c r="B24" s="20" t="s">
        <v>84</v>
      </c>
      <c r="C24" s="27">
        <f>IFERROR(C8,"")</f>
        <v>0</v>
      </c>
    </row>
    <row r="25" spans="2:3" ht="21.75" customHeight="1" x14ac:dyDescent="0.2">
      <c r="B25" s="20" t="s">
        <v>85</v>
      </c>
      <c r="C25" s="35">
        <f>IFERROR(C9,"")</f>
        <v>0</v>
      </c>
    </row>
    <row r="26" spans="2:3" ht="21.75" customHeight="1" x14ac:dyDescent="0.2">
      <c r="B26" s="20" t="s">
        <v>86</v>
      </c>
      <c r="C26" s="27">
        <f>IFERROR(C14,"")</f>
        <v>0</v>
      </c>
    </row>
    <row r="27" spans="2:3" ht="21.75" customHeight="1" x14ac:dyDescent="0.2">
      <c r="B27" s="20" t="s">
        <v>87</v>
      </c>
      <c r="C27" s="28" t="str">
        <f>IFERROR(C18,"")</f>
        <v/>
      </c>
    </row>
    <row r="28" spans="2:3" ht="21.75" customHeight="1" x14ac:dyDescent="0.2">
      <c r="B28" s="20" t="s">
        <v>88</v>
      </c>
      <c r="C28" s="27" t="str">
        <f>IFERROR(C21,"")</f>
        <v/>
      </c>
    </row>
    <row r="29" spans="2:3" ht="31.5" customHeight="1" x14ac:dyDescent="0.2">
      <c r="B29" s="4" t="s">
        <v>89</v>
      </c>
      <c r="C29" s="4"/>
    </row>
  </sheetData>
  <mergeCells count="8">
    <mergeCell ref="B20:C20"/>
    <mergeCell ref="B23:C23"/>
    <mergeCell ref="B29:C29"/>
    <mergeCell ref="B2:C2"/>
    <mergeCell ref="B5:C5"/>
    <mergeCell ref="B7:C7"/>
    <mergeCell ref="B13:C13"/>
    <mergeCell ref="B16:C16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D16"/>
  <sheetViews>
    <sheetView showGridLines="0" zoomScaleNormal="100" workbookViewId="0"/>
  </sheetViews>
  <sheetFormatPr baseColWidth="10" defaultColWidth="8.6640625" defaultRowHeight="15" x14ac:dyDescent="0.2"/>
  <cols>
    <col min="1" max="1" width="3" customWidth="1"/>
    <col min="2" max="2" width="32" customWidth="1"/>
    <col min="3" max="3" width="36" customWidth="1"/>
    <col min="4" max="4" width="26" customWidth="1"/>
    <col min="5" max="5" width="3" customWidth="1"/>
  </cols>
  <sheetData>
    <row r="1" spans="2:4" ht="13.5" customHeight="1" x14ac:dyDescent="0.2"/>
    <row r="2" spans="2:4" ht="43.5" customHeight="1" x14ac:dyDescent="0.2">
      <c r="B2" s="5" t="s">
        <v>90</v>
      </c>
      <c r="C2" s="5"/>
      <c r="D2" s="5"/>
    </row>
    <row r="3" spans="2:4" ht="6" customHeight="1" x14ac:dyDescent="0.2">
      <c r="B3" s="9"/>
      <c r="C3" s="9"/>
      <c r="D3" s="9"/>
    </row>
    <row r="4" spans="2:4" ht="9.75" customHeight="1" x14ac:dyDescent="0.2"/>
    <row r="5" spans="2:4" ht="27.75" customHeight="1" x14ac:dyDescent="0.2">
      <c r="B5" s="29" t="s">
        <v>91</v>
      </c>
      <c r="C5" s="29" t="s">
        <v>92</v>
      </c>
      <c r="D5" s="29" t="s">
        <v>93</v>
      </c>
    </row>
    <row r="6" spans="2:4" ht="25.5" customHeight="1" x14ac:dyDescent="0.2">
      <c r="B6" s="30" t="s">
        <v>94</v>
      </c>
      <c r="C6" s="20" t="s">
        <v>95</v>
      </c>
      <c r="D6" s="31" t="s">
        <v>96</v>
      </c>
    </row>
    <row r="7" spans="2:4" ht="25.5" customHeight="1" x14ac:dyDescent="0.2">
      <c r="B7" s="32" t="s">
        <v>97</v>
      </c>
      <c r="C7" s="33" t="s">
        <v>98</v>
      </c>
      <c r="D7" s="34" t="s">
        <v>99</v>
      </c>
    </row>
    <row r="8" spans="2:4" ht="25.5" customHeight="1" x14ac:dyDescent="0.2">
      <c r="B8" s="30" t="s">
        <v>100</v>
      </c>
      <c r="C8" s="20" t="s">
        <v>101</v>
      </c>
      <c r="D8" s="31" t="s">
        <v>102</v>
      </c>
    </row>
    <row r="9" spans="2:4" ht="25.5" customHeight="1" x14ac:dyDescent="0.2">
      <c r="B9" s="32" t="s">
        <v>103</v>
      </c>
      <c r="C9" s="33" t="s">
        <v>104</v>
      </c>
      <c r="D9" s="34" t="s">
        <v>105</v>
      </c>
    </row>
    <row r="10" spans="2:4" ht="25.5" customHeight="1" x14ac:dyDescent="0.2">
      <c r="B10" s="30" t="s">
        <v>106</v>
      </c>
      <c r="C10" s="20" t="s">
        <v>107</v>
      </c>
      <c r="D10" s="31" t="s">
        <v>108</v>
      </c>
    </row>
    <row r="11" spans="2:4" ht="25.5" customHeight="1" x14ac:dyDescent="0.2">
      <c r="B11" s="32" t="s">
        <v>109</v>
      </c>
      <c r="C11" s="33" t="s">
        <v>110</v>
      </c>
      <c r="D11" s="34" t="s">
        <v>111</v>
      </c>
    </row>
    <row r="12" spans="2:4" ht="25.5" customHeight="1" x14ac:dyDescent="0.2">
      <c r="B12" s="30" t="s">
        <v>112</v>
      </c>
      <c r="C12" s="20" t="s">
        <v>113</v>
      </c>
      <c r="D12" s="31" t="s">
        <v>114</v>
      </c>
    </row>
    <row r="13" spans="2:4" ht="25.5" customHeight="1" x14ac:dyDescent="0.2">
      <c r="B13" s="32" t="s">
        <v>115</v>
      </c>
      <c r="C13" s="33" t="s">
        <v>116</v>
      </c>
      <c r="D13" s="34" t="s">
        <v>117</v>
      </c>
    </row>
    <row r="14" spans="2:4" ht="25.5" customHeight="1" x14ac:dyDescent="0.2">
      <c r="B14" s="30" t="s">
        <v>118</v>
      </c>
      <c r="C14" s="20" t="s">
        <v>119</v>
      </c>
      <c r="D14" s="31" t="s">
        <v>120</v>
      </c>
    </row>
    <row r="15" spans="2:4" ht="9.75" customHeight="1" x14ac:dyDescent="0.2"/>
    <row r="16" spans="2:4" ht="27.75" customHeight="1" x14ac:dyDescent="0.2">
      <c r="B16" s="1" t="s">
        <v>121</v>
      </c>
      <c r="C16" s="1"/>
      <c r="D16" s="1"/>
    </row>
  </sheetData>
  <mergeCells count="2">
    <mergeCell ref="B2:D2"/>
    <mergeCell ref="B16:D1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Sales Tax</vt:lpstr>
      <vt:lpstr>Excise Tax</vt:lpstr>
      <vt:lpstr>Property Tax</vt:lpstr>
      <vt:lpstr>Formula Ref Card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Bethany Evitts</cp:lastModifiedBy>
  <cp:revision>0</cp:revision>
  <dcterms:created xsi:type="dcterms:W3CDTF">2026-05-28T16:58:00Z</dcterms:created>
  <dcterms:modified xsi:type="dcterms:W3CDTF">2026-06-09T01:22:27Z</dcterms:modified>
  <dc:language>en-US</dc:language>
</cp:coreProperties>
</file>