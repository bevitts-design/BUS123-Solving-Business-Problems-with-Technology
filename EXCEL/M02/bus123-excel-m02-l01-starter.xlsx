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755c1ce0ea4fd4" /></Relationships>
</file>

<file path=xl/workbook.xml><?xml version="1.0" encoding="utf-8"?>
<x:workbook xmlns:x="http://schemas.openxmlformats.org/spreadsheetml/2006/main">
  <x:sheets>
    <x:sheet xmlns:r="http://schemas.openxmlformats.org/officeDocument/2006/relationships" name="START HERE" sheetId="1" r:id="R7084cf9e024e4cf6"/>
    <x:sheet xmlns:r="http://schemas.openxmlformats.org/officeDocument/2006/relationships" name="Live You Try It" sheetId="2" r:id="R040b26c5961d4bdf"/>
    <x:sheet xmlns:r="http://schemas.openxmlformats.org/officeDocument/2006/relationships" name="Booking Summary" sheetId="3" r:id="R9a53b1b3ebd14a28"/>
    <x:sheet xmlns:r="http://schemas.openxmlformats.org/officeDocument/2006/relationships" name="Formatting Audit" sheetId="4" r:id="R89d895ffb64a4272"/>
    <x:sheet xmlns:r="http://schemas.openxmlformats.org/officeDocument/2006/relationships" name="Class Challenge" sheetId="5" r:id="R1106f78595b9468d"/>
    <x:sheet xmlns:r="http://schemas.openxmlformats.org/officeDocument/2006/relationships" name="FormulaReferenceCard" sheetId="6" r:id="R05e5859c16434912"/>
  </x:sheets>
</x:workbook>
</file>

<file path=xl/sharedStrings.xml><?xml version="1.0" encoding="utf-8"?>
<x:sst xmlns:x="http://schemas.openxmlformats.org/spreadsheetml/2006/main">
  <x:si>
    <x:t xml:space="preserve">BUS123 · EXCEL-M02-L01 · Formatting and Organizing Worksheets</x:t>
  </x:si>
  <x:si>
    <x:t xml:space="preserve">Anchor &amp; Oak Events · Make the worksheet readable, consistent, and decision-ready.</x:t>
  </x:si>
  <x:si>
    <x:t xml:space="preserve">The Scenario</x:t>
  </x:si>
  <x:si>
    <x:t xml:space="preserve">Your Task</x:t>
  </x:si>
  <x:si>
    <x:t xml:space="preserve">Student Workflow</x:t>
  </x:si>
  <x:si>
    <x:t xml:space="preserve">Anchor &amp; Oak Events has exported a booking summary for upcoming events. The numbers are correct, but the worksheet is not ready for a manager: dates are inconsistent, money is unformatted, totals need emphasis, and the reader has to work too hard.</x:t>
  </x:si>
  <x:si>
    <x:t xml:space="preserve">Start with the short Live You Try It practice, then turn the Booking Summary into a manager-ready worksheet. Finish by extracting inputs and calculating final answers on Class Challenge.</x:t>
  </x:si>
  <x:si>
    <x:t xml:space="preserve">1. Complete Live You Try It as self-graded practice.
2. Format Booking Summary.
3. Use Formatting Audit to check readability.
4. Complete Class Challenge final-answer cells for grading.</x:t>
  </x:si>
  <x:si>
    <x:t xml:space="preserve">Learning Objectives</x:t>
  </x:si>
  <x:si>
    <x:t xml:space="preserve">1</x:t>
  </x:si>
  <x:si>
    <x:t xml:space="preserve">Apply number, currency/accounting, percentage, and date formats so a worksheet communicates clearly.</x:t>
  </x:si>
  <x:si>
    <x:t xml:space="preserve">2</x:t>
  </x:si>
  <x:si>
    <x:t xml:space="preserve">Format headers, totals, rows, and columns to guide a reader's eye through data.</x:t>
  </x:si>
  <x:si>
    <x:t xml:space="preserve">3</x:t>
  </x:si>
  <x:si>
    <x:t xml:space="preserve">Use consistent alignment and color rules without decorating for decoration's sake.</x:t>
  </x:si>
  <x:si>
    <x:t xml:space="preserve">4</x:t>
  </x:si>
  <x:si>
    <x:t xml:space="preserve">Identify and fix formatting choices that break sorting, filtering, or trust.</x:t>
  </x:si>
  <x:si>
    <x:t xml:space="preserve">Workbook Color Legend</x:t>
  </x:si>
  <x:si>
    <x:t xml:space="preserve">Yellow</x:t>
  </x:si>
  <x:si>
    <x:t xml:space="preserve">Student input or action area</x:t>
  </x:si>
  <x:si>
    <x:t xml:space="preserve">You enter text, select a status, or make a formatting decision.</x:t>
  </x:si>
  <x:si>
    <x:t xml:space="preserve">Green</x:t>
  </x:si>
  <x:si>
    <x:t xml:space="preserve">Formula or calculated support</x:t>
  </x:si>
  <x:si>
    <x:t xml:space="preserve">The workbook provides a calculation so you can focus on formatting and interpretation.</x:t>
  </x:si>
  <x:si>
    <x:t xml:space="preserve">Blue</x:t>
  </x:si>
  <x:si>
    <x:t xml:space="preserve">Header or section label</x:t>
  </x:si>
  <x:si>
    <x:t xml:space="preserve">Use it to understand the sheet structure.</x:t>
  </x:si>
  <x:si>
    <x:t xml:space="preserve">Terracotta</x:t>
  </x:si>
  <x:si>
    <x:t xml:space="preserve">Warning or watch-out</x:t>
  </x:si>
  <x:si>
    <x:t xml:space="preserve">This marks a formatting choice that can harm trust or usability.</x:t>
  </x:si>
  <x:si>
    <x:t xml:space="preserve">Live You Try It</x:t>
  </x:si>
  <x:si>
    <x:t xml:space="preserve">Enter the slide givens into yellow cells first. Then build formulas that reference those input cells. Feedback cells are self-check practice only; Class Challenge is the graded work.</x:t>
  </x:si>
  <x:si>
    <x:t xml:space="preserve">Pause 1 - Spring Gala net profit</x:t>
  </x:si>
  <x:si>
    <x:t xml:space="preserve">Use the worked example from the formatted booking summary. Enter the slide givens first, then build a formula that references those inputs.</x:t>
  </x:si>
  <x:si>
    <x:t xml:space="preserve">Step</x:t>
  </x:si>
  <x:si>
    <x:t xml:space="preserve">Your Cell</x:t>
  </x:si>
  <x:si>
    <x:t xml:space="preserve">Hint / Check</x:t>
  </x:si>
  <x:si>
    <x:t xml:space="preserve">Feedback</x:t>
  </x:si>
  <x:si>
    <x:t xml:space="preserve">Revenue</x:t>
  </x:si>
  <x:si>
    <x:t xml:space="preserve">Slide given - type this first</x:t>
  </x:si>
  <x:si>
    <x:t xml:space="preserve">Catering</x:t>
  </x:si>
  <x:si>
    <x:t xml:space="preserve">Staffing</x:t>
  </x:si>
  <x:si>
    <x:t xml:space="preserve">Net Profit</x:t>
  </x:si>
  <x:si>
    <x:t xml:space="preserve">Revenue - Catering - Staffing</x:t>
  </x:si>
  <x:si>
    <x:t xml:space="preserve">Pause 2 - Four-event revenue total</x:t>
  </x:si>
  <x:si>
    <x:t xml:space="preserve">Use the revenue values shown on the totals example slide. Enter each value in the yellow cells, then use SUM.</x:t>
  </x:si>
  <x:si>
    <x:t xml:space="preserve">Spring Gala Revenue</x:t>
  </x:si>
  <x:si>
    <x:t xml:space="preserve">Corporate Retreat Revenue</x:t>
  </x:si>
  <x:si>
    <x:t xml:space="preserve">Summer Wedding Revenue</x:t>
  </x:si>
  <x:si>
    <x:t xml:space="preserve">Fall Gala Revenue</x:t>
  </x:si>
  <x:si>
    <x:t xml:space="preserve">Total Revenue</x:t>
  </x:si>
  <x:si>
    <x:t xml:space="preserve">SUM all four yellow revenue cells.</x:t>
  </x:si>
  <x:si>
    <x:t xml:space="preserve">Anchor &amp; Oak Events — Booking Summary</x:t>
  </x:si>
  <x:si>
    <x:t xml:space="preserve">Raw export style: format this into a manager-ready worksheet.</x:t>
  </x:si>
  <x:si>
    <x:t xml:space="preserve">event</x:t>
  </x:si>
  <x:si>
    <x:t xml:space="preserve">date</x:t>
  </x:si>
  <x:si>
    <x:t xml:space="preserve">guests</x:t>
  </x:si>
  <x:si>
    <x:t xml:space="preserve">revenue</x:t>
  </x:si>
  <x:si>
    <x:t xml:space="preserve">catering</x:t>
  </x:si>
  <x:si>
    <x:t xml:space="preserve">staffing</x:t>
  </x:si>
  <x:si>
    <x:t xml:space="preserve">net profit</x:t>
  </x:si>
  <x:si>
    <x:t xml:space="preserve">Student Formatting Checklist</x:t>
  </x:si>
  <x:si>
    <x:t xml:space="preserve">spring gala</x:t>
  </x:si>
  <x:si>
    <x:t xml:space="preserve">Rename lowercase headers into title case.</x:t>
  </x:si>
  <x:si>
    <x:t xml:space="preserve">corporate retreat</x:t>
  </x:si>
  <x:si>
    <x:t xml:space="preserve">Format dates consistently, such as 15-Mar-26.</x:t>
  </x:si>
  <x:si>
    <x:t xml:space="preserve">summer wedding</x:t>
  </x:si>
  <x:si>
    <x:t xml:space="preserve">Format money columns as Currency or Accounting.</x:t>
  </x:si>
  <x:si>
    <x:t xml:space="preserve">fall gala</x:t>
  </x:si>
  <x:si>
    <x:t xml:space="preserve">Right-align numeric columns and left-align event names.</x:t>
  </x:si>
  <x:si>
    <x:t xml:space="preserve">winter fundraiser</x:t>
  </x:si>
  <x:si>
    <x:t xml:space="preserve">5</x:t>
  </x:si>
  <x:si>
    <x:t xml:space="preserve">Make the total row distinct from detail rows.</x:t>
  </x:si>
  <x:si>
    <x:t xml:space="preserve">board appreciation dinner</x:t>
  </x:si>
  <x:si>
    <x:t xml:space="preserve">6</x:t>
  </x:si>
  <x:si>
    <x:t xml:space="preserve">Apply quiet banded rows.</x:t>
  </x:si>
  <x:si>
    <x:t xml:space="preserve">community awards brunch</x:t>
  </x:si>
  <x:si>
    <x:t xml:space="preserve">7</x:t>
  </x:si>
  <x:si>
    <x:t xml:space="preserve">Freeze the top row or freeze panes so labels stay visible.</x:t>
  </x:si>
  <x:si>
    <x:t xml:space="preserve">total</x:t>
  </x:si>
  <x:si>
    <x:t xml:space="preserve">Formatting Audit — 30-Second Manager Test</x:t>
  </x:si>
  <x:si>
    <x:t xml:space="preserve">Use this tab after formatting the Booking Summary.</x:t>
  </x:si>
  <x:si>
    <x:t xml:space="preserve">Audit Item</x:t>
  </x:si>
  <x:si>
    <x:t xml:space="preserve">What to Check</x:t>
  </x:si>
  <x:si>
    <x:t xml:space="preserve">Status</x:t>
  </x:si>
  <x:si>
    <x:t xml:space="preserve">Notes / Evidence</x:t>
  </x:si>
  <x:si>
    <x:t xml:space="preserve">Number meaning is clear</x:t>
  </x:si>
  <x:si>
    <x:t xml:space="preserve">Dates, guest counts, and money columns use formats that signal what each value means.</x:t>
  </x:si>
  <x:si>
    <x:t xml:space="preserve">Headers guide the reader</x:t>
  </x:si>
  <x:si>
    <x:t xml:space="preserve">Headers are readable, consistent, and stronger than the detail rows.</x:t>
  </x:si>
  <x:si>
    <x:t xml:space="preserve">Totals are easy to find</x:t>
  </x:si>
  <x:si>
    <x:t xml:space="preserve">The total row is visually distinct and formulas are still visible/editable.</x:t>
  </x:si>
  <x:si>
    <x:t xml:space="preserve">Color has a job</x:t>
  </x:si>
  <x:si>
    <x:t xml:space="preserve">Color highlights structure or warnings rather than decorating random cells.</x:t>
  </x:si>
  <x:si>
    <x:t xml:space="preserve">Worksheet survives use</x:t>
  </x:si>
  <x:si>
    <x:t xml:space="preserve">The table can be sorted/filtered/scrolled without merged-cell problems or lost labels.</x:t>
  </x:si>
  <x:si>
    <x:t xml:space="preserve">Decision Prompt</x:t>
  </x:si>
  <x:si>
    <x:t xml:space="preserve">Would a manager trust this worksheet in 30 seconds?</x:t>
  </x:si>
  <x:si>
    <x:t xml:space="preserve">Select one</x:t>
  </x:si>
  <x:si>
    <x:t xml:space="preserve">Explain your answer in one or two sentences.</x:t>
  </x:si>
  <x:si>
    <x:t xml:space="preserve">Your Answer</x:t>
  </x:si>
  <x:si>
    <x:t xml:space="preserve">Evidence</x:t>
  </x:si>
  <x:si>
    <x:t xml:space="preserve">Class Challenge - Extract Inputs, Build Results</x:t>
  </x:si>
  <x:si>
    <x:t xml:space="preserve">Read each scenario, extract the required givens into the yellow input cells, then calculate the final answer by referencing those inputs. The final answer cells are the only cells submitted for grading.</x:t>
  </x:si>
  <x:si>
    <x:t xml:space="preserve">Question</x:t>
  </x:si>
  <x:si>
    <x:t xml:space="preserve">Scenario</x:t>
  </x:si>
  <x:si>
    <x:t xml:space="preserve">Input 1</x:t>
  </x:si>
  <x:si>
    <x:t xml:space="preserve">Input 2</x:t>
  </x:si>
  <x:si>
    <x:t xml:space="preserve">Input 3</x:t>
  </x:si>
  <x:si>
    <x:t xml:space="preserve">Input 4</x:t>
  </x:si>
  <x:si>
    <x:t xml:space="preserve">Final Answer</x:t>
  </x:si>
  <x:si>
    <x:t xml:space="preserve">Units</x:t>
  </x:si>
  <x:si>
    <x:t xml:space="preserve">Spring Gala has revenue 4,800, catering 1,820, and staffing 0. Enter those inputs and calculate net profit.</x:t>
  </x:si>
  <x:si>
    <x:t xml:space="preserve">Dollars</x:t>
  </x:si>
  <x:si>
    <x:t xml:space="preserve">Corporate Retreat has revenue 3,200, catering 1,210, and staffing 0. Enter those inputs and calculate net profit.</x:t>
  </x:si>
  <x:si>
    <x:t xml:space="preserve">Summer Wedding has revenue 9,500, catering 3,100, and staffing 890. Enter those inputs and calculate net profit.</x:t>
  </x:si>
  <x:si>
    <x:t xml:space="preserve">Fall Gala has revenue 5,200, catering 1,400, and staffing 510. Enter those inputs and calculate net profit.</x:t>
  </x:si>
  <x:si>
    <x:t xml:space="preserve">The four event revenue values are 4,800, 3,200, 9,500, and 5,200. Enter each value and calculate total revenue.</x:t>
  </x:si>
  <x:si>
    <x:t xml:space="preserve">The four catering values are 1,820, 1,210, 3,100, and 1,400. Enter each value and calculate total catering.</x:t>
  </x:si>
  <x:si>
    <x:t xml:space="preserve">The four staffing values are 0, 0, 890, and 510. Enter each value and calculate total staffing.</x:t>
  </x:si>
  <x:si>
    <x:t xml:space="preserve">The four net profit values are 2,980, 1,990, 5,510, and 3,290. Enter each value and calculate total net profit.</x:t>
  </x:si>
  <x:si>
    <x:t xml:space="preserve">The four guest counts are 120, 55, 200, and 95. Enter each count and calculate total guests.</x:t>
  </x:si>
  <x:si>
    <x:t xml:space="preserve">Guests</x:t>
  </x:si>
  <x:si>
    <x:t xml:space="preserve">Four-event revenue is 22,700 across 4 events. Enter both inputs and calculate average revenue per event.</x:t>
  </x:si>
  <x:si>
    <x:t xml:space="preserve">Four-event net profit is 13,770 across 4 events. Enter both inputs and calculate average net profit per event.</x:t>
  </x:si>
  <x:si>
    <x:t xml:space="preserve">Four-event guest count is 470 across 4 events. Enter both inputs and calculate average guests per event.</x:t>
  </x:si>
  <x:si>
    <x:t xml:space="preserve">Summer Wedding revenue is 9,500 and Spring Gala revenue is 4,800. Enter both values and calculate how much higher Summer Wedding revenue is.</x:t>
  </x:si>
  <x:si>
    <x:t xml:space="preserve">Spring Gala revenue is 4,800 and Corporate Retreat revenue is 3,200. Enter both values and calculate their combined revenue.</x:t>
  </x:si>
  <x:si>
    <x:t xml:space="preserve">The warning threshold is 2,000 and Corporate Retreat net profit is 1,990. Enter both values and calculate the shortfall below the threshold.</x:t>
  </x:si>
  <x:si>
    <x:t xml:space="preserve">Concept</x:t>
  </x:si>
  <x:si>
    <x:t xml:space="preserve">Excel Pattern</x:t>
  </x:si>
  <x:si>
    <x:t xml:space="preserve">Plain-English Meaning</x:t>
  </x:si>
  <x:si>
    <x:t xml:space="preserve">Watch Out For</x:t>
  </x:si>
  <x:si>
    <x:t xml:space="preserve">Total row</x:t>
  </x:si>
  <x:si>
    <x:t xml:space="preserve">=SUM(D2:D5)</x:t>
  </x:si>
  <x:si>
    <x:t xml:space="preserve">Adds detail rows into one formatted total.</x:t>
  </x:si>
  <x:si>
    <x:t xml:space="preserve">Do not hardcode totals.</x:t>
  </x:si>
  <x:si>
    <x:t xml:space="preserve">Percent format</x:t>
  </x:si>
  <x:si>
    <x:t xml:space="preserve">=Part/Total</x:t>
  </x:si>
  <x:si>
    <x:t xml:space="preserve">Shows a share of a whole as a rate.</x:t>
  </x:si>
  <x:si>
    <x:t xml:space="preserve">0.15 displays as 15%; 15 displays as 1500%.</x:t>
  </x:si>
  <x:si>
    <x:t xml:space="preserve">Error-safe formula</x:t>
  </x:si>
  <x:si>
    <x:t xml:space="preserve">=IFERROR(formula,"")</x:t>
  </x:si>
  <x:si>
    <x:t xml:space="preserve">Keeps the sheet readable when an input is missing.</x:t>
  </x:si>
  <x:si>
    <x:t xml:space="preserve">Fix the base formula before hiding errors.</x:t>
  </x:si>
  <x:si>
    <x:t xml:space="preserve">Locked total</x:t>
  </x:si>
  <x:si>
    <x:t xml:space="preserve">=$D$10</x:t>
  </x:si>
  <x:si>
    <x:t xml:space="preserve">Keeps the total fixed when copying formulas.</x:t>
  </x:si>
  <x:si>
    <x:t xml:space="preserve">Use F4 to toggle dollar signs.</x:t>
  </x:si>
</x:sst>
</file>

<file path=xl/styles.xml><?xml version="1.0" encoding="utf-8"?>
<x:styleSheet xmlns:x="http://schemas.openxmlformats.org/spreadsheetml/2006/main">
  <x:numFmts count="5">
    <x:numFmt numFmtId="164" formatCode="\$#,##0"/>
    <x:numFmt numFmtId="165" formatCode="\$#,##0.00"/>
    <x:numFmt numFmtId="166" formatCode="#,##0.0"/>
    <x:numFmt numFmtId="200" formatCode="#,##0"/>
    <x:numFmt numFmtId="201" formatCode="$#,##0"/>
  </x:numFmts>
  <x:fonts count="26">
    <x:font>
      <x:sz val="11"/>
      <x:name val="Carlito"/>
    </x:font>
    <x:font>
      <x:b/>
      <x:sz val="18"/>
      <x:color rgb="FFFFFFFF"/>
      <x:name val="Carlito"/>
    </x:font>
    <x:font>
      <x:i/>
      <x:sz val="11"/>
      <x:color rgb="FFFFFFFF"/>
      <x:name val="Carlito"/>
    </x:font>
    <x:font>
      <x:b/>
      <x:sz val="11"/>
      <x:color rgb="FFFFFFFF"/>
      <x:name val="Carlito"/>
    </x:font>
    <x:font>
      <x:sz val="11"/>
      <x:color rgb="FF111827"/>
      <x:name val="Carlito"/>
    </x:font>
    <x:font>
      <x:b/>
      <x:sz val="11"/>
      <x:color rgb="FF273B4A"/>
      <x:name val="Carlito"/>
    </x:font>
    <x:font>
      <x:b/>
      <x:sz val="11"/>
      <x:color rgb="FF111827"/>
      <x:name val="Carlito"/>
    </x:font>
    <x:font>
      <x:b/>
      <x:sz val="11"/>
      <x:color rgb="FFB8843D"/>
      <x:name val="Carlito"/>
    </x:font>
    <x:font>
      <x:sz val="11"/>
      <x:color rgb="FF1A1F2C"/>
      <x:name val="Carlito"/>
    </x:font>
    <x:font>
      <x:b/>
      <x:sz val="11"/>
      <x:color rgb="FF355773"/>
      <x:name val="Carlito"/>
    </x:font>
    <x:font>
      <x:b/>
      <x:sz val="18"/>
      <x:color rgb="FF0E1116"/>
      <x:name val="Aptos Display"/>
    </x:font>
    <x:font>
      <x:i/>
      <x:sz val="11"/>
      <x:color rgb="FF4A5567"/>
      <x:name val="Aptos"/>
    </x:font>
    <x:font>
      <x:b/>
      <x:sz val="12"/>
      <x:color rgb="FFFFFFFF"/>
      <x:name val="Aptos"/>
    </x:font>
    <x:font>
      <x:sz val="11"/>
      <x:color rgb="FF1A1F2C"/>
      <x:name val="Aptos"/>
    </x:font>
    <x:font>
      <x:b/>
      <x:sz val="11"/>
      <x:color rgb="FFFFFFFF"/>
      <x:name val="Aptos"/>
    </x:font>
    <x:font>
      <x:b/>
      <x:sz val="10"/>
      <x:color rgb="FF1A1F2C"/>
      <x:name val="Aptos"/>
    </x:font>
    <x:font>
      <x:sz val="9"/>
      <x:color rgb="FF4A5567"/>
      <x:name val="Aptos"/>
    </x:font>
    <x:font>
      <x:sz val="10"/>
      <x:color rgb="FF355773"/>
      <x:name val="Aptos Mono"/>
    </x:font>
    <x:font>
      <x:b/>
      <x:sz val="10"/>
      <x:color rgb="FF4A7C5E"/>
      <x:name val="Aptos"/>
    </x:font>
    <x:font>
      <x:b/>
      <x:sz val="11"/>
      <x:color rgb="FF1A1F2C"/>
      <x:name val="Aptos"/>
    </x:font>
    <x:font>
      <x:sz val="11"/>
      <x:color rgb="FF4A5567"/>
      <x:name val="Aptos"/>
    </x:font>
    <x:font>
      <x:sz val="10"/>
      <x:color rgb="FF4A5567"/>
      <x:name val="Aptos"/>
    </x:font>
    <x:font>
      <x:sz val="9"/>
      <x:color rgb="FF4A7C5E"/>
      <x:name val="Aptos"/>
    </x:font>
    <x:font>
      <x:sz val="11"/>
      <x:color rgb="FF4A7C5E"/>
      <x:name val="Aptos"/>
    </x:font>
    <x:font>
      <x:sz val="11"/>
      <x:color rgb="FF355773"/>
      <x:name val="Aptos Mono"/>
    </x:font>
    <x:font>
      <x:b/>
      <x:sz val="11"/>
      <x:color rgb="FF4A7C5E"/>
      <x:name val="Aptos"/>
    </x:font>
  </x:fonts>
  <x:fills count="22">
    <x:fill>
      <x:patternFill patternType="none"/>
    </x:fill>
    <x:fill>
      <x:patternFill patternType="gray125"/>
    </x:fill>
    <x:fill>
      <x:patternFill patternType="solid">
        <x:fgColor rgb="FF273B4A"/>
      </x:patternFill>
    </x:fill>
    <x:fill>
      <x:patternFill patternType="solid">
        <x:fgColor rgb="FF355773"/>
      </x:patternFill>
    </x:fill>
    <x:fill>
      <x:patternFill patternType="solid">
        <x:fgColor rgb="FFFFFFFF"/>
      </x:patternFill>
    </x:fill>
    <x:fill>
      <x:patternFill patternType="solid">
        <x:fgColor rgb="FF89A894"/>
      </x:patternFill>
    </x:fill>
    <x:fill>
      <x:patternFill patternType="solid">
        <x:fgColor rgb="FFFFF4CC"/>
      </x:patternFill>
    </x:fill>
    <x:fill>
      <x:patternFill patternType="solid">
        <x:fgColor rgb="FFEAF3EC"/>
      </x:patternFill>
    </x:fill>
    <x:fill>
      <x:patternFill patternType="solid">
        <x:fgColor rgb="FFFDE2D5"/>
      </x:patternFill>
    </x:fill>
    <x:fill>
      <x:patternFill patternType="solid">
        <x:fgColor rgb="FF0E1116"/>
      </x:patternFill>
    </x:fill>
    <x:fill>
      <x:patternFill patternType="solid">
        <x:fgColor rgb="FFFFFFFF"/>
      </x:patternFill>
    </x:fill>
    <x:fill>
      <x:patternFill patternType="solid">
        <x:fgColor rgb="FFEAF3EC"/>
      </x:patternFill>
    </x:fill>
    <x:fill>
      <x:patternFill patternType="solid">
        <x:fgColor rgb="FFF2EEE5"/>
      </x:patternFill>
    </x:fill>
    <x:fill>
      <x:patternFill patternType="solid">
        <x:fgColor rgb="FFFFFFFF"/>
      </x:patternFill>
    </x:fill>
    <x:fill>
      <x:patternFill patternType="solid">
        <x:fgColor rgb="FF4A7C5E"/>
      </x:patternFill>
    </x:fill>
    <x:fill>
      <x:patternFill patternType="solid">
        <x:fgColor rgb="FFF2EEE5"/>
      </x:patternFill>
    </x:fill>
    <x:fill>
      <x:patternFill patternType="solid">
        <x:fgColor rgb="FF0E1116"/>
      </x:patternFill>
    </x:fill>
    <x:fill>
      <x:patternFill patternType="solid">
        <x:fgColor rgb="FFFFF2CC"/>
      </x:patternFill>
    </x:fill>
    <x:fill>
      <x:patternFill patternType="solid">
        <x:fgColor rgb="FFEAF3EC"/>
      </x:patternFill>
    </x:fill>
    <x:fill>
      <x:patternFill patternType="solid">
        <x:fgColor rgb="FFFFFFFF"/>
      </x:patternFill>
    </x:fill>
    <x:fill>
      <x:patternFill patternType="solid">
        <x:fgColor rgb="FFFFF2CC"/>
      </x:patternFill>
    </x:fill>
    <x:fill>
      <x:patternFill patternType="solid">
        <x:fgColor rgb="FFEAF3EC"/>
      </x:patternFill>
    </x:fill>
  </x:fills>
  <x:borders count="12">
    <x:border/>
    <x:border>
      <x:left style="thin">
        <x:color rgb="FFD1D5DB"/>
      </x:left>
      <x:right style="thin">
        <x:color rgb="FFD1D5DB"/>
      </x:right>
      <x:top style="thin">
        <x:color rgb="FFD1D5DB"/>
      </x:top>
      <x:bottom style="thin">
        <x:color rgb="FFD1D5DB"/>
      </x:bottom>
    </x:border>
    <x:border>
      <x:left style="thin">
        <x:color rgb="FF89A894"/>
      </x:left>
      <x:right style="thin">
        <x:color rgb="FF89A894"/>
      </x:right>
      <x:top style="thin">
        <x:color rgb="FF89A894"/>
      </x:top>
      <x:bottom style="thin">
        <x:color rgb="FF89A894"/>
      </x:bottom>
    </x:border>
    <x:border>
      <x:left style="thin">
        <x:color rgb="FF9CA3AF"/>
      </x:left>
      <x:right style="thin">
        <x:color rgb="FF9CA3AF"/>
      </x:right>
      <x:top style="thin">
        <x:color rgb="FF9CA3AF"/>
      </x:top>
      <x:bottom style="thin">
        <x:color rgb="FF9CA3AF"/>
      </x:bottom>
    </x:border>
    <x:border>
      <x:left style="thin">
        <x:color rgb="FFE5E1D6"/>
      </x:left>
      <x:right style="thin">
        <x:color rgb="FFE5E1D6"/>
      </x:right>
      <x:top style="thin">
        <x:color rgb="FFE5E1D6"/>
      </x:top>
      <x:bottom style="thin">
        <x:color rgb="FFE5E1D6"/>
      </x:bottom>
    </x:border>
    <x:border>
      <x:left style="thin">
        <x:color rgb="FF4A7C5E"/>
      </x:left>
      <x:right style="thin">
        <x:color rgb="FF4A7C5E"/>
      </x:right>
      <x:top style="thin">
        <x:color rgb="FF4A7C5E"/>
      </x:top>
      <x:bottom style="thin">
        <x:color rgb="FF4A7C5E"/>
      </x:bottom>
    </x:border>
    <x:border>
      <x:left style="thin">
        <x:color rgb="FFE5E1D6"/>
      </x:left>
      <x:right style="thin">
        <x:color rgb="FFE5E1D6"/>
      </x:right>
      <x:top style="thin">
        <x:color rgb="FFE5E1D6"/>
      </x:top>
      <x:bottom style="thin">
        <x:color rgb="FFE5E1D6"/>
      </x:bottom>
    </x:border>
    <x:border>
      <x:left style="thin">
        <x:color rgb="FFB8843D"/>
      </x:left>
      <x:right style="thin">
        <x:color rgb="FFB8843D"/>
      </x:right>
      <x:top style="thin">
        <x:color rgb="FFB8843D"/>
      </x:top>
      <x:bottom style="thin">
        <x:color rgb="FFB8843D"/>
      </x:bottom>
    </x:border>
    <x:border>
      <x:top style="thin">
        <x:color rgb="FFE5E1D6"/>
      </x:top>
      <x:bottom style="thin">
        <x:color rgb="FFE5E1D6"/>
      </x:bottom>
    </x:border>
    <x:border>
      <x:right style="thin">
        <x:color rgb="FFE5E1D6"/>
      </x:right>
      <x:top style="thin">
        <x:color rgb="FFE5E1D6"/>
      </x:top>
      <x:bottom style="thin">
        <x:color rgb="FFE5E1D6"/>
      </x:bottom>
    </x:border>
    <x:border>
      <x:top style="thin">
        <x:color rgb="FF4A7C5E"/>
      </x:top>
      <x:bottom style="thin">
        <x:color rgb="FF4A7C5E"/>
      </x:bottom>
    </x:border>
    <x:border>
      <x:right style="thin">
        <x:color rgb="FF4A7C5E"/>
      </x:right>
      <x:top style="thin">
        <x:color rgb="FF4A7C5E"/>
      </x:top>
      <x:bottom style="thin">
        <x:color rgb="FF4A7C5E"/>
      </x:bottom>
    </x:border>
  </x:borders>
  <x:cellStyleXfs count="1">
    <x:xf numFmtId="0" fontId="0" fillId="0" borderId="0"/>
  </x:cellStyleXfs>
  <x:cellXfs count="87">
    <x:xf numFmtId="0" fontId="0" fillId="0" borderId="0" xfId="0"/>
    <x:xf numFmtId="0" fontId="1" fillId="2" borderId="0" xfId="0" applyFont="1" applyFill="1" applyAlignment="1">
      <x:alignment horizontal="left" vertical="center"/>
    </x:xf>
    <x:xf numFmtId="0" fontId="2" fillId="3" borderId="0" xfId="0" applyFont="1" applyFill="1" applyAlignment="1">
      <x:alignment wrapText="1"/>
    </x:xf>
    <x:xf numFmtId="0" fontId="3" fillId="3" borderId="1" xfId="0" applyFont="1" applyFill="1" applyBorder="1" applyAlignment="1">
      <x:alignment horizontal="center" vertical="center" wrapText="1"/>
    </x:xf>
    <x:xf numFmtId="0" fontId="4" fillId="4" borderId="1" xfId="0" applyFont="1" applyFill="1" applyBorder="1" applyAlignment="1">
      <x:alignment vertical="center"/>
    </x:xf>
    <x:xf numFmtId="0" fontId="4" fillId="4" borderId="1" xfId="0" applyFont="1" applyFill="1" applyBorder="1" applyAlignment="1">
      <x:alignment vertical="top" wrapText="1"/>
    </x:xf>
    <x:xf numFmtId="0" fontId="3" fillId="5" borderId="2" xfId="0" applyFont="1" applyFill="1" applyBorder="1"/>
    <x:xf numFmtId="0" fontId="5" fillId="4" borderId="1" xfId="0" applyFont="1" applyFill="1" applyBorder="1" applyAlignment="1">
      <x:alignment horizontal="center" vertical="center"/>
    </x:xf>
    <x:xf numFmtId="0" fontId="6" fillId="6" borderId="1" xfId="0" applyFont="1" applyFill="1" applyBorder="1" applyAlignment="1">
      <x:alignment vertical="center"/>
    </x:xf>
    <x:xf numFmtId="0" fontId="6" fillId="7" borderId="1" xfId="0" applyFont="1" applyFill="1" applyBorder="1" applyAlignment="1">
      <x:alignment vertical="center"/>
    </x:xf>
    <x:xf numFmtId="0" fontId="3" fillId="3" borderId="1" xfId="0" applyFont="1" applyFill="1" applyBorder="1" applyAlignment="1">
      <x:alignment vertical="center"/>
    </x:xf>
    <x:xf numFmtId="0" fontId="6" fillId="8" borderId="1" xfId="0" applyFont="1" applyFill="1" applyBorder="1" applyAlignment="1">
      <x:alignment vertical="center"/>
    </x:xf>
    <x:xf numFmtId="0" fontId="5" fillId="7" borderId="3" xfId="0" applyFont="1" applyFill="1" applyBorder="1"/>
    <x:xf numFmtId="0" fontId="5" fillId="7" borderId="3" xfId="0" applyFont="1" applyFill="1" applyBorder="1" applyAlignment="1">
      <x:alignment vertical="center"/>
    </x:xf>
    <x:xf numFmtId="0" fontId="6" fillId="4" borderId="1" xfId="0" applyFont="1" applyFill="1" applyBorder="1" applyAlignment="1">
      <x:alignment horizontal="center" vertical="center"/>
    </x:xf>
    <x:xf numFmtId="0" fontId="4" fillId="6" borderId="1" xfId="0" applyFont="1" applyFill="1" applyBorder="1" applyAlignment="1">
      <x:alignment vertical="top" wrapText="1"/>
    </x:xf>
    <x:xf numFmtId="0" fontId="7" fillId="9" borderId="4" xfId="0" applyFont="1" applyFill="1" applyBorder="1" applyAlignment="1">
      <x:alignment wrapText="1"/>
    </x:xf>
    <x:xf numFmtId="0" fontId="8" fillId="10" borderId="4" xfId="0" applyFont="1" applyFill="1" applyBorder="1" applyAlignment="1">
      <x:alignment wrapText="1"/>
    </x:xf>
    <x:xf numFmtId="0" fontId="9" fillId="11" borderId="4" xfId="0" applyFont="1" applyFill="1" applyBorder="1" applyAlignment="1">
      <x:alignment wrapText="1"/>
    </x:xf>
    <x:xf numFmtId="0" fontId="8" fillId="12" borderId="4" xfId="0" applyFont="1" applyFill="1" applyBorder="1" applyAlignment="1">
      <x:alignment wrapText="1"/>
    </x:xf>
    <x:xf numFmtId="0" fontId="14" fillId="16" borderId="7" xfId="0" applyFont="1" applyFill="1" applyBorder="1" applyAlignment="1">
      <x:alignment horizontal="center" vertical="center" wrapText="1"/>
    </x:xf>
    <x:xf numFmtId="0" fontId="15" fillId="0" borderId="6" xfId="0" applyFont="1" applyBorder="1" applyAlignment="1">
      <x:alignment horizontal="left" vertical="center" wrapText="1"/>
    </x:xf>
    <x:xf numFmtId="3" fontId="13" fillId="17" borderId="7" xfId="0" applyNumberFormat="1" applyFont="1" applyFill="1" applyBorder="1" applyAlignment="1">
      <x:alignment horizontal="right" vertical="center"/>
    </x:xf>
    <x:xf numFmtId="0" fontId="16" fillId="0" borderId="6" xfId="0" applyFont="1" applyBorder="1" applyAlignment="1">
      <x:alignment horizontal="left" vertical="center" wrapText="1"/>
    </x:xf>
    <x:xf numFmtId="164" fontId="13" fillId="18" borderId="5" xfId="0" applyNumberFormat="1" applyFont="1" applyFill="1" applyBorder="1" applyAlignment="1">
      <x:alignment horizontal="right" vertical="center"/>
    </x:xf>
    <x:xf numFmtId="0" fontId="17" fillId="18" borderId="5" xfId="0" applyFont="1" applyFill="1" applyBorder="1" applyAlignment="1">
      <x:alignment horizontal="left" vertical="center" wrapText="1"/>
    </x:xf>
    <x:xf numFmtId="0" fontId="18" fillId="13" borderId="6" xfId="0" applyFont="1" applyFill="1" applyBorder="1" applyAlignment="1">
      <x:alignment horizontal="left" vertical="center" wrapText="1"/>
    </x:xf>
    <x:xf numFmtId="165" fontId="13" fillId="18" borderId="5" xfId="0" applyNumberFormat="1" applyFont="1" applyFill="1" applyBorder="1" applyAlignment="1">
      <x:alignment horizontal="right" vertical="center"/>
    </x:xf>
    <x:xf numFmtId="0" fontId="15" fillId="0" borderId="6" xfId="0" applyFont="1" applyBorder="1" applyAlignment="1">
      <x:alignment horizontal="center" vertical="center" wrapText="1"/>
    </x:xf>
    <x:xf numFmtId="0" fontId="13" fillId="0" borderId="6" xfId="0" applyFont="1" applyBorder="1" applyAlignment="1">
      <x:alignment vertical="top" wrapText="1"/>
    </x:xf>
    <x:xf numFmtId="164" fontId="13" fillId="17" borderId="7" xfId="0" applyNumberFormat="1" applyFont="1" applyFill="1" applyBorder="1" applyAlignment="1">
      <x:alignment horizontal="right" vertical="center"/>
    </x:xf>
    <x:xf numFmtId="0" fontId="16" fillId="0" borderId="6" xfId="0" applyFont="1" applyBorder="1" applyAlignment="1">
      <x:alignment horizontal="center" vertical="center" wrapText="1"/>
    </x:xf>
    <x:xf numFmtId="3" fontId="13" fillId="18" borderId="5" xfId="0" applyNumberFormat="1" applyFont="1" applyFill="1" applyBorder="1" applyAlignment="1">
      <x:alignment horizontal="right" vertical="center"/>
    </x:xf>
    <x:xf numFmtId="166" fontId="13" fillId="18" borderId="5" xfId="0" applyNumberFormat="1" applyFont="1" applyFill="1" applyBorder="1" applyAlignment="1">
      <x:alignment horizontal="right" vertical="center"/>
    </x:xf>
    <x:xf numFmtId="0" fontId="12" fillId="14" borderId="5" xfId="0" applyFont="1" applyFill="1" applyBorder="1" applyAlignment="1">
      <x:alignment horizontal="left" vertical="center" wrapText="1"/>
    </x:xf>
    <x:xf numFmtId="0" fontId="0" fillId="0" borderId="10" xfId="0" applyBorder="1"/>
    <x:xf numFmtId="0" fontId="0" fillId="0" borderId="11" xfId="0" applyBorder="1"/>
    <x:xf numFmtId="0" fontId="13" fillId="15" borderId="6" xfId="0" applyFont="1" applyFill="1" applyBorder="1" applyAlignment="1">
      <x:alignment vertical="top" wrapText="1"/>
    </x:xf>
    <x:xf numFmtId="0" fontId="0" fillId="0" borderId="8" xfId="0" applyBorder="1"/>
    <x:xf numFmtId="0" fontId="0" fillId="0" borderId="9" xfId="0" applyBorder="1"/>
    <x:xf numFmtId="0" fontId="11" fillId="0" borderId="0" xfId="0" applyFont="1" applyAlignment="1">
      <x:alignment vertical="top" wrapText="1"/>
    </x:xf>
    <x:xf numFmtId="0" fontId="0" fillId="0" borderId="0" xfId="0"/>
    <x:xf numFmtId="0" fontId="10" fillId="13" borderId="0" xfId="0" applyFont="1" applyFill="1" applyAlignment="1">
      <x:alignment horizontal="left" vertical="center" wrapText="1"/>
    </x:xf>
    <x:xf numFmtId="0" fontId="11" fillId="15" borderId="6" xfId="0" applyFont="1" applyFill="1" applyBorder="1" applyAlignment="1">
      <x:alignment vertical="top" wrapText="1"/>
    </x:xf>
    <x:xf numFmtId="0" fontId="10" fillId="0" borderId="0" xfId="0" applyFont="1" applyAlignment="1">
      <x:alignment horizontal="left" vertical="center" wrapText="1"/>
    </x:xf>
    <x:xf numFmtId="0" fontId="15" fillId="19" borderId="4" xfId="0" applyNumberFormat="1" applyFont="1" applyFill="1" applyBorder="1" applyAlignment="1">
      <x:alignment horizontal="left" vertical="center" wrapText="1"/>
    </x:xf>
    <x:xf numFmtId="0" fontId="0" fillId="19" borderId="0" xfId="0" applyNumberFormat="1" applyFont="1" applyFill="1" applyBorder="1"/>
    <x:xf numFmtId="0" fontId="19" fillId="19" borderId="0" xfId="0" applyNumberFormat="1" applyFont="1" applyFill="1" applyBorder="1"/>
    <x:xf numFmtId="0" fontId="19" fillId="19" borderId="4" xfId="0" applyNumberFormat="1" applyFont="1" applyFill="1" applyBorder="1"/>
    <x:xf numFmtId="0" fontId="19" fillId="19" borderId="4" xfId="0" applyNumberFormat="1" applyFont="1" applyFill="1" applyBorder="1" applyAlignment="1">
      <x:alignment wrapText="1"/>
    </x:xf>
    <x:xf numFmtId="0" fontId="19" fillId="19" borderId="4" xfId="0" applyNumberFormat="1" applyFont="1" applyFill="1" applyBorder="1" applyAlignment="1">
      <x:alignment horizontal="left" wrapText="1"/>
    </x:xf>
    <x:xf numFmtId="3" fontId="13" fillId="20" borderId="7" xfId="0" applyNumberFormat="1" applyFont="1" applyFill="1" applyBorder="1" applyAlignment="1">
      <x:alignment horizontal="right" vertical="center"/>
    </x:xf>
    <x:xf numFmtId="0" fontId="0" fillId="20" borderId="0" xfId="0" applyNumberFormat="1" applyFont="1" applyFill="1" applyBorder="1"/>
    <x:xf numFmtId="165" fontId="13" fillId="20" borderId="5" xfId="0" applyNumberFormat="1" applyFont="1" applyFill="1" applyBorder="1" applyAlignment="1">
      <x:alignment horizontal="right" vertical="center"/>
    </x:xf>
    <x:xf numFmtId="0" fontId="13" fillId="20" borderId="0" xfId="0" applyNumberFormat="1" applyFont="1" applyFill="1" applyBorder="1"/>
    <x:xf numFmtId="0" fontId="13" fillId="20" borderId="7" xfId="0" applyNumberFormat="1" applyFont="1" applyFill="1" applyBorder="1"/>
    <x:xf numFmtId="165" fontId="13" fillId="20" borderId="7" xfId="0" applyNumberFormat="1" applyFont="1" applyFill="1" applyBorder="1" applyAlignment="1">
      <x:alignment horizontal="right" vertical="center"/>
    </x:xf>
    <x:xf numFmtId="200" fontId="13" fillId="20" borderId="7" xfId="0" applyNumberFormat="1" applyFont="1" applyFill="1" applyBorder="1" applyAlignment="1">
      <x:alignment horizontal="right" vertical="center"/>
    </x:xf>
    <x:xf numFmtId="200" fontId="13" fillId="20" borderId="7" xfId="0" applyNumberFormat="1" applyFont="1" applyFill="1" applyBorder="1"/>
    <x:xf numFmtId="200" fontId="13" fillId="20" borderId="7" xfId="0" applyNumberFormat="1" applyFont="1" applyFill="1" applyBorder="1" applyAlignment="1">
      <x:alignment horizontal="right"/>
    </x:xf>
    <x:xf numFmtId="0" fontId="16" fillId="19" borderId="4" xfId="0" applyNumberFormat="1" applyFont="1" applyFill="1" applyBorder="1" applyAlignment="1">
      <x:alignment horizontal="left" vertical="center" wrapText="1"/>
    </x:xf>
    <x:xf numFmtId="0" fontId="17" fillId="19" borderId="5" xfId="0" applyNumberFormat="1" applyFont="1" applyFill="1" applyBorder="1" applyAlignment="1">
      <x:alignment horizontal="left" vertical="center" wrapText="1"/>
    </x:xf>
    <x:xf numFmtId="0" fontId="20" fillId="19" borderId="0" xfId="0" applyNumberFormat="1" applyFont="1" applyFill="1" applyBorder="1"/>
    <x:xf numFmtId="0" fontId="21" fillId="19" borderId="5" xfId="0" applyNumberFormat="1" applyFont="1" applyFill="1" applyBorder="1" applyAlignment="1">
      <x:alignment horizontal="left" vertical="center" wrapText="1"/>
    </x:xf>
    <x:xf numFmtId="0" fontId="20" fillId="19" borderId="4" xfId="0" applyNumberFormat="1" applyFont="1" applyFill="1" applyBorder="1"/>
    <x:xf numFmtId="0" fontId="21" fillId="19" borderId="4" xfId="0" applyNumberFormat="1" applyFont="1" applyFill="1" applyBorder="1" applyAlignment="1">
      <x:alignment horizontal="left" vertical="center" wrapText="1"/>
    </x:xf>
    <x:xf numFmtId="0" fontId="20" fillId="19" borderId="4" xfId="0" applyNumberFormat="1" applyFont="1" applyFill="1" applyBorder="1" applyAlignment="1">
      <x:alignment wrapText="1"/>
    </x:xf>
    <x:xf numFmtId="0" fontId="20" fillId="19" borderId="4" xfId="0" applyNumberFormat="1" applyFont="1" applyFill="1" applyBorder="1" applyAlignment="1">
      <x:alignment horizontal="left" wrapText="1"/>
    </x:xf>
    <x:xf numFmtId="0" fontId="18" fillId="19" borderId="4" xfId="0" applyNumberFormat="1" applyFont="1" applyFill="1" applyBorder="1" applyAlignment="1">
      <x:alignment horizontal="left" vertical="center" wrapText="1"/>
    </x:xf>
    <x:xf numFmtId="0" fontId="22" fillId="19" borderId="4" xfId="0" applyNumberFormat="1" applyFont="1" applyFill="1" applyBorder="1" applyAlignment="1">
      <x:alignment horizontal="left" vertical="center" wrapText="1"/>
    </x:xf>
    <x:xf numFmtId="0" fontId="23" fillId="19" borderId="0" xfId="0" applyNumberFormat="1" applyFont="1" applyFill="1" applyBorder="1"/>
    <x:xf numFmtId="0" fontId="23" fillId="19" borderId="4" xfId="0" applyNumberFormat="1" applyFont="1" applyFill="1" applyBorder="1"/>
    <x:xf numFmtId="0" fontId="23" fillId="19" borderId="4" xfId="0" applyNumberFormat="1" applyFont="1" applyFill="1" applyBorder="1" applyAlignment="1">
      <x:alignment wrapText="1"/>
    </x:xf>
    <x:xf numFmtId="0" fontId="23" fillId="19" borderId="4" xfId="0" applyNumberFormat="1" applyFont="1" applyFill="1" applyBorder="1" applyAlignment="1">
      <x:alignment horizontal="left" wrapText="1"/>
    </x:xf>
    <x:xf numFmtId="0" fontId="0" fillId="21" borderId="0" xfId="0" applyNumberFormat="1" applyFont="1" applyFill="1" applyBorder="1"/>
    <x:xf numFmtId="0" fontId="13" fillId="21" borderId="0" xfId="0" applyNumberFormat="1" applyFont="1" applyFill="1" applyBorder="1"/>
    <x:xf numFmtId="0" fontId="13" fillId="21" borderId="5" xfId="0" applyNumberFormat="1" applyFont="1" applyFill="1" applyBorder="1"/>
    <x:xf numFmtId="201" fontId="13" fillId="21" borderId="5" xfId="0" applyNumberFormat="1" applyFont="1" applyFill="1" applyBorder="1"/>
    <x:xf numFmtId="201" fontId="13" fillId="21" borderId="5" xfId="0" applyNumberFormat="1" applyFont="1" applyFill="1" applyBorder="1" applyAlignment="1">
      <x:alignment horizontal="right"/>
    </x:xf>
    <x:xf numFmtId="0" fontId="24" fillId="21" borderId="0" xfId="0" applyNumberFormat="1" applyFont="1" applyFill="1" applyBorder="1"/>
    <x:xf numFmtId="0" fontId="24" fillId="21" borderId="5" xfId="0" applyNumberFormat="1" applyFont="1" applyFill="1" applyBorder="1"/>
    <x:xf numFmtId="0" fontId="24" fillId="21" borderId="5" xfId="0" applyNumberFormat="1" applyFont="1" applyFill="1" applyBorder="1" applyAlignment="1">
      <x:alignment wrapText="1"/>
    </x:xf>
    <x:xf numFmtId="0" fontId="24" fillId="21" borderId="5" xfId="0" applyNumberFormat="1" applyFont="1" applyFill="1" applyBorder="1" applyAlignment="1">
      <x:alignment horizontal="left" wrapText="1"/>
    </x:xf>
    <x:xf numFmtId="0" fontId="25" fillId="19" borderId="0" xfId="0" applyNumberFormat="1" applyFont="1" applyFill="1" applyBorder="1"/>
    <x:xf numFmtId="0" fontId="25" fillId="19" borderId="4" xfId="0" applyNumberFormat="1" applyFont="1" applyFill="1" applyBorder="1"/>
    <x:xf numFmtId="0" fontId="25" fillId="19" borderId="4" xfId="0" applyNumberFormat="1" applyFont="1" applyFill="1" applyBorder="1" applyAlignment="1">
      <x:alignment wrapText="1"/>
    </x:xf>
    <x:xf numFmtId="0" fontId="25" fillId="19" borderId="4" xfId="0" applyNumberFormat="1" applyFont="1" applyFill="1" applyBorder="1" applyAlignment="1">
      <x:alignment horizontal="lef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f0f2671b1824d6a" /><Relationship Type="http://schemas.openxmlformats.org/officeDocument/2006/relationships/theme" Target="/xl/theme/theme1.xml" Id="R9cfb1262e6fa40b8" /><Relationship Type="http://schemas.openxmlformats.org/officeDocument/2006/relationships/sharedStrings" Target="/xl/sharedStrings.xml" Id="R39ff2149747b4bd1" /><Relationship Type="http://schemas.openxmlformats.org/officeDocument/2006/relationships/worksheet" Target="/xl/worksheets/sheet1.xml" Id="R7084cf9e024e4cf6" /><Relationship Type="http://schemas.openxmlformats.org/officeDocument/2006/relationships/worksheet" Target="/xl/worksheets/sheet2.xml" Id="R040b26c5961d4bdf" /><Relationship Type="http://schemas.openxmlformats.org/officeDocument/2006/relationships/worksheet" Target="/xl/worksheets/sheet3.xml" Id="R9a53b1b3ebd14a28" /><Relationship Type="http://schemas.openxmlformats.org/officeDocument/2006/relationships/worksheet" Target="/xl/worksheets/sheet4.xml" Id="R89d895ffb64a4272" /><Relationship Type="http://schemas.openxmlformats.org/officeDocument/2006/relationships/worksheet" Target="/xl/worksheets/sheet5.xml" Id="R1106f78595b9468d" /><Relationship Type="http://schemas.openxmlformats.org/officeDocument/2006/relationships/worksheet" Target="/xl/worksheets/sheet6.xml" Id="R05e5859c164349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10" defaultColWidth="8.83203125" defaultRowHeight="14"/>
  <x:cols>
    <x:col min="2" max="2" width="58.5" customWidth="1"/>
    <x:col min="3" max="3" width="120.5" customWidth="1"/>
    <x:col min="4" max="4" width="64.1640625" customWidth="1"/>
  </x:cols>
  <x:sheetData>
    <x:row r="2" ht="21.5" customHeight="1">
      <x:c r="B2" s="1" t="s">
        <x:v>0</x:v>
      </x:c>
    </x:row>
    <x:row r="3" ht="15" customHeight="1">
      <x:c r="B3" s="2" t="s">
        <x:v>1</x:v>
      </x:c>
    </x:row>
    <x:row r="5" ht="15" customHeight="1">
      <x:c r="B5" s="3" t="s">
        <x:v>2</x:v>
      </x:c>
      <x:c r="C5" s="3" t="s">
        <x:v>3</x:v>
      </x:c>
      <x:c r="D5" s="3" t="s">
        <x:v>4</x:v>
      </x:c>
    </x:row>
    <x:row r="6" ht="96" customHeight="1">
      <x:c r="B6" s="5" t="s">
        <x:v>5</x:v>
      </x:c>
      <x:c r="C6" s="5" t="s">
        <x:v>6</x:v>
      </x:c>
      <x:c r="D6" s="5" t="s">
        <x:v>7</x:v>
      </x:c>
    </x:row>
    <x:row r="13" ht="15" customHeight="1">
      <x:c r="B13" s="6" t="s">
        <x:v>8</x:v>
      </x:c>
    </x:row>
    <x:row r="14" ht="15" customHeight="1">
      <x:c r="B14" s="7" t="s">
        <x:v>9</x:v>
      </x:c>
      <x:c r="C14" s="4" t="s">
        <x:v>10</x:v>
      </x:c>
      <x:c r="D14" s="4"/>
    </x:row>
    <x:row r="15" ht="15" customHeight="1">
      <x:c r="B15" s="7" t="s">
        <x:v>11</x:v>
      </x:c>
      <x:c r="C15" s="4" t="s">
        <x:v>12</x:v>
      </x:c>
      <x:c r="D15" s="4"/>
    </x:row>
    <x:row r="16" ht="15" customHeight="1">
      <x:c r="B16" s="7" t="s">
        <x:v>13</x:v>
      </x:c>
      <x:c r="C16" s="4" t="s">
        <x:v>14</x:v>
      </x:c>
      <x:c r="D16" s="4"/>
    </x:row>
    <x:row r="17" ht="15" customHeight="1">
      <x:c r="B17" s="7" t="s">
        <x:v>15</x:v>
      </x:c>
      <x:c r="C17" s="4" t="s">
        <x:v>16</x:v>
      </x:c>
      <x:c r="D17" s="4"/>
    </x:row>
    <x:row r="20" ht="15" customHeight="1">
      <x:c r="B20" s="6" t="s">
        <x:v>17</x:v>
      </x:c>
    </x:row>
    <x:row r="21" ht="15" customHeight="1">
      <x:c r="B21" s="8" t="s">
        <x:v>18</x:v>
      </x:c>
      <x:c r="C21" s="4" t="s">
        <x:v>19</x:v>
      </x:c>
      <x:c r="D21" s="4" t="s">
        <x:v>20</x:v>
      </x:c>
    </x:row>
    <x:row r="22" ht="15" customHeight="1">
      <x:c r="B22" s="9" t="s">
        <x:v>21</x:v>
      </x:c>
      <x:c r="C22" s="4" t="s">
        <x:v>22</x:v>
      </x:c>
      <x:c r="D22" s="4" t="s">
        <x:v>23</x:v>
      </x:c>
    </x:row>
    <x:row r="23" ht="15" customHeight="1">
      <x:c r="B23" s="10" t="s">
        <x:v>24</x:v>
      </x:c>
      <x:c r="C23" s="4" t="s">
        <x:v>25</x:v>
      </x:c>
      <x:c r="D23" s="4" t="s">
        <x:v>26</x:v>
      </x:c>
    </x:row>
    <x:row r="24" ht="15" customHeight="1">
      <x:c r="B24" s="11" t="s">
        <x:v>27</x:v>
      </x:c>
      <x:c r="C24" s="4" t="s">
        <x:v>28</x:v>
      </x:c>
      <x:c r="D24" s="4" t="s">
        <x:v>29</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3" customWidth="1"/>
    <x:col min="2" max="2" width="32" customWidth="1"/>
    <x:col min="3" max="3" width="18" customWidth="1"/>
    <x:col min="4" max="4" width="34" customWidth="1"/>
    <x:col min="5" max="5" width="58" customWidth="1"/>
  </x:cols>
  <x:sheetData>
    <x:row r="1" ht="22" customHeight="1"/>
    <x:row r="2" ht="30" customHeight="1">
      <x:c r="B2" s="42" t="s">
        <x:v>30</x:v>
      </x:c>
      <x:c r="C2" s="41"/>
      <x:c r="D2" s="41"/>
      <x:c r="E2" s="41"/>
    </x:row>
    <x:row r="3" ht="38" customHeight="1">
      <x:c r="B3" s="40" t="s">
        <x:v>31</x:v>
      </x:c>
      <x:c r="C3" s="41"/>
      <x:c r="D3" s="41"/>
      <x:c r="E3" s="41"/>
    </x:row>
    <x:row r="4" ht="22" customHeight="1"/>
    <x:row r="5" ht="22" customHeight="1"/>
    <x:row r="6" ht="22" customHeight="1">
      <x:c r="B6" s="34" t="s">
        <x:v>32</x:v>
      </x:c>
      <x:c r="C6" s="35"/>
      <x:c r="D6" s="35"/>
      <x:c r="E6" s="36"/>
    </x:row>
    <x:row r="7" ht="42" customHeight="1">
      <x:c r="B7" s="37" t="s">
        <x:v>33</x:v>
      </x:c>
      <x:c r="C7" s="38"/>
      <x:c r="D7" s="38"/>
      <x:c r="E7" s="39"/>
    </x:row>
    <x:row r="8" ht="22" customHeight="1">
      <x:c r="B8" s="20" t="s">
        <x:v>34</x:v>
      </x:c>
      <x:c r="C8" s="20" t="s">
        <x:v>35</x:v>
      </x:c>
      <x:c r="D8" s="20" t="s">
        <x:v>36</x:v>
      </x:c>
      <x:c r="E8" s="20" t="s">
        <x:v>37</x:v>
      </x:c>
    </x:row>
    <x:row r="9" ht="22" customHeight="1">
      <x:c r="B9" s="21" t="s">
        <x:v>38</x:v>
      </x:c>
      <x:c r="C9" s="22"/>
      <x:c r="D9" s="23" t="s">
        <x:v>39</x:v>
      </x:c>
      <x:c r="E9" s="23"/>
    </x:row>
    <x:row r="10" ht="22" customHeight="1">
      <x:c r="B10" s="21" t="s">
        <x:v>40</x:v>
      </x:c>
      <x:c r="C10" s="22"/>
      <x:c r="D10" s="23" t="s">
        <x:v>39</x:v>
      </x:c>
      <x:c r="E10" s="23"/>
    </x:row>
    <x:row r="11" ht="22" customHeight="1">
      <x:c r="B11" s="21" t="s">
        <x:v>41</x:v>
      </x:c>
      <x:c r="C11" s="22"/>
      <x:c r="D11" s="23" t="s">
        <x:v>39</x:v>
      </x:c>
      <x:c r="E11" s="23"/>
    </x:row>
    <x:row r="12" ht="34" customHeight="1">
      <x:c r="B12" s="21" t="s">
        <x:v>42</x:v>
      </x:c>
      <x:c r="C12" s="24"/>
      <x:c r="D12" s="25" t="s">
        <x:v>43</x:v>
      </x:c>
      <x:c r="E12" s="26" t="str">
        <x:f>IF(C12="","Enter a formula using the yellow cells.",IF(ABS(C12-2980)&lt;=0.01,"Correct - Spring Gala net profit is $2,980.","Check: revenue minus catering minus staffing."))</x:f>
        <x:v>Enter a formula using the yellow cells.</x:v>
      </x:c>
    </x:row>
    <x:row r="13" ht="22" customHeight="1"/>
    <x:row r="14" ht="22" customHeight="1"/>
    <x:row r="15" ht="22" customHeight="1"/>
    <x:row r="16" ht="22" customHeight="1"/>
    <x:row r="17" ht="22" customHeight="1">
      <x:c r="B17" s="34" t="s">
        <x:v>44</x:v>
      </x:c>
      <x:c r="C17" s="35"/>
      <x:c r="D17" s="35"/>
      <x:c r="E17" s="36"/>
    </x:row>
    <x:row r="18" ht="42" customHeight="1">
      <x:c r="B18" s="37" t="s">
        <x:v>45</x:v>
      </x:c>
      <x:c r="C18" s="38"/>
      <x:c r="D18" s="38"/>
      <x:c r="E18" s="39"/>
    </x:row>
    <x:row r="19" ht="22" customHeight="1">
      <x:c r="B19" s="20" t="s">
        <x:v>34</x:v>
      </x:c>
      <x:c r="C19" s="20" t="s">
        <x:v>35</x:v>
      </x:c>
      <x:c r="D19" s="20" t="s">
        <x:v>36</x:v>
      </x:c>
      <x:c r="E19" s="20" t="s">
        <x:v>37</x:v>
      </x:c>
    </x:row>
    <x:row r="20" ht="22" customHeight="1">
      <x:c r="B20" s="21" t="s">
        <x:v>46</x:v>
      </x:c>
      <x:c r="C20" s="22"/>
      <x:c r="D20" s="23" t="s">
        <x:v>39</x:v>
      </x:c>
      <x:c r="E20" s="23"/>
    </x:row>
    <x:row r="21" ht="22" customHeight="1">
      <x:c r="B21" s="21" t="s">
        <x:v>47</x:v>
      </x:c>
      <x:c r="C21" s="22"/>
      <x:c r="D21" s="23" t="s">
        <x:v>39</x:v>
      </x:c>
      <x:c r="E21" s="23"/>
    </x:row>
    <x:row r="22" ht="22" customHeight="1">
      <x:c r="B22" s="21" t="s">
        <x:v>48</x:v>
      </x:c>
      <x:c r="C22" s="22"/>
      <x:c r="D22" s="23" t="s">
        <x:v>39</x:v>
      </x:c>
      <x:c r="E22" s="23"/>
    </x:row>
    <x:row r="23" ht="22" customHeight="1">
      <x:c r="B23" s="21" t="s">
        <x:v>49</x:v>
      </x:c>
      <x:c r="C23" s="22"/>
      <x:c r="D23" s="23" t="s">
        <x:v>39</x:v>
      </x:c>
      <x:c r="E23" s="23"/>
    </x:row>
    <x:row r="24" ht="34" customHeight="1">
      <x:c r="B24" s="21" t="s">
        <x:v>50</x:v>
      </x:c>
      <x:c r="C24" s="24"/>
      <x:c r="D24" s="25" t="s">
        <x:v>51</x:v>
      </x:c>
      <x:c r="E24" s="26" t="str">
        <x:f>IF(C24="","Enter a SUM formula.",IF(ABS(C24-22700)&lt;=0.01,"Correct - four-event revenue is $22,700.","Check that every revenue value from the slide is included."))</x:f>
        <x:v>Enter a SUM formula.</x:v>
      </x:c>
    </x:row>
    <x:row r="25" ht="22" customHeight="1"/>
    <x:row r="26" ht="22" customHeight="1"/>
    <x:row r="27" ht="22" customHeight="1"/>
    <x:row r="28" ht="22" customHeight="1">
      <x:c r="B28" s="34" t="str">
        <x:v>Pause 3 - Four-event net profit total</x:v>
      </x:c>
      <x:c r="C28" s="35"/>
      <x:c r="D28" s="35"/>
      <x:c r="E28" s="36"/>
    </x:row>
    <x:row r="29" ht="42" customHeight="1">
      <x:c r="B29" s="37" t="str">
        <x:v>Use the four net profit values shown on slide 15. Enter each value in the yellow cells, then use SUM.</x:v>
      </x:c>
      <x:c r="C29" s="38"/>
      <x:c r="D29" s="38"/>
      <x:c r="E29" s="39"/>
    </x:row>
    <x:row r="30" ht="22" customHeight="1">
      <x:c r="B30" s="20" t="s">
        <x:v>34</x:v>
      </x:c>
      <x:c r="C30" s="20" t="s">
        <x:v>35</x:v>
      </x:c>
      <x:c r="D30" s="20" t="s">
        <x:v>36</x:v>
      </x:c>
      <x:c r="E30" s="20" t="s">
        <x:v>37</x:v>
      </x:c>
    </x:row>
    <x:row r="31" ht="22" customHeight="1">
      <x:c r="B31" s="45" t="str">
        <x:v>Spring Gala Net Profit</x:v>
      </x:c>
      <x:c r="C31" s="57"/>
      <x:c r="D31" s="60" t="s">
        <x:v>39</x:v>
      </x:c>
      <x:c r="E31" s="69"/>
    </x:row>
    <x:row r="32" ht="22" customHeight="1">
      <x:c r="B32" s="45" t="str">
        <x:v>Corporate Retreat Net Profit</x:v>
      </x:c>
      <x:c r="C32" s="57"/>
      <x:c r="D32" s="60" t="s">
        <x:v>39</x:v>
      </x:c>
      <x:c r="E32" s="69"/>
    </x:row>
    <x:row r="33" ht="22" customHeight="1">
      <x:c r="B33" s="50" t="str">
        <x:v>Summer Wedding Net Profit</x:v>
      </x:c>
      <x:c r="C33" s="59"/>
      <x:c r="D33" s="67" t="s">
        <x:v>39</x:v>
      </x:c>
      <x:c r="E33" s="73"/>
    </x:row>
    <x:row r="34" ht="34" customHeight="1">
      <x:c r="B34" s="45" t="str">
        <x:v>Fall Gala Net Profit</x:v>
      </x:c>
      <x:c r="C34" s="57"/>
      <x:c r="D34" s="65" t="s">
        <x:v>39</x:v>
      </x:c>
      <x:c r="E34" s="68"/>
    </x:row>
    <x:row r="35" ht="22" customHeight="1">
      <x:c r="B35" s="50" t="str">
        <x:v>Total Net Profit</x:v>
      </x:c>
      <x:c r="C35" s="78"/>
      <x:c r="D35" s="82" t="str">
        <x:v>SUM all four yellow net profit cells.</x:v>
      </x:c>
      <x:c r="E35" s="86" t="str">
        <x:f>IF(C35="","Enter a SUM formula.",IF(ABS(C35-13770)&lt;=0.01,"Correct - four-event net profit is $13,770.","Check that every net profit value from the slide is included."))</x:f>
        <x:v>Enter a SUM formula.</x:v>
      </x:c>
    </x:row>
    <x:row r="36" ht="22" customHeight="1"/>
    <x:row r="37" ht="22" customHeight="1"/>
    <x:row r="38" ht="22" customHeight="1"/>
    <x:row r="39" ht="22" customHeight="1"/>
  </x:sheetData>
  <x:mergeCells>
    <x:mergeCell ref="B3:E3"/>
    <x:mergeCell ref="B2:E2"/>
    <x:mergeCell ref="B28:E28"/>
    <x:mergeCell ref="B17:E17"/>
    <x:mergeCell ref="B18:E18"/>
    <x:mergeCell ref="B6:E6"/>
    <x:mergeCell ref="B29:E29"/>
    <x:mergeCell ref="B7:E7"/>
  </x:mergeCells>
  <x:pageMargins left="0.7" right="0.7" top="0.75" bottom="0.75" header="0.3" footer="0.3"/>
</x:worksheet>
</file>

<file path=xl/worksheets/sheet3.xml><?xml version="1.0" encoding="utf-8"?>
<x:worksheet xmlns:x="http://schemas.openxmlformats.org/spreadsheetml/2006/main">
  <x:sheetFormatPr baseColWidth="10" defaultColWidth="8.83203125" defaultRowHeight="14"/>
  <x:cols>
    <x:col min="2" max="2" width="55" customWidth="1"/>
    <x:col min="3" max="3" width="5" customWidth="1"/>
    <x:col min="4" max="4" width="5.6640625" customWidth="1"/>
    <x:col min="5" max="5" width="6.6640625" customWidth="1"/>
    <x:col min="6" max="6" width="6.83203125" customWidth="1"/>
    <x:col min="7" max="7" width="6.33203125" customWidth="1"/>
    <x:col min="8" max="8" width="7.5" customWidth="1"/>
    <x:col min="10" max="10" width="23.33203125" customWidth="1"/>
    <x:col min="11" max="11" width="41.6640625" customWidth="1"/>
  </x:cols>
  <x:sheetData>
    <x:row r="2" ht="21.5" customHeight="1">
      <x:c r="B2" s="1" t="s">
        <x:v>52</x:v>
      </x:c>
    </x:row>
    <x:row r="3" ht="15" customHeight="1">
      <x:c r="B3" s="2" t="s">
        <x:v>53</x:v>
      </x:c>
    </x:row>
    <x:row r="5" ht="15" customHeight="1">
      <x:c r="B5" s="3" t="s">
        <x:v>54</x:v>
      </x:c>
      <x:c r="C5" s="3" t="s">
        <x:v>55</x:v>
      </x:c>
      <x:c r="D5" s="3" t="s">
        <x:v>56</x:v>
      </x:c>
      <x:c r="E5" s="3" t="s">
        <x:v>57</x:v>
      </x:c>
      <x:c r="F5" s="3" t="s">
        <x:v>58</x:v>
      </x:c>
      <x:c r="G5" s="3" t="s">
        <x:v>59</x:v>
      </x:c>
      <x:c r="H5" s="3" t="s">
        <x:v>60</x:v>
      </x:c>
      <x:c r="J5" s="3" t="s">
        <x:v>61</x:v>
      </x:c>
      <x:c r="K5" s="3"/>
    </x:row>
    <x:row r="6" ht="15" customHeight="1">
      <x:c r="B6" s="4" t="s">
        <x:v>62</x:v>
      </x:c>
      <x:c r="C6" s="4">
        <x:v>46096</x:v>
      </x:c>
      <x:c r="D6" s="4">
        <x:v>120</x:v>
      </x:c>
      <x:c r="E6" s="4">
        <x:v>4800</x:v>
      </x:c>
      <x:c r="F6" s="4">
        <x:v>1820</x:v>
      </x:c>
      <x:c r="G6" s="4">
        <x:v>0</x:v>
      </x:c>
      <x:c r="H6" s="9" t="n">
        <x:f t="shared" ref="H6:H12" si="0">E6-F6-G6</x:f>
        <x:v>2980</x:v>
      </x:c>
      <x:c r="J6" s="14" t="s">
        <x:v>9</x:v>
      </x:c>
      <x:c r="K6" s="4" t="s">
        <x:v>63</x:v>
      </x:c>
    </x:row>
    <x:row r="7" ht="15" customHeight="1">
      <x:c r="B7" s="4" t="s">
        <x:v>64</x:v>
      </x:c>
      <x:c r="C7" s="4">
        <x:v>46150</x:v>
      </x:c>
      <x:c r="D7" s="4">
        <x:v>55</x:v>
      </x:c>
      <x:c r="E7" s="4">
        <x:v>3200</x:v>
      </x:c>
      <x:c r="F7" s="4">
        <x:v>1210</x:v>
      </x:c>
      <x:c r="G7" s="4">
        <x:v>0</x:v>
      </x:c>
      <x:c r="H7" s="9">
        <x:f t="shared" si="0"/>
        <x:v>1990</x:v>
      </x:c>
      <x:c r="J7" s="14" t="s">
        <x:v>11</x:v>
      </x:c>
      <x:c r="K7" s="4" t="s">
        <x:v>65</x:v>
      </x:c>
    </x:row>
    <x:row r="8" ht="15" customHeight="1">
      <x:c r="B8" s="4" t="s">
        <x:v>66</x:v>
      </x:c>
      <x:c r="C8" s="4">
        <x:v>46194</x:v>
      </x:c>
      <x:c r="D8" s="4">
        <x:v>200</x:v>
      </x:c>
      <x:c r="E8" s="4">
        <x:v>9500</x:v>
      </x:c>
      <x:c r="F8" s="4">
        <x:v>3100</x:v>
      </x:c>
      <x:c r="G8" s="4">
        <x:v>890</x:v>
      </x:c>
      <x:c r="H8" s="9">
        <x:f t="shared" si="0"/>
        <x:v>5510</x:v>
      </x:c>
      <x:c r="J8" s="14" t="s">
        <x:v>13</x:v>
      </x:c>
      <x:c r="K8" s="4" t="s">
        <x:v>67</x:v>
      </x:c>
    </x:row>
    <x:row r="9" ht="15" customHeight="1">
      <x:c r="B9" s="4" t="s">
        <x:v>68</x:v>
      </x:c>
      <x:c r="C9" s="4">
        <x:v>46299</x:v>
      </x:c>
      <x:c r="D9" s="4">
        <x:v>95</x:v>
      </x:c>
      <x:c r="E9" s="4">
        <x:v>5200</x:v>
      </x:c>
      <x:c r="F9" s="4">
        <x:v>1400</x:v>
      </x:c>
      <x:c r="G9" s="4">
        <x:v>510</x:v>
      </x:c>
      <x:c r="H9" s="9">
        <x:f t="shared" si="0"/>
        <x:v>3290</x:v>
      </x:c>
      <x:c r="J9" s="14" t="s">
        <x:v>15</x:v>
      </x:c>
      <x:c r="K9" s="4" t="s">
        <x:v>69</x:v>
      </x:c>
    </x:row>
    <x:row r="10" ht="15" customHeight="1">
      <x:c r="B10" s="4" t="s">
        <x:v>70</x:v>
      </x:c>
      <x:c r="C10" s="4">
        <x:v>46368</x:v>
      </x:c>
      <x:c r="D10" s="4">
        <x:v>150</x:v>
      </x:c>
      <x:c r="E10" s="4">
        <x:v>7400</x:v>
      </x:c>
      <x:c r="F10" s="4">
        <x:v>2625</x:v>
      </x:c>
      <x:c r="G10" s="4">
        <x:v>670</x:v>
      </x:c>
      <x:c r="H10" s="9">
        <x:f t="shared" si="0"/>
        <x:v>4105</x:v>
      </x:c>
      <x:c r="J10" s="14" t="s">
        <x:v>71</x:v>
      </x:c>
      <x:c r="K10" s="4" t="s">
        <x:v>72</x:v>
      </x:c>
    </x:row>
    <x:row r="11" ht="15" customHeight="1">
      <x:c r="B11" s="4" t="s">
        <x:v>73</x:v>
      </x:c>
      <x:c r="C11" s="4">
        <x:v>46073</x:v>
      </x:c>
      <x:c r="D11" s="4">
        <x:v>42</x:v>
      </x:c>
      <x:c r="E11" s="4">
        <x:v>2550</x:v>
      </x:c>
      <x:c r="F11" s="4">
        <x:v>960</x:v>
      </x:c>
      <x:c r="G11" s="4">
        <x:v>240</x:v>
      </x:c>
      <x:c r="H11" s="9">
        <x:f t="shared" si="0"/>
        <x:v>1350</x:v>
      </x:c>
      <x:c r="J11" s="14" t="s">
        <x:v>74</x:v>
      </x:c>
      <x:c r="K11" s="4" t="s">
        <x:v>75</x:v>
      </x:c>
    </x:row>
    <x:row r="12" ht="15" customHeight="1">
      <x:c r="B12" s="4" t="s">
        <x:v>76</x:v>
      </x:c>
      <x:c r="C12" s="4">
        <x:v>46250</x:v>
      </x:c>
      <x:c r="D12" s="4">
        <x:v>85</x:v>
      </x:c>
      <x:c r="E12" s="4">
        <x:v>4100</x:v>
      </x:c>
      <x:c r="F12" s="4">
        <x:v>1505</x:v>
      </x:c>
      <x:c r="G12" s="4">
        <x:v>380</x:v>
      </x:c>
      <x:c r="H12" s="9">
        <x:f t="shared" si="0"/>
        <x:v>2215</x:v>
      </x:c>
      <x:c r="J12" s="14" t="s">
        <x:v>77</x:v>
      </x:c>
      <x:c r="K12" s="4" t="s">
        <x:v>78</x:v>
      </x:c>
    </x:row>
    <x:row r="13" ht="15" customHeight="1">
      <x:c r="B13" s="12" t="s">
        <x:v>79</x:v>
      </x:c>
      <x:c r="C13" s="12"/>
      <x:c r="D13" s="12" t="n">
        <x:f>SUM(D6:D12)</x:f>
        <x:v>747</x:v>
      </x:c>
      <x:c r="E13" s="12" t="n">
        <x:f>SUM(E6:E12)</x:f>
        <x:v>36750</x:v>
      </x:c>
      <x:c r="F13" s="12" t="n">
        <x:f>SUM(F6:F12)</x:f>
        <x:v>12620</x:v>
      </x:c>
      <x:c r="G13" s="12" t="n">
        <x:f>SUM(G6:G12)</x:f>
        <x:v>2690</x:v>
      </x:c>
      <x:c r="H13" s="13" t="n">
        <x:f>SUM(H6:H12)</x:f>
        <x:v>21440</x:v>
      </x:c>
    </x:row>
  </x:sheetData>
  <x:pageMargins left="0.7" right="0.7" top="0.75" bottom="0.75" header="0.3" footer="0.3"/>
</x:worksheet>
</file>

<file path=xl/worksheets/sheet4.xml><?xml version="1.0" encoding="utf-8"?>
<x:worksheet xmlns:x="http://schemas.openxmlformats.org/spreadsheetml/2006/main">
  <x:sheetFormatPr baseColWidth="10" defaultColWidth="8.83203125" defaultRowHeight="14"/>
  <x:cols>
    <x:col min="2" max="2" width="57.6640625" customWidth="1"/>
    <x:col min="3" max="3" width="65.83203125" customWidth="1"/>
    <x:col min="4" max="4" width="8.6640625" customWidth="1"/>
    <x:col min="5" max="5" width="35.6640625" customWidth="1"/>
  </x:cols>
  <x:sheetData>
    <x:row r="2" ht="21.5" customHeight="1">
      <x:c r="B2" s="1" t="s">
        <x:v>80</x:v>
      </x:c>
    </x:row>
    <x:row r="3" ht="15" customHeight="1">
      <x:c r="B3" s="2" t="s">
        <x:v>81</x:v>
      </x:c>
    </x:row>
    <x:row r="5" ht="15" customHeight="1">
      <x:c r="B5" s="3" t="s">
        <x:v>82</x:v>
      </x:c>
      <x:c r="C5" s="3" t="s">
        <x:v>83</x:v>
      </x:c>
      <x:c r="D5" s="3" t="s">
        <x:v>84</x:v>
      </x:c>
      <x:c r="E5" s="3" t="s">
        <x:v>85</x:v>
      </x:c>
    </x:row>
    <x:row r="6" ht="15" customHeight="1">
      <x:c r="B6" s="4" t="s">
        <x:v>86</x:v>
      </x:c>
      <x:c r="C6" s="4" t="s">
        <x:v>87</x:v>
      </x:c>
      <x:c r="D6" s="15"/>
      <x:c r="E6" s="15"/>
    </x:row>
    <x:row r="7" ht="15" customHeight="1">
      <x:c r="B7" s="4" t="s">
        <x:v>88</x:v>
      </x:c>
      <x:c r="C7" s="4" t="s">
        <x:v>89</x:v>
      </x:c>
      <x:c r="D7" s="15"/>
      <x:c r="E7" s="15"/>
    </x:row>
    <x:row r="8" ht="15" customHeight="1">
      <x:c r="B8" s="4" t="s">
        <x:v>90</x:v>
      </x:c>
      <x:c r="C8" s="4" t="s">
        <x:v>91</x:v>
      </x:c>
      <x:c r="D8" s="15"/>
      <x:c r="E8" s="15"/>
    </x:row>
    <x:row r="9" ht="15" customHeight="1">
      <x:c r="B9" s="4" t="s">
        <x:v>92</x:v>
      </x:c>
      <x:c r="C9" s="4" t="s">
        <x:v>93</x:v>
      </x:c>
      <x:c r="D9" s="15"/>
      <x:c r="E9" s="15"/>
    </x:row>
    <x:row r="10" ht="15" customHeight="1">
      <x:c r="B10" s="4" t="s">
        <x:v>94</x:v>
      </x:c>
      <x:c r="C10" s="4" t="s">
        <x:v>95</x:v>
      </x:c>
      <x:c r="D10" s="15"/>
      <x:c r="E10" s="15"/>
    </x:row>
    <x:row r="13" ht="15" customHeight="1">
      <x:c r="B13" s="3" t="s">
        <x:v>96</x:v>
      </x:c>
      <x:c r="C13" s="3" t="s">
        <x:v>97</x:v>
      </x:c>
      <x:c r="D13" s="3" t="s">
        <x:v>98</x:v>
      </x:c>
      <x:c r="E13" s="3" t="s">
        <x:v>99</x:v>
      </x:c>
    </x:row>
    <x:row r="14" ht="15" customHeight="1">
      <x:c r="B14" s="4" t="s">
        <x:v>100</x:v>
      </x:c>
      <x:c r="C14" s="4"/>
      <x:c r="D14" s="15"/>
      <x:c r="E14" s="15"/>
    </x:row>
    <x:row r="15" ht="15" customHeight="1">
      <x:c r="B15" s="4" t="s">
        <x:v>101</x:v>
      </x:c>
      <x:c r="C15" s="4"/>
      <x:c r="D15" s="15"/>
      <x:c r="E15" s="15"/>
    </x:row>
  </x:sheetData>
  <x:dataValidations count="2">
    <x:dataValidation type="list" allowBlank="1" sqref="D6:D10">
      <x:formula1>"Not Started,In Progress,Done,Needs Review"</x:formula1>
    </x:dataValidation>
    <x:dataValidation type="list" allowBlank="1" sqref="D14">
      <x:formula1>"Yes,Not Yet"</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10" defaultColWidth="8.83203125" defaultRowHeight="14"/>
  <x:cols>
    <x:col min="1" max="1" width="3" customWidth="1"/>
    <x:col min="2" max="2" width="10" customWidth="1"/>
    <x:col min="3" max="3" width="72" customWidth="1"/>
    <x:col min="4" max="7" width="13" customWidth="1"/>
    <x:col min="8" max="8" width="16" customWidth="1"/>
    <x:col min="9" max="9" width="14" customWidth="1"/>
    <x:col min="10" max="10" width="13.1640625" customWidth="1"/>
    <x:col min="11" max="11" width="59.5" customWidth="1"/>
  </x:cols>
  <x:sheetData>
    <x:row r="1" ht="28" customHeight="1"/>
    <x:row r="2" ht="30" customHeight="1">
      <x:c r="B2" s="44" t="s">
        <x:v>102</x:v>
      </x:c>
      <x:c r="C2" s="41"/>
      <x:c r="D2" s="41"/>
      <x:c r="E2" s="41"/>
      <x:c r="F2" s="41"/>
      <x:c r="G2" s="41"/>
      <x:c r="H2" s="41"/>
      <x:c r="I2" s="41"/>
    </x:row>
    <x:row r="3" ht="50" customHeight="1">
      <x:c r="B3" s="43" t="s">
        <x:v>103</x:v>
      </x:c>
      <x:c r="C3" s="38"/>
      <x:c r="D3" s="38"/>
      <x:c r="E3" s="38"/>
      <x:c r="F3" s="38"/>
      <x:c r="G3" s="38"/>
      <x:c r="H3" s="38"/>
      <x:c r="I3" s="39"/>
    </x:row>
    <x:row r="4" ht="28" customHeight="1"/>
    <x:row r="5" ht="28" customHeight="1"/>
    <x:row r="6" ht="28" customHeight="1">
      <x:c r="B6" s="20" t="s">
        <x:v>104</x:v>
      </x:c>
      <x:c r="C6" s="20" t="s">
        <x:v>105</x:v>
      </x:c>
      <x:c r="D6" s="20" t="s">
        <x:v>106</x:v>
      </x:c>
      <x:c r="E6" s="20" t="s">
        <x:v>107</x:v>
      </x:c>
      <x:c r="F6" s="20" t="s">
        <x:v>108</x:v>
      </x:c>
      <x:c r="G6" s="20" t="s">
        <x:v>109</x:v>
      </x:c>
      <x:c r="H6" s="20" t="s">
        <x:v>110</x:v>
      </x:c>
      <x:c r="I6" s="20" t="s">
        <x:v>111</x:v>
      </x:c>
    </x:row>
    <x:row r="7" ht="54" customHeight="1">
      <x:c r="B7" s="28">
        <x:v>1</x:v>
      </x:c>
      <x:c r="C7" s="29" t="s">
        <x:v>112</x:v>
      </x:c>
      <x:c r="D7" s="30"/>
      <x:c r="E7" s="30"/>
      <x:c r="F7" s="30"/>
      <x:c r="G7" s="30"/>
      <x:c r="H7" s="24"/>
      <x:c r="I7" s="31" t="s">
        <x:v>113</x:v>
      </x:c>
    </x:row>
    <x:row r="8" ht="54" customHeight="1">
      <x:c r="B8" s="28">
        <x:v>2</x:v>
      </x:c>
      <x:c r="C8" s="29" t="s">
        <x:v>114</x:v>
      </x:c>
      <x:c r="D8" s="30"/>
      <x:c r="E8" s="30"/>
      <x:c r="F8" s="30"/>
      <x:c r="G8" s="30"/>
      <x:c r="H8" s="24"/>
      <x:c r="I8" s="31" t="s">
        <x:v>113</x:v>
      </x:c>
    </x:row>
    <x:row r="9" ht="54" customHeight="1">
      <x:c r="B9" s="28">
        <x:v>3</x:v>
      </x:c>
      <x:c r="C9" s="29" t="s">
        <x:v>115</x:v>
      </x:c>
      <x:c r="D9" s="30"/>
      <x:c r="E9" s="30"/>
      <x:c r="F9" s="30"/>
      <x:c r="G9" s="30"/>
      <x:c r="H9" s="24"/>
      <x:c r="I9" s="31" t="s">
        <x:v>113</x:v>
      </x:c>
    </x:row>
    <x:row r="10" ht="54" customHeight="1">
      <x:c r="B10" s="28">
        <x:v>4</x:v>
      </x:c>
      <x:c r="C10" s="29" t="s">
        <x:v>116</x:v>
      </x:c>
      <x:c r="D10" s="30"/>
      <x:c r="E10" s="30"/>
      <x:c r="F10" s="30"/>
      <x:c r="G10" s="30"/>
      <x:c r="H10" s="24"/>
      <x:c r="I10" s="31" t="s">
        <x:v>113</x:v>
      </x:c>
    </x:row>
    <x:row r="11" ht="54" customHeight="1">
      <x:c r="B11" s="28">
        <x:v>5</x:v>
      </x:c>
      <x:c r="C11" s="29" t="s">
        <x:v>117</x:v>
      </x:c>
      <x:c r="D11" s="30"/>
      <x:c r="E11" s="30"/>
      <x:c r="F11" s="30"/>
      <x:c r="G11" s="30"/>
      <x:c r="H11" s="24"/>
      <x:c r="I11" s="31" t="s">
        <x:v>113</x:v>
      </x:c>
    </x:row>
    <x:row r="12" ht="54" customHeight="1">
      <x:c r="B12" s="28">
        <x:v>6</x:v>
      </x:c>
      <x:c r="C12" s="29" t="s">
        <x:v>118</x:v>
      </x:c>
      <x:c r="D12" s="30"/>
      <x:c r="E12" s="30"/>
      <x:c r="F12" s="30"/>
      <x:c r="G12" s="30"/>
      <x:c r="H12" s="24"/>
      <x:c r="I12" s="31" t="s">
        <x:v>113</x:v>
      </x:c>
    </x:row>
    <x:row r="13" ht="54" customHeight="1">
      <x:c r="B13" s="28">
        <x:v>7</x:v>
      </x:c>
      <x:c r="C13" s="29" t="s">
        <x:v>119</x:v>
      </x:c>
      <x:c r="D13" s="30"/>
      <x:c r="E13" s="30"/>
      <x:c r="F13" s="30"/>
      <x:c r="G13" s="30"/>
      <x:c r="H13" s="24"/>
      <x:c r="I13" s="31" t="s">
        <x:v>113</x:v>
      </x:c>
    </x:row>
    <x:row r="14" ht="54" customHeight="1">
      <x:c r="B14" s="28">
        <x:v>8</x:v>
      </x:c>
      <x:c r="C14" s="29" t="s">
        <x:v>120</x:v>
      </x:c>
      <x:c r="D14" s="30"/>
      <x:c r="E14" s="30"/>
      <x:c r="F14" s="30"/>
      <x:c r="G14" s="30"/>
      <x:c r="H14" s="24"/>
      <x:c r="I14" s="31" t="s">
        <x:v>113</x:v>
      </x:c>
    </x:row>
    <x:row r="15" ht="54" customHeight="1">
      <x:c r="B15" s="28">
        <x:v>9</x:v>
      </x:c>
      <x:c r="C15" s="29" t="s">
        <x:v>121</x:v>
      </x:c>
      <x:c r="D15" s="22"/>
      <x:c r="E15" s="22"/>
      <x:c r="F15" s="22"/>
      <x:c r="G15" s="22"/>
      <x:c r="H15" s="32"/>
      <x:c r="I15" s="31" t="s">
        <x:v>122</x:v>
      </x:c>
    </x:row>
    <x:row r="16" ht="54" customHeight="1">
      <x:c r="B16" s="28">
        <x:v>10</x:v>
      </x:c>
      <x:c r="C16" s="29" t="s">
        <x:v>123</x:v>
      </x:c>
      <x:c r="D16" s="30"/>
      <x:c r="E16" s="30"/>
      <x:c r="F16" s="30"/>
      <x:c r="G16" s="30"/>
      <x:c r="H16" s="24"/>
      <x:c r="I16" s="31" t="s">
        <x:v>113</x:v>
      </x:c>
    </x:row>
    <x:row r="17" ht="54" customHeight="1">
      <x:c r="B17" s="28">
        <x:v>11</x:v>
      </x:c>
      <x:c r="C17" s="29" t="s">
        <x:v>124</x:v>
      </x:c>
      <x:c r="D17" s="30"/>
      <x:c r="E17" s="30"/>
      <x:c r="F17" s="30"/>
      <x:c r="G17" s="30"/>
      <x:c r="H17" s="27"/>
      <x:c r="I17" s="31" t="s">
        <x:v>113</x:v>
      </x:c>
    </x:row>
    <x:row r="18" ht="54" customHeight="1">
      <x:c r="B18" s="28">
        <x:v>12</x:v>
      </x:c>
      <x:c r="C18" s="29" t="s">
        <x:v>125</x:v>
      </x:c>
      <x:c r="D18" s="22"/>
      <x:c r="E18" s="22"/>
      <x:c r="F18" s="22"/>
      <x:c r="G18" s="22"/>
      <x:c r="H18" s="33"/>
      <x:c r="I18" s="31" t="s">
        <x:v>122</x:v>
      </x:c>
    </x:row>
    <x:row r="19" ht="54" customHeight="1">
      <x:c r="B19" s="28">
        <x:v>13</x:v>
      </x:c>
      <x:c r="C19" s="29" t="s">
        <x:v>126</x:v>
      </x:c>
      <x:c r="D19" s="30"/>
      <x:c r="E19" s="30"/>
      <x:c r="F19" s="30"/>
      <x:c r="G19" s="30"/>
      <x:c r="H19" s="24"/>
      <x:c r="I19" s="31" t="s">
        <x:v>113</x:v>
      </x:c>
    </x:row>
    <x:row r="20" ht="54" customHeight="1">
      <x:c r="B20" s="28">
        <x:v>14</x:v>
      </x:c>
      <x:c r="C20" s="29" t="s">
        <x:v>127</x:v>
      </x:c>
      <x:c r="D20" s="30"/>
      <x:c r="E20" s="30"/>
      <x:c r="F20" s="30"/>
      <x:c r="G20" s="30"/>
      <x:c r="H20" s="24"/>
      <x:c r="I20" s="31" t="s">
        <x:v>113</x:v>
      </x:c>
    </x:row>
    <x:row r="21" ht="54" customHeight="1">
      <x:c r="B21" s="28">
        <x:v>15</x:v>
      </x:c>
      <x:c r="C21" s="29" t="s">
        <x:v>128</x:v>
      </x:c>
      <x:c r="D21" s="30"/>
      <x:c r="E21" s="30"/>
      <x:c r="F21" s="30"/>
      <x:c r="G21" s="30"/>
      <x:c r="H21" s="24"/>
      <x:c r="I21" s="31" t="s">
        <x:v>113</x:v>
      </x:c>
    </x:row>
    <x:row r="22" ht="28" customHeight="1"/>
    <x:row r="23" ht="28" customHeight="1"/>
  </x:sheetData>
  <x:mergeCells>
    <x:mergeCell ref="B3:I3"/>
    <x:mergeCell ref="B2:I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8.83203125" defaultRowHeight="14"/>
  <x:cols>
    <x:col min="1" max="1" width="21.1640625" customWidth="1"/>
    <x:col min="2" max="2" width="25.5" customWidth="1"/>
    <x:col min="3" max="3" width="34.5" customWidth="1"/>
    <x:col min="4" max="4" width="33.33203125" customWidth="1"/>
    <x:col min="5" max="5" width="41.83203125" customWidth="1"/>
  </x:cols>
  <x:sheetData>
    <x:row r="1" ht="31.5" customHeight="1">
      <x:c r="A1" s="16" t="s">
        <x:v>129</x:v>
      </x:c>
      <x:c r="B1" s="16" t="s">
        <x:v>130</x:v>
      </x:c>
      <x:c r="C1" s="16" t="s">
        <x:v>131</x:v>
      </x:c>
      <x:c r="D1" s="16" t="s">
        <x:v>132</x:v>
      </x:c>
    </x:row>
    <x:row r="2" ht="31.5" customHeight="1">
      <x:c r="A2" s="17" t="s">
        <x:v>133</x:v>
      </x:c>
      <x:c r="B2" s="18" t="s">
        <x:v>134</x:v>
      </x:c>
      <x:c r="C2" s="17" t="s">
        <x:v>135</x:v>
      </x:c>
      <x:c r="D2" s="19" t="s">
        <x:v>136</x:v>
      </x:c>
    </x:row>
    <x:row r="3" ht="31.5" customHeight="1">
      <x:c r="A3" s="17" t="s">
        <x:v>137</x:v>
      </x:c>
      <x:c r="B3" s="18" t="s">
        <x:v>138</x:v>
      </x:c>
      <x:c r="C3" s="17" t="s">
        <x:v>139</x:v>
      </x:c>
      <x:c r="D3" s="19" t="s">
        <x:v>140</x:v>
      </x:c>
    </x:row>
    <x:row r="4" ht="31.5" customHeight="1">
      <x:c r="A4" s="17" t="s">
        <x:v>141</x:v>
      </x:c>
      <x:c r="B4" s="18" t="s">
        <x:v>142</x:v>
      </x:c>
      <x:c r="C4" s="17" t="s">
        <x:v>143</x:v>
      </x:c>
      <x:c r="D4" s="19" t="s">
        <x:v>144</x:v>
      </x:c>
    </x:row>
    <x:row r="5" ht="31.5" customHeight="1">
      <x:c r="A5" s="17" t="s">
        <x:v>145</x:v>
      </x:c>
      <x:c r="B5" s="18" t="s">
        <x:v>146</x:v>
      </x:c>
      <x:c r="C5" s="17" t="s">
        <x:v>147</x:v>
      </x:c>
      <x:c r="D5" s="19" t="s">
        <x:v>148</x:v>
      </x:c>
    </x:row>
    <x:row r="6" ht="15" customHeight="1"/>
    <x:row r="7" ht="15" customHeight="1"/>
    <x:row r="8" ht="15" customHeight="1"/>
    <x:row r="9" ht="15" customHeight="1"/>
    <x:row r="10" ht="15" customHeight="1"/>
    <x:row r="11" ht="15" customHeight="1"/>
    <x:row r="12" ht="15" customHeight="1"/>
    <x:row r="13" ht="15" customHeight="1"/>
    <x:row r="14" ht="15" customHeight="1"/>
    <x:row r="15" ht="15" customHeight="1"/>
  </x:sheetData>
  <x:pageMargins left="0.7" right="0.7" top="0.75" bottom="0.75" header="0.3" footer="0.3"/>
</x:worksheet>
</file>