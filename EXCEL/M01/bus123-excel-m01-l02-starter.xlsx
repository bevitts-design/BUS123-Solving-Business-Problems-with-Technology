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ormatOrganize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INSTRUCTOR_AnswerKey" sheetId="4" state="hidden" r:id="rId4"/>
    <sheet xmlns:r="http://schemas.openxmlformats.org/officeDocument/2006/relationships" name="FormulaReferenceC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9">
    <font>
      <name val="Calibri"/>
      <family val="2"/>
      <color theme="1"/>
      <sz val="11"/>
      <scheme val="minor"/>
    </font>
    <font>
      <name val="Cinzel"/>
      <b val="1"/>
      <color rgb="00D4A052"/>
      <sz val="18"/>
    </font>
    <font>
      <name val="Cormorant Garamond"/>
      <i val="1"/>
      <color rgb="00DDE8F0"/>
      <sz val="13"/>
    </font>
    <font>
      <b val="1"/>
      <color rgb="00DDE8F0"/>
    </font>
    <font>
      <b val="1"/>
      <color rgb="00D4A052"/>
      <sz val="14"/>
    </font>
    <font>
      <b val="1"/>
      <color rgb="00D4A052"/>
    </font>
    <font>
      <b val="1"/>
      <color rgb="00D4A052"/>
      <sz val="13"/>
    </font>
    <font>
      <i val="1"/>
      <color rgb="00DDE8F0"/>
    </font>
    <font>
      <name val="DM Mono"/>
    </font>
  </fonts>
  <fills count="7">
    <fill>
      <patternFill/>
    </fill>
    <fill>
      <patternFill patternType="gray125"/>
    </fill>
    <fill>
      <patternFill patternType="solid">
        <fgColor rgb="000C1A2E"/>
      </patternFill>
    </fill>
    <fill>
      <patternFill patternType="solid">
        <fgColor rgb="001B2E48"/>
      </patternFill>
    </fill>
    <fill>
      <patternFill patternType="solid">
        <fgColor rgb="00FFFFFF"/>
      </patternFill>
    </fill>
    <fill>
      <patternFill patternType="solid">
        <fgColor rgb="00FFD966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bottom style="medium">
        <color rgb="00D4A05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5" borderId="1" applyAlignment="1" applyProtection="1" pivotButton="0" quotePrefix="0" xfId="0">
      <alignment vertical="center" wrapText="1"/>
      <protection locked="0" hidden="0"/>
    </xf>
    <xf numFmtId="164" fontId="0" fillId="5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vertical="center" wrapText="1"/>
      <protection locked="0" hidden="0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7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BUS123 EXCEL-M01-L02</t>
        </is>
      </c>
    </row>
    <row r="2" ht="24" customHeight="1">
      <c r="A2" s="2" t="inlineStr">
        <is>
          <t>Formatting and Organizing Worksheets</t>
        </is>
      </c>
    </row>
    <row r="4">
      <c r="B4" s="3" t="inlineStr">
        <is>
          <t>Course</t>
        </is>
      </c>
      <c r="C4" s="4" t="inlineStr">
        <is>
          <t>Solving Business Problems with Technology</t>
        </is>
      </c>
    </row>
    <row r="5">
      <c r="B5" s="3" t="inlineStr">
        <is>
          <t>Case company</t>
        </is>
      </c>
      <c r="C5" s="4" t="inlineStr">
        <is>
          <t>Tidal Goods Co.</t>
        </is>
      </c>
    </row>
    <row r="6">
      <c r="B6" s="3" t="inlineStr">
        <is>
          <t>Lesson focus</t>
        </is>
      </c>
      <c r="C6" s="4" t="inlineStr">
        <is>
          <t>formatting numbers, adding categories, and organizing data</t>
        </is>
      </c>
    </row>
    <row r="9">
      <c r="B9" s="5" t="inlineStr">
        <is>
          <t>I Can Statements</t>
        </is>
      </c>
    </row>
    <row r="10">
      <c r="B10" s="4" t="n">
        <v>1</v>
      </c>
      <c r="C10" s="4" t="inlineStr">
        <is>
          <t>I can format worksheet labels, values, and totals so the data is easier to read.</t>
        </is>
      </c>
    </row>
    <row r="11">
      <c r="B11" s="4" t="n">
        <v>2</v>
      </c>
      <c r="C11" s="4" t="inlineStr">
        <is>
          <t>I can organize rows and columns without changing the meaning of the data.</t>
        </is>
      </c>
    </row>
    <row r="12">
      <c r="B12" s="4" t="n">
        <v>3</v>
      </c>
      <c r="C12" s="4" t="inlineStr">
        <is>
          <t>I can apply consistent number formats for business values.</t>
        </is>
      </c>
    </row>
    <row r="13">
      <c r="C13" t="inlineStr">
        <is>
          <t>I can prepare a worksheet for another business user to review.</t>
        </is>
      </c>
    </row>
    <row r="15">
      <c r="B15" s="5" t="inlineStr">
        <is>
          <t>Student Workflow</t>
        </is>
      </c>
    </row>
    <row r="16">
      <c r="B16" s="4" t="inlineStr">
        <is>
          <t>-</t>
        </is>
      </c>
      <c r="C16" s="4" t="inlineStr">
        <is>
          <t>Complete yellow cells only.</t>
        </is>
      </c>
    </row>
    <row r="17">
      <c r="B17" s="4" t="inlineStr">
        <is>
          <t>-</t>
        </is>
      </c>
      <c r="C17" s="4" t="inlineStr">
        <is>
          <t>Read the column labels and business context before choosing each entry.</t>
        </is>
      </c>
    </row>
    <row r="18">
      <c r="B18" s="4" t="inlineStr">
        <is>
          <t>-</t>
        </is>
      </c>
      <c r="C18" s="4" t="inlineStr">
        <is>
          <t>Use the feedback area to check your work before moving to the challenge.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4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4" customWidth="1" min="10" max="10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Main Activity: Format and Organize a Product Worksheet</t>
        </is>
      </c>
    </row>
    <row r="3">
      <c r="E3" s="6" t="n"/>
      <c r="H3" s="6" t="n"/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Units</t>
        </is>
      </c>
      <c r="E4" s="8" t="inlineStr">
        <is>
          <t>Unit Price</t>
        </is>
      </c>
      <c r="F4" s="7" t="inlineStr">
        <is>
          <t>Format Price As</t>
        </is>
      </c>
      <c r="G4" s="7" t="inlineStr">
        <is>
          <t>Reorder Group</t>
        </is>
      </c>
      <c r="H4" s="8" t="inlineStr">
        <is>
          <t>Line Revenue</t>
        </is>
      </c>
      <c r="I4" s="7" t="inlineStr">
        <is>
          <t>Check Status</t>
        </is>
      </c>
      <c r="J4" s="7" t="n"/>
    </row>
    <row r="5">
      <c r="B5" s="9" t="inlineStr">
        <is>
          <t>Reusable bottle</t>
        </is>
      </c>
      <c r="C5" s="9" t="inlineStr">
        <is>
          <t>Drinkware</t>
        </is>
      </c>
      <c r="D5" s="9" t="n">
        <v>36</v>
      </c>
      <c r="E5" s="10" t="n">
        <v>14.99</v>
      </c>
      <c r="F5" s="11" t="n"/>
      <c r="G5" s="11" t="n"/>
      <c r="H5" s="12" t="n"/>
      <c r="I5" s="13">
        <f>IF(OR(F5="",G5="",H5=""),"",IF(AND(F5="Currency",G5="High",ABS(H5-539.64)&lt;=0.01),"Correct","Check"))</f>
        <v/>
      </c>
    </row>
    <row r="6">
      <c r="B6" s="14" t="inlineStr">
        <is>
          <t>Canvas tote</t>
        </is>
      </c>
      <c r="C6" s="14" t="inlineStr">
        <is>
          <t>Accessories</t>
        </is>
      </c>
      <c r="D6" s="14" t="n">
        <v>28</v>
      </c>
      <c r="E6" s="15" t="n">
        <v>12</v>
      </c>
      <c r="F6" s="11" t="n"/>
      <c r="G6" s="11" t="n"/>
      <c r="H6" s="12" t="n"/>
      <c r="I6" s="13">
        <f>IF(OR(F6="",G6="",H6=""),"",IF(AND(F6="Currency",G6="Standard",ABS(H6-336.0)&lt;=0.01),"Correct","Check"))</f>
        <v/>
      </c>
    </row>
    <row r="7">
      <c r="B7" s="9" t="inlineStr">
        <is>
          <t>Desk organizer</t>
        </is>
      </c>
      <c r="C7" s="9" t="inlineStr">
        <is>
          <t>Home office</t>
        </is>
      </c>
      <c r="D7" s="9" t="n">
        <v>18</v>
      </c>
      <c r="E7" s="10" t="n">
        <v>19.5</v>
      </c>
      <c r="F7" s="11" t="n"/>
      <c r="G7" s="11" t="n"/>
      <c r="H7" s="12" t="n"/>
      <c r="I7" s="13">
        <f>IF(OR(F7="",G7="",H7=""),"",IF(AND(F7="Currency",G7="Standard",ABS(H7-351.0)&lt;=0.01),"Correct","Check"))</f>
        <v/>
      </c>
    </row>
    <row r="8">
      <c r="B8" s="14" t="inlineStr">
        <is>
          <t>Bamboo utensil set</t>
        </is>
      </c>
      <c r="C8" s="14" t="inlineStr">
        <is>
          <t>Kitchen</t>
        </is>
      </c>
      <c r="D8" s="14" t="n">
        <v>42</v>
      </c>
      <c r="E8" s="15" t="n">
        <v>8.25</v>
      </c>
      <c r="F8" s="11" t="n"/>
      <c r="G8" s="11" t="n"/>
      <c r="H8" s="12" t="n"/>
      <c r="I8" s="13">
        <f>IF(OR(F8="",G8="",H8=""),"",IF(AND(F8="Currency",G8="High",ABS(H8-346.5)&lt;=0.01),"Correct","Check"))</f>
        <v/>
      </c>
    </row>
    <row r="9">
      <c r="B9" s="9" t="inlineStr">
        <is>
          <t>Travel mug</t>
        </is>
      </c>
      <c r="C9" s="9" t="inlineStr">
        <is>
          <t>Drinkware</t>
        </is>
      </c>
      <c r="D9" s="9" t="n">
        <v>24</v>
      </c>
      <c r="E9" s="10" t="n">
        <v>17.75</v>
      </c>
      <c r="F9" s="11" t="n"/>
      <c r="G9" s="11" t="n"/>
      <c r="H9" s="12" t="n"/>
      <c r="I9" s="13">
        <f>IF(OR(F9="",G9="",H9=""),"",IF(AND(F9="Currency",G9="Standard",ABS(H9-426.0)&lt;=0.01),"Correct","Check"))</f>
        <v/>
      </c>
    </row>
    <row r="10">
      <c r="E10" s="6" t="n"/>
      <c r="H10" s="6" t="n"/>
    </row>
    <row r="11">
      <c r="E11" s="6" t="n"/>
      <c r="H11" s="6" t="n"/>
    </row>
    <row r="12">
      <c r="B12" s="16" t="inlineStr">
        <is>
          <t>Organization Check</t>
        </is>
      </c>
      <c r="E12" s="6" t="n"/>
      <c r="H12" s="6" t="n"/>
    </row>
    <row r="13">
      <c r="B13" s="17" t="inlineStr">
        <is>
          <t>Use filters or sorting to identify which items are in the High reorder group. Keep product labels visible and number formats consistent.</t>
        </is>
      </c>
    </row>
    <row r="14"/>
    <row r="15"/>
  </sheetData>
  <mergeCells count="3">
    <mergeCell ref="A1:J1"/>
    <mergeCell ref="B13:I15"/>
    <mergeCell ref="A2:J2"/>
  </mergeCells>
  <conditionalFormatting sqref="I5:I9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Challenge: Prepare a Manager View</t>
        </is>
      </c>
    </row>
    <row r="4">
      <c r="B4" s="7" t="inlineStr">
        <is>
          <t>Prompt</t>
        </is>
      </c>
      <c r="C4" s="7" t="inlineStr">
        <is>
          <t>Student Entry</t>
        </is>
      </c>
      <c r="D4" s="7" t="inlineStr">
        <is>
          <t>Check</t>
        </is>
      </c>
    </row>
    <row r="5">
      <c r="B5" s="4" t="inlineStr">
        <is>
          <t>Number of High reorder items</t>
        </is>
      </c>
      <c r="C5" s="11" t="n"/>
      <c r="D5" s="13">
        <f>IF(C5="","",IF(ABS(C5-2)&lt;=0.01,"Correct","Check"))</f>
        <v/>
      </c>
    </row>
    <row r="6">
      <c r="B6" s="4" t="inlineStr">
        <is>
          <t>Highest line revenue</t>
        </is>
      </c>
      <c r="C6" s="11" t="n"/>
      <c r="D6" s="13">
        <f>IF(C6="","",IF(ABS(C6-550.8)&lt;=0.01,"Correct","Check"))</f>
        <v/>
      </c>
    </row>
    <row r="7">
      <c r="B7" s="4" t="inlineStr">
        <is>
          <t>Lowest line revenue</t>
        </is>
      </c>
      <c r="C7" s="11" t="n"/>
      <c r="D7" s="13">
        <f>IF(C7="","",IF(ABS(C7-351.0)&lt;=0.01,"Correct","Check"))</f>
        <v/>
      </c>
    </row>
  </sheetData>
  <mergeCells count="2">
    <mergeCell ref="A2:H2"/>
    <mergeCell ref="A1:H1"/>
  </mergeCells>
  <conditionalFormatting sqref="D5:D7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26" customWidth="1" min="9" max="9"/>
  </cols>
  <sheetData>
    <row r="1" ht="32" customHeight="1">
      <c r="A1" s="1" t="inlineStr">
        <is>
          <t>Instructor Solution</t>
        </is>
      </c>
    </row>
    <row r="2" ht="24" customHeight="1">
      <c r="A2" s="2" t="inlineStr">
        <is>
          <t>EXCEL-M01-L02 expected values</t>
        </is>
      </c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Units</t>
        </is>
      </c>
      <c r="E4" s="7" t="inlineStr">
        <is>
          <t>Unit Price</t>
        </is>
      </c>
      <c r="F4" s="7" t="inlineStr">
        <is>
          <t>Format Price As</t>
        </is>
      </c>
      <c r="G4" s="7" t="inlineStr">
        <is>
          <t>Reorder Group</t>
        </is>
      </c>
      <c r="H4" s="7" t="inlineStr">
        <is>
          <t>Line Revenue</t>
        </is>
      </c>
    </row>
    <row r="5">
      <c r="B5" s="4" t="inlineStr">
        <is>
          <t>Reusable bottle</t>
        </is>
      </c>
      <c r="C5" s="4" t="inlineStr">
        <is>
          <t>Drinkware</t>
        </is>
      </c>
      <c r="D5" s="4" t="n">
        <v>36</v>
      </c>
      <c r="E5" s="4" t="n">
        <v>14.99</v>
      </c>
      <c r="F5" s="4" t="inlineStr">
        <is>
          <t>Currency</t>
        </is>
      </c>
      <c r="G5" s="4" t="inlineStr">
        <is>
          <t>High</t>
        </is>
      </c>
      <c r="H5" s="4" t="n">
        <v>539.64</v>
      </c>
    </row>
    <row r="6">
      <c r="B6" s="4" t="inlineStr">
        <is>
          <t>Canvas tote</t>
        </is>
      </c>
      <c r="C6" s="4" t="inlineStr">
        <is>
          <t>Accessories</t>
        </is>
      </c>
      <c r="D6" s="4" t="n">
        <v>28</v>
      </c>
      <c r="E6" s="4" t="n">
        <v>12</v>
      </c>
      <c r="F6" s="4" t="inlineStr">
        <is>
          <t>Currency</t>
        </is>
      </c>
      <c r="G6" s="4" t="inlineStr">
        <is>
          <t>Standard</t>
        </is>
      </c>
      <c r="H6" s="4" t="n">
        <v>336</v>
      </c>
    </row>
    <row r="7">
      <c r="B7" s="4" t="inlineStr">
        <is>
          <t>Desk organizer</t>
        </is>
      </c>
      <c r="C7" s="4" t="inlineStr">
        <is>
          <t>Home office</t>
        </is>
      </c>
      <c r="D7" s="4" t="n">
        <v>18</v>
      </c>
      <c r="E7" s="4" t="n">
        <v>19.5</v>
      </c>
      <c r="F7" s="4" t="inlineStr">
        <is>
          <t>Currency</t>
        </is>
      </c>
      <c r="G7" s="4" t="inlineStr">
        <is>
          <t>Standard</t>
        </is>
      </c>
      <c r="H7" s="4" t="n">
        <v>351</v>
      </c>
    </row>
    <row r="8">
      <c r="B8" s="4" t="inlineStr">
        <is>
          <t>Bamboo utensil set</t>
        </is>
      </c>
      <c r="C8" s="4" t="inlineStr">
        <is>
          <t>Kitchen</t>
        </is>
      </c>
      <c r="D8" s="4" t="n">
        <v>42</v>
      </c>
      <c r="E8" s="4" t="n">
        <v>8.25</v>
      </c>
      <c r="F8" s="4" t="inlineStr">
        <is>
          <t>Currency</t>
        </is>
      </c>
      <c r="G8" s="4" t="inlineStr">
        <is>
          <t>High</t>
        </is>
      </c>
      <c r="H8" s="4" t="n">
        <v>346.5</v>
      </c>
    </row>
    <row r="9">
      <c r="B9" s="4" t="inlineStr">
        <is>
          <t>Travel mug</t>
        </is>
      </c>
      <c r="C9" s="4" t="inlineStr">
        <is>
          <t>Drinkware</t>
        </is>
      </c>
      <c r="D9" s="4" t="n">
        <v>24</v>
      </c>
      <c r="E9" s="4" t="n">
        <v>17.75</v>
      </c>
      <c r="F9" s="4" t="inlineStr">
        <is>
          <t>Currency</t>
        </is>
      </c>
      <c r="G9" s="4" t="inlineStr">
        <is>
          <t>Standard</t>
        </is>
      </c>
      <c r="H9" s="4" t="n">
        <v>426</v>
      </c>
    </row>
    <row r="12">
      <c r="B12" s="16" t="inlineStr">
        <is>
          <t>Formula Notes</t>
        </is>
      </c>
    </row>
    <row r="13">
      <c r="B13" t="inlineStr">
        <is>
          <t>'=quantity*unit cost or price</t>
        </is>
      </c>
    </row>
    <row r="14">
      <c r="B14" t="inlineStr">
        <is>
          <t>'=basic summary formulas such as SUM, MAX, and COUNTIF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2" customWidth="1" min="3" max="3"/>
    <col width="46" customWidth="1" min="4" max="4"/>
    <col width="18" customWidth="1" min="5" max="5"/>
    <col width="18" customWidth="1" min="6" max="6"/>
  </cols>
  <sheetData>
    <row r="1" ht="32" customHeight="1">
      <c r="A1" s="1" t="inlineStr">
        <is>
          <t>Formula Reference Card</t>
        </is>
      </c>
    </row>
    <row r="2" ht="24" customHeight="1">
      <c r="A2" s="2" t="inlineStr">
        <is>
          <t>Use after attempting the activity</t>
        </is>
      </c>
    </row>
    <row r="4">
      <c r="B4" s="7" t="inlineStr">
        <is>
          <t>Concept</t>
        </is>
      </c>
      <c r="C4" s="7" t="inlineStr">
        <is>
          <t>Spreadsheet Pattern</t>
        </is>
      </c>
      <c r="D4" s="7" t="inlineStr">
        <is>
          <t>Plain-English Check</t>
        </is>
      </c>
    </row>
    <row r="5">
      <c r="B5" s="4" t="inlineStr">
        <is>
          <t>Addition</t>
        </is>
      </c>
      <c r="C5" s="18" t="inlineStr">
        <is>
          <t>'=A1+B1</t>
        </is>
      </c>
      <c r="D5" s="4" t="inlineStr">
        <is>
          <t>Use when two values need to be combined.</t>
        </is>
      </c>
    </row>
    <row r="6">
      <c r="B6" s="4" t="inlineStr">
        <is>
          <t>Multiplication</t>
        </is>
      </c>
      <c r="C6" s="18" t="inlineStr">
        <is>
          <t>'=A1*B1</t>
        </is>
      </c>
      <c r="D6" s="4" t="inlineStr">
        <is>
          <t>Use for quantity times cost or price.</t>
        </is>
      </c>
    </row>
    <row r="7">
      <c r="B7" s="4" t="inlineStr">
        <is>
          <t>SUM</t>
        </is>
      </c>
      <c r="C7" s="18" t="inlineStr">
        <is>
          <t>'=SUM(A1:A5)</t>
        </is>
      </c>
      <c r="D7" s="4" t="inlineStr">
        <is>
          <t>Adds a range of numbers.</t>
        </is>
      </c>
    </row>
    <row r="8">
      <c r="B8" s="4" t="inlineStr">
        <is>
          <t>MAX</t>
        </is>
      </c>
      <c r="C8" s="18" t="inlineStr">
        <is>
          <t>'=MAX(A1:A5)</t>
        </is>
      </c>
      <c r="D8" s="4" t="inlineStr">
        <is>
          <t>Finds the largest number in a range.</t>
        </is>
      </c>
    </row>
    <row r="9">
      <c r="B9" s="4" t="inlineStr">
        <is>
          <t>COUNTIF</t>
        </is>
      </c>
      <c r="C9" s="18" t="inlineStr">
        <is>
          <t>'=COUNTIF(A1:A5,"High")</t>
        </is>
      </c>
      <c r="D9" s="4" t="inlineStr">
        <is>
          <t>Counts cells that match one condition.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2026-05-22T11:01:20Z</dcterms:created>
  <dcterms:modified xmlns:dcterms="http://purl.org/dc/terms/" xmlns:xsi="http://www.w3.org/2001/XMLSchema-instance" xsi:type="dcterms:W3CDTF">2026-05-22T11:25:03Z</dcterms:modified>
</cp:coreProperties>
</file>