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6/"/>
    </mc:Choice>
  </mc:AlternateContent>
  <xr:revisionPtr revIDLastSave="0" documentId="13_ncr:1_{327A6412-F8EB-9C43-B570-193C3CD60287}" xr6:coauthVersionLast="47" xr6:coauthVersionMax="47" xr10:uidLastSave="{00000000-0000-0000-0000-000000000000}"/>
  <bookViews>
    <workbookView xWindow="0" yWindow="580" windowWidth="25600" windowHeight="16060" tabRatio="500" activeTab="2" xr2:uid="{00000000-000D-0000-FFFF-FFFF00000000}"/>
  </bookViews>
  <sheets>
    <sheet name="START HERE" sheetId="1" r:id="rId1"/>
    <sheet name="COGS Schedule" sheetId="2" r:id="rId2"/>
    <sheet name="Inventory Methods" sheetId="3" r:id="rId3"/>
    <sheet name="Overhead Allocation" sheetId="4" r:id="rId4"/>
    <sheet name="Formula Reference C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" i="2" l="1"/>
  <c r="E9" i="2"/>
  <c r="E8" i="2"/>
  <c r="B16" i="2" s="1"/>
  <c r="E7" i="2"/>
  <c r="B16" i="3"/>
  <c r="B18" i="2"/>
  <c r="B15" i="2"/>
  <c r="D23" i="4"/>
  <c r="A23" i="4"/>
  <c r="D22" i="4"/>
  <c r="A22" i="4"/>
  <c r="B18" i="4"/>
  <c r="D9" i="4"/>
  <c r="B9" i="4"/>
  <c r="C7" i="4" s="1"/>
  <c r="B24" i="3"/>
  <c r="B21" i="3"/>
  <c r="C17" i="3"/>
  <c r="C16" i="3"/>
  <c r="C10" i="3"/>
  <c r="E9" i="3"/>
  <c r="E8" i="3"/>
  <c r="E7" i="3"/>
  <c r="B27" i="4" l="1"/>
  <c r="C8" i="4"/>
  <c r="B23" i="4" s="1"/>
  <c r="C23" i="4" s="1"/>
  <c r="B22" i="4"/>
  <c r="C22" i="4" s="1"/>
  <c r="D16" i="3"/>
  <c r="D24" i="4"/>
  <c r="B17" i="3"/>
  <c r="B24" i="4"/>
  <c r="E10" i="3"/>
  <c r="B17" i="2"/>
  <c r="B19" i="2" s="1"/>
  <c r="B21" i="2" s="1"/>
  <c r="B22" i="2" s="1"/>
  <c r="B22" i="3"/>
  <c r="B23" i="3" s="1"/>
  <c r="B25" i="3" s="1"/>
  <c r="C30" i="3" s="1"/>
  <c r="C32" i="3" s="1"/>
  <c r="F23" i="4" l="1"/>
  <c r="F22" i="4"/>
  <c r="E23" i="4"/>
  <c r="C9" i="4"/>
  <c r="C24" i="4"/>
  <c r="E24" i="4" s="1"/>
  <c r="E22" i="4"/>
  <c r="C31" i="3"/>
  <c r="B18" i="3"/>
  <c r="D17" i="3"/>
  <c r="D18" i="3"/>
  <c r="B30" i="3" s="1"/>
  <c r="D30" i="3" l="1"/>
  <c r="B32" i="3"/>
  <c r="D32" i="3" s="1"/>
  <c r="B31" i="3"/>
  <c r="D31" i="3" s="1"/>
</calcChain>
</file>

<file path=xl/sharedStrings.xml><?xml version="1.0" encoding="utf-8"?>
<sst xmlns="http://schemas.openxmlformats.org/spreadsheetml/2006/main" count="217" uniqueCount="194">
  <si>
    <t>BUS123 · MATH-M06 · Tidal Goods Co. — Inventory, Overhead &amp; COGS</t>
  </si>
  <si>
    <t>From Raw Data to Management-Ready Reports</t>
  </si>
  <si>
    <t>Learning Objectives</t>
  </si>
  <si>
    <t>✓  Calculate COGS using the Beginning Inventory + Purchases − Ending Inventory formula</t>
  </si>
  <si>
    <t>✓  Compare inventory values under FIFO and Weighted Average Cost (WAC) methods</t>
  </si>
  <si>
    <t>✓  Calculate gross profit margin and markup percentages from cost and revenue data</t>
  </si>
  <si>
    <t>✓  Allocate overhead costs across departments using a square footage basis</t>
  </si>
  <si>
    <t>✓  Format and present financial data in a clear, professional management report</t>
  </si>
  <si>
    <t>How to Use This Workbook</t>
  </si>
  <si>
    <t>Tab</t>
  </si>
  <si>
    <t>What You'll Do</t>
  </si>
  <si>
    <t>COGS Schedule</t>
  </si>
  <si>
    <t>Enter raw data and build Tidal's quarterly cost of goods sold schedule</t>
  </si>
  <si>
    <t>Inventory Methods</t>
  </si>
  <si>
    <t>Compare FIFO vs Weighted Average Cost — same data, different profit</t>
  </si>
  <si>
    <t>Overhead Allocation</t>
  </si>
  <si>
    <t>Distribute Tidal's indirect costs across its two departments</t>
  </si>
  <si>
    <t>Formula Reference Card</t>
  </si>
  <si>
    <t>Quick-reference guide to all formulas used in this activity</t>
  </si>
  <si>
    <t>Cell Color Legend</t>
  </si>
  <si>
    <t>Yellow cells = YOUR INPUT — these are empty for a reason</t>
  </si>
  <si>
    <t>Green result cells = calculated output (do not edit)</t>
  </si>
  <si>
    <t>White/cream cells = labels, formulas, or reference data</t>
  </si>
  <si>
    <t>📌  Start on the COGS Schedule tab →</t>
  </si>
  <si>
    <t>Tidal Goods Co. — Quarterly COGS Schedule</t>
  </si>
  <si>
    <t>Q1 2026  |  Raw Data → Formatted Management Report</t>
  </si>
  <si>
    <t>RAW DATA — Tidal Goods Co. Q1 2026 Inventory Records</t>
  </si>
  <si>
    <t>Item</t>
  </si>
  <si>
    <t>Jan</t>
  </si>
  <si>
    <t>Feb</t>
  </si>
  <si>
    <t>Mar</t>
  </si>
  <si>
    <t>Q1 Total</t>
  </si>
  <si>
    <t>Beginning Inventory ($)</t>
  </si>
  <si>
    <t>Purchases ($)</t>
  </si>
  <si>
    <t>Ending Inventory ($)</t>
  </si>
  <si>
    <t>Units Sold</t>
  </si>
  <si>
    <t>MANAGEMENT REPORT — COGS Schedule (Build This)</t>
  </si>
  <si>
    <t>Line Item</t>
  </si>
  <si>
    <t>Q1 2026 ($)</t>
  </si>
  <si>
    <t>Notes / Formula Used</t>
  </si>
  <si>
    <t>Beginning Inventory</t>
  </si>
  <si>
    <t>From raw data above — Q1 opening balance</t>
  </si>
  <si>
    <t>+ Purchases</t>
  </si>
  <si>
    <t>Total goods purchased during Q1</t>
  </si>
  <si>
    <t xml:space="preserve"> Goods Available for Sale</t>
  </si>
  <si>
    <t>Beginning Inventory + Purchases</t>
  </si>
  <si>
    <t>- Ending Inventory</t>
  </si>
  <si>
    <t>From physical count at end of Q1</t>
  </si>
  <si>
    <t xml:space="preserve"> COST OF GOODS SOLD</t>
  </si>
  <si>
    <t>Goods Available - Ending Inventory</t>
  </si>
  <si>
    <t>Revenue (Net Sales)</t>
  </si>
  <si>
    <t>Provided: $110,000</t>
  </si>
  <si>
    <t xml:space="preserve"> Gross Profit</t>
  </si>
  <si>
    <t>Revenue - COGS</t>
  </si>
  <si>
    <t xml:space="preserve"> Gross Margin %</t>
  </si>
  <si>
    <t>Gross Profit / Revenue</t>
  </si>
  <si>
    <t>Tidal Goods Co. — Inventory Valuation: FIFO vs Weighted Average Cost</t>
  </si>
  <si>
    <t>Same purchases, same units sold — watch how COGS and ending inventory differ</t>
  </si>
  <si>
    <t>RAW DATA — Paddleboard Purchase Orders (Q1 2026)</t>
  </si>
  <si>
    <t>Purchase Order</t>
  </si>
  <si>
    <t>Date</t>
  </si>
  <si>
    <t>Units Purchased</t>
  </si>
  <si>
    <t>Unit Cost ($)</t>
  </si>
  <si>
    <t>Total Cost ($)</t>
  </si>
  <si>
    <t>PO-101</t>
  </si>
  <si>
    <t>Feb 3, 2026</t>
  </si>
  <si>
    <t>PO-102</t>
  </si>
  <si>
    <t>Mar 12, 2026</t>
  </si>
  <si>
    <t>PO-103</t>
  </si>
  <si>
    <t>Apr 5, 2026</t>
  </si>
  <si>
    <t>TOTALS</t>
  </si>
  <si>
    <t>Units Sold in Q1:</t>
  </si>
  <si>
    <t>← You can change this number to see how COGS changes</t>
  </si>
  <si>
    <t>METHOD A — FIFO (First In, First Out)</t>
  </si>
  <si>
    <t>Oldest purchases go to COGS first</t>
  </si>
  <si>
    <t>Layer</t>
  </si>
  <si>
    <t>Units from this PO</t>
  </si>
  <si>
    <t>Unit Cost</t>
  </si>
  <si>
    <t>COGS from Layer</t>
  </si>
  <si>
    <t>Layer 1 — PO-101 (oldest)</t>
  </si>
  <si>
    <t>Layer 2 — PO-102</t>
  </si>
  <si>
    <t>FIFO — Total COGS</t>
  </si>
  <si>
    <t>METHOD B — Weighted Average Cost (WAC)</t>
  </si>
  <si>
    <t>Blend all purchase costs into one average unit cost</t>
  </si>
  <si>
    <t>Total Units Available</t>
  </si>
  <si>
    <t>← from PO totals above</t>
  </si>
  <si>
    <t>Total Cost Available</t>
  </si>
  <si>
    <t>WAC Unit Cost</t>
  </si>
  <si>
    <t>← Total Cost ÷ Total Units</t>
  </si>
  <si>
    <t>← from input above</t>
  </si>
  <si>
    <t>WAC — Total COGS</t>
  </si>
  <si>
    <t>← Units Sold × WAC Unit Cost</t>
  </si>
  <si>
    <t>MANAGEMENT SUMMARY — Method Comparison</t>
  </si>
  <si>
    <t>Metric</t>
  </si>
  <si>
    <t>FIFO Result</t>
  </si>
  <si>
    <t>WAC Result</t>
  </si>
  <si>
    <t>Difference</t>
  </si>
  <si>
    <t>Business Implication</t>
  </si>
  <si>
    <t>COGS ($)</t>
  </si>
  <si>
    <t>Higher COGS → lower gross profit</t>
  </si>
  <si>
    <t>Remaining units × method cost</t>
  </si>
  <si>
    <t>Gross Profit Impact</t>
  </si>
  <si>
    <t>WAC smooths price fluctuations</t>
  </si>
  <si>
    <t>Tidal Goods Co. — Overhead Cost Allocation Report</t>
  </si>
  <si>
    <t>Q1 2026  |  Distributing indirect costs across departments using square footage</t>
  </si>
  <si>
    <t>STEP 1 — Department Square Footage (Allocation Basis)</t>
  </si>
  <si>
    <t>Department</t>
  </si>
  <si>
    <t>Square Footage</t>
  </si>
  <si>
    <t>% of Total</t>
  </si>
  <si>
    <t>Monthly Revenue ($)</t>
  </si>
  <si>
    <t>Surf Shop (retail floor)</t>
  </si>
  <si>
    <t>Online Warehouse</t>
  </si>
  <si>
    <t>STEP 2 — Monthly Overhead Cost Categories</t>
  </si>
  <si>
    <t>Overhead Category</t>
  </si>
  <si>
    <t>Monthly Cost ($)</t>
  </si>
  <si>
    <t>Allocation Basis</t>
  </si>
  <si>
    <t>Rent</t>
  </si>
  <si>
    <t>Square footage</t>
  </si>
  <si>
    <t>Utilities</t>
  </si>
  <si>
    <t>Insurance</t>
  </si>
  <si>
    <t>Indirect Labor</t>
  </si>
  <si>
    <t>Revenue share</t>
  </si>
  <si>
    <t>Maintenance</t>
  </si>
  <si>
    <t>TOTAL OVERHEAD</t>
  </si>
  <si>
    <t>Carry this total into Step 3</t>
  </si>
  <si>
    <t>STEP 3 — Allocate Overhead to Departments (Build This)</t>
  </si>
  <si>
    <t>Sq Ft %</t>
  </si>
  <si>
    <t>Overhead Allocated ($)</t>
  </si>
  <si>
    <t>Revenue ($)</t>
  </si>
  <si>
    <t>Overhead Rate %</t>
  </si>
  <si>
    <t>Overhead per Unit Sold</t>
  </si>
  <si>
    <t>← Should sum to 100% and total overhead</t>
  </si>
  <si>
    <t>MANAGEMENT SUMMARY — Overhead Rate Analysis</t>
  </si>
  <si>
    <t>Company-wide Overhead Rate</t>
  </si>
  <si>
    <t>$22,000 total overhead ÷ $110,000 revenue</t>
  </si>
  <si>
    <t>Trend Note: Q-over-Q Change</t>
  </si>
  <si>
    <t>Was 18% in Q2 2025 — what changed?</t>
  </si>
  <si>
    <t>BUS123 · MATH-M06 — Formula Reference Card</t>
  </si>
  <si>
    <t>Tidal Goods Co. · Inventory, Overhead &amp; COGS</t>
  </si>
  <si>
    <t>COGS &amp; Profit Calculations</t>
  </si>
  <si>
    <t>Term</t>
  </si>
  <si>
    <t>Formula / Excel Syntax</t>
  </si>
  <si>
    <t>Example (Tidal Goods)</t>
  </si>
  <si>
    <t>Notes</t>
  </si>
  <si>
    <t>COGS</t>
  </si>
  <si>
    <t>'= Beginning Inventory + Purchases – Ending Inventory</t>
  </si>
  <si>
    <t>$12,400 + $38,600 – $9,800 = $41,200</t>
  </si>
  <si>
    <t>Applies to all product-based businesses</t>
  </si>
  <si>
    <t>Gross Profit</t>
  </si>
  <si>
    <t>'= Revenue – COGS</t>
  </si>
  <si>
    <t>$110,000 – $41,200 = $68,800</t>
  </si>
  <si>
    <t>Top-line profitability measure</t>
  </si>
  <si>
    <t>Gross Margin %</t>
  </si>
  <si>
    <t>'= Gross Profit / Revenue</t>
  </si>
  <si>
    <t>$68,800 / $110,000 = 62.5%</t>
  </si>
  <si>
    <t>What percent of revenue remains after product cost</t>
  </si>
  <si>
    <t>Pricing: Margin vs. Markup</t>
  </si>
  <si>
    <t>Gross Margin</t>
  </si>
  <si>
    <t>'= (Revenue – Cost) / Revenue</t>
  </si>
  <si>
    <t>($80 – $48) / $80 = 40%</t>
  </si>
  <si>
    <t>Profit as % of REVENUE — used by finance teams</t>
  </si>
  <si>
    <t>Markup</t>
  </si>
  <si>
    <t>'= (Revenue – Cost) / Cost</t>
  </si>
  <si>
    <t>($80 – $48) / $48 = 66.7%</t>
  </si>
  <si>
    <t>Profit as % of COST — used by buyers to set prices</t>
  </si>
  <si>
    <t>Sell Price (markup)</t>
  </si>
  <si>
    <t>'= Cost × (1 + Markup %)</t>
  </si>
  <si>
    <t>$48 × 1.667 = $80</t>
  </si>
  <si>
    <t>Work backwards from a target markup</t>
  </si>
  <si>
    <t>Inventory Valuation — WAC</t>
  </si>
  <si>
    <t>'= Total Cost Available / Total Units Available</t>
  </si>
  <si>
    <t>($2,100+$2,300+$2,500) / 30 = $230.00</t>
  </si>
  <si>
    <t>Blended average — recalculate when new stock arrives</t>
  </si>
  <si>
    <t>WAC COGS</t>
  </si>
  <si>
    <t>'= Units Sold × WAC Unit Cost</t>
  </si>
  <si>
    <t>20 × $230 = $4,600</t>
  </si>
  <si>
    <t>Same formula regardless of which units were physically sold</t>
  </si>
  <si>
    <t>Ending Inv (WAC)</t>
  </si>
  <si>
    <t>'= Units Remaining × WAC Unit Cost</t>
  </si>
  <si>
    <t>10 × $230 = $2,300</t>
  </si>
  <si>
    <t>Balance sheet asset value</t>
  </si>
  <si>
    <t>Dept % of Total</t>
  </si>
  <si>
    <t>'= Dept Square Footage / Total Square Footage</t>
  </si>
  <si>
    <t>2,400 / 4,000 = 60%</t>
  </si>
  <si>
    <t>Can substitute revenue share or labor hours</t>
  </si>
  <si>
    <t>Overhead Allocated</t>
  </si>
  <si>
    <t>'= Total Overhead × Dept %</t>
  </si>
  <si>
    <t>$9,000 × 60% = $5,400</t>
  </si>
  <si>
    <t>Applied to each overhead category separately</t>
  </si>
  <si>
    <t>Overhead Rate</t>
  </si>
  <si>
    <t>'= Total Overhead / Revenue</t>
  </si>
  <si>
    <t>$22,000 / $110,000 = 20.0%</t>
  </si>
  <si>
    <t>Management watches this quarterly — rising rate = red flag</t>
  </si>
  <si>
    <t>⚠  Margin ÷ by REVENUE.  Markup ÷ by COST.  A 100% markup = only 50% margin.  Never mix them.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</si>
</sst>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$#,##0"/>
    <numFmt numFmtId="166" formatCode="\$#,##0.00"/>
  </numFmts>
  <fonts count="27" x14ac:knownFonts="1">
    <font>
      <sz val="11"/>
      <color theme="1"/>
      <name val="Calibri"/>
      <family val="2"/>
      <charset val="1"/>
    </font>
    <font>
      <b/>
      <sz val="18"/>
      <color rgb="FFFFFFFF"/>
      <name val="Calibri"/>
      <family val="2"/>
    </font>
    <font>
      <i/>
      <sz val="12"/>
      <color rgb="FFB8843D"/>
      <name val="Calibri"/>
      <family val="2"/>
    </font>
    <font>
      <b/>
      <sz val="12"/>
      <color rgb="FFFFFFFF"/>
      <name val="Calibri"/>
      <family val="2"/>
    </font>
    <font>
      <sz val="11"/>
      <color rgb="FF1A1F2C"/>
      <name val="Calibri"/>
      <family val="2"/>
    </font>
    <font>
      <b/>
      <sz val="11"/>
      <color rgb="FFFFFFFF"/>
      <name val="Calibri"/>
      <family val="2"/>
    </font>
    <font>
      <sz val="11"/>
      <color rgb="FF4A7C5E"/>
      <name val="Calibri"/>
      <family val="2"/>
    </font>
    <font>
      <sz val="11"/>
      <name val="Calibri"/>
      <family val="2"/>
    </font>
    <font>
      <b/>
      <sz val="12"/>
      <color rgb="FF4A7C5E"/>
      <name val="Calibri"/>
      <family val="2"/>
    </font>
    <font>
      <b/>
      <sz val="16"/>
      <color rgb="FFFFFFFF"/>
      <name val="Calibri"/>
      <family val="2"/>
    </font>
    <font>
      <i/>
      <sz val="11"/>
      <color rgb="FFB8843D"/>
      <name val="Calibri"/>
      <family val="2"/>
    </font>
    <font>
      <sz val="11"/>
      <color rgb="FF0000FF"/>
      <name val="Calibri"/>
      <family val="2"/>
    </font>
    <font>
      <b/>
      <sz val="11"/>
      <color rgb="FF1A5C35"/>
      <name val="Calibri"/>
      <family val="2"/>
    </font>
    <font>
      <i/>
      <sz val="10"/>
      <color rgb="FF8A8A8A"/>
      <name val="Calibri"/>
      <family val="2"/>
    </font>
    <font>
      <b/>
      <sz val="11"/>
      <color rgb="FF0E1116"/>
      <name val="Calibri"/>
      <family val="2"/>
    </font>
    <font>
      <sz val="11"/>
      <color rgb="FF1A5C35"/>
      <name val="Calibri"/>
      <family val="2"/>
    </font>
    <font>
      <sz val="11"/>
      <color rgb="FF000000"/>
      <name val="Calibri"/>
      <family val="2"/>
    </font>
    <font>
      <b/>
      <sz val="11"/>
      <color rgb="FFB8843D"/>
      <name val="Calibri"/>
      <family val="2"/>
    </font>
    <font>
      <b/>
      <sz val="11"/>
      <color rgb="FF1A1F2C"/>
      <name val="Calibri"/>
      <family val="2"/>
    </font>
    <font>
      <b/>
      <sz val="12"/>
      <color rgb="FF0000FF"/>
      <name val="Calibri"/>
      <family val="2"/>
    </font>
    <font>
      <i/>
      <sz val="11"/>
      <color rgb="FF4A7C5E"/>
      <name val="Calibri"/>
      <family val="2"/>
    </font>
    <font>
      <b/>
      <sz val="13"/>
      <color rgb="FFB8843D"/>
      <name val="Calibri"/>
      <family val="2"/>
    </font>
    <font>
      <i/>
      <sz val="11"/>
      <color rgb="FFFFFFFF"/>
      <name val="Calibri"/>
      <family val="2"/>
    </font>
    <font>
      <i/>
      <sz val="10"/>
      <color rgb="FFB8843D"/>
      <name val="Calibri"/>
      <family val="2"/>
    </font>
    <font>
      <sz val="12"/>
      <color rgb="FF0000FF"/>
      <name val="Calibri"/>
      <family val="2"/>
    </font>
    <font>
      <b/>
      <sz val="10"/>
      <color rgb="FF1A5C35"/>
      <name val="Courier New"/>
      <family val="1"/>
    </font>
    <font>
      <sz val="10"/>
      <color rgb="FF0000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0E1116"/>
        <bgColor rgb="FF1A1F2C"/>
      </patternFill>
    </fill>
    <fill>
      <patternFill patternType="solid">
        <fgColor rgb="FF4A7C5E"/>
        <bgColor rgb="FF666699"/>
      </patternFill>
    </fill>
    <fill>
      <patternFill patternType="solid">
        <fgColor rgb="FFD6EDE0"/>
        <bgColor rgb="FFE8F5E9"/>
      </patternFill>
    </fill>
    <fill>
      <patternFill patternType="solid">
        <fgColor rgb="FFFAF8F3"/>
        <bgColor rgb="FFFFF8EE"/>
      </patternFill>
    </fill>
    <fill>
      <patternFill patternType="solid">
        <fgColor rgb="FFB8843D"/>
        <bgColor rgb="FF8A8A8A"/>
      </patternFill>
    </fill>
    <fill>
      <patternFill patternType="solid">
        <fgColor rgb="FFFFD966"/>
        <bgColor rgb="FFFFCC00"/>
      </patternFill>
    </fill>
    <fill>
      <patternFill patternType="solid">
        <fgColor rgb="FFE8F5E9"/>
        <bgColor rgb="FFFAF8F3"/>
      </patternFill>
    </fill>
    <fill>
      <patternFill patternType="solid">
        <fgColor rgb="FFFFF8EE"/>
        <bgColor rgb="FFFAF8F3"/>
      </patternFill>
    </fill>
    <fill>
      <patternFill patternType="solid">
        <fgColor rgb="FFFBF0DC"/>
        <bgColor rgb="FFFFF8EE"/>
      </patternFill>
    </fill>
    <fill>
      <patternFill patternType="solid">
        <fgColor rgb="FF9C4A2B"/>
        <bgColor rgb="FF993366"/>
      </patternFill>
    </fill>
  </fills>
  <borders count="3">
    <border>
      <left/>
      <right/>
      <top/>
      <bottom/>
      <diagonal/>
    </border>
    <border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  <border>
      <left style="thin">
        <color rgb="FFD4C9B8"/>
      </left>
      <right/>
      <top style="thin">
        <color rgb="FFD4C9B8"/>
      </top>
      <bottom style="thin">
        <color rgb="FFD4C9B8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5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left" vertical="center" indent="1"/>
    </xf>
    <xf numFmtId="0" fontId="5" fillId="3" borderId="2" xfId="0" applyFont="1" applyFill="1" applyBorder="1" applyAlignment="1">
      <alignment horizontal="left" vertical="center" indent="1"/>
    </xf>
    <xf numFmtId="0" fontId="3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 indent="2"/>
    </xf>
    <xf numFmtId="0" fontId="4" fillId="4" borderId="0" xfId="0" applyFont="1" applyFill="1" applyAlignment="1">
      <alignment horizontal="left" vertical="center" indent="2"/>
    </xf>
    <xf numFmtId="0" fontId="3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5" fillId="3" borderId="1" xfId="0" applyFont="1" applyFill="1" applyBorder="1" applyAlignment="1">
      <alignment horizontal="left" vertical="center" indent="2"/>
    </xf>
    <xf numFmtId="0" fontId="6" fillId="5" borderId="1" xfId="0" applyFont="1" applyFill="1" applyBorder="1" applyAlignment="1">
      <alignment horizontal="left" vertical="center" indent="2"/>
    </xf>
    <xf numFmtId="0" fontId="0" fillId="2" borderId="0" xfId="0" applyFill="1"/>
    <xf numFmtId="0" fontId="0" fillId="7" borderId="1" xfId="0" applyFill="1" applyBorder="1"/>
    <xf numFmtId="0" fontId="0" fillId="8" borderId="1" xfId="0" applyFill="1" applyBorder="1"/>
    <xf numFmtId="0" fontId="0" fillId="5" borderId="1" xfId="0" applyFill="1" applyBorder="1"/>
    <xf numFmtId="0" fontId="5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3" fontId="11" fillId="7" borderId="1" xfId="0" applyNumberFormat="1" applyFont="1" applyFill="1" applyBorder="1" applyAlignment="1">
      <alignment horizontal="center"/>
    </xf>
    <xf numFmtId="3" fontId="12" fillId="8" borderId="1" xfId="0" applyNumberFormat="1" applyFont="1" applyFill="1" applyBorder="1" applyAlignment="1">
      <alignment horizontal="center"/>
    </xf>
    <xf numFmtId="0" fontId="4" fillId="9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2"/>
    </xf>
    <xf numFmtId="3" fontId="11" fillId="7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 indent="2"/>
    </xf>
    <xf numFmtId="0" fontId="14" fillId="4" borderId="1" xfId="0" applyFont="1" applyFill="1" applyBorder="1" applyAlignment="1">
      <alignment horizontal="left" vertical="center" indent="2"/>
    </xf>
    <xf numFmtId="3" fontId="15" fillId="8" borderId="1" xfId="0" applyNumberFormat="1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5" fontId="11" fillId="7" borderId="1" xfId="0" applyNumberFormat="1" applyFont="1" applyFill="1" applyBorder="1" applyAlignment="1">
      <alignment horizontal="center"/>
    </xf>
    <xf numFmtId="165" fontId="12" fillId="8" borderId="1" xfId="0" applyNumberFormat="1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center"/>
    </xf>
    <xf numFmtId="0" fontId="0" fillId="2" borderId="1" xfId="0" applyFill="1" applyBorder="1"/>
    <xf numFmtId="165" fontId="17" fillId="2" borderId="1" xfId="0" applyNumberFormat="1" applyFont="1" applyFill="1" applyBorder="1" applyAlignment="1">
      <alignment horizontal="center"/>
    </xf>
    <xf numFmtId="3" fontId="19" fillId="7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5" fontId="15" fillId="8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left" vertical="center"/>
    </xf>
    <xf numFmtId="3" fontId="5" fillId="3" borderId="1" xfId="0" applyNumberFormat="1" applyFont="1" applyFill="1" applyBorder="1" applyAlignment="1">
      <alignment horizontal="center"/>
    </xf>
    <xf numFmtId="0" fontId="0" fillId="3" borderId="1" xfId="0" applyFill="1" applyBorder="1"/>
    <xf numFmtId="165" fontId="21" fillId="3" borderId="1" xfId="0" applyNumberFormat="1" applyFont="1" applyFill="1" applyBorder="1" applyAlignment="1">
      <alignment horizontal="center"/>
    </xf>
    <xf numFmtId="0" fontId="0" fillId="4" borderId="1" xfId="0" applyFill="1" applyBorder="1"/>
    <xf numFmtId="0" fontId="4" fillId="10" borderId="1" xfId="0" applyFont="1" applyFill="1" applyBorder="1" applyAlignment="1">
      <alignment horizontal="left" vertical="center"/>
    </xf>
    <xf numFmtId="3" fontId="15" fillId="8" borderId="1" xfId="0" applyNumberFormat="1" applyFont="1" applyFill="1" applyBorder="1" applyAlignment="1">
      <alignment horizontal="center"/>
    </xf>
    <xf numFmtId="166" fontId="15" fillId="8" borderId="1" xfId="0" applyNumberFormat="1" applyFont="1" applyFill="1" applyBorder="1" applyAlignment="1">
      <alignment horizontal="center"/>
    </xf>
    <xf numFmtId="0" fontId="18" fillId="10" borderId="1" xfId="0" applyFont="1" applyFill="1" applyBorder="1" applyAlignment="1">
      <alignment horizontal="left" vertical="center"/>
    </xf>
    <xf numFmtId="166" fontId="11" fillId="7" borderId="1" xfId="0" applyNumberFormat="1" applyFont="1" applyFill="1" applyBorder="1" applyAlignment="1">
      <alignment horizontal="center"/>
    </xf>
    <xf numFmtId="164" fontId="11" fillId="7" borderId="1" xfId="0" applyNumberFormat="1" applyFont="1" applyFill="1" applyBorder="1" applyAlignment="1">
      <alignment horizontal="center"/>
    </xf>
    <xf numFmtId="0" fontId="0" fillId="9" borderId="1" xfId="0" applyFill="1" applyBorder="1"/>
    <xf numFmtId="0" fontId="5" fillId="2" borderId="1" xfId="0" applyFont="1" applyFill="1" applyBorder="1" applyAlignment="1">
      <alignment horizontal="left" vertical="center"/>
    </xf>
    <xf numFmtId="3" fontId="17" fillId="2" borderId="1" xfId="0" applyNumberFormat="1" applyFont="1" applyFill="1" applyBorder="1" applyAlignment="1">
      <alignment horizontal="center"/>
    </xf>
    <xf numFmtId="164" fontId="17" fillId="2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left" vertical="center" indent="1"/>
    </xf>
    <xf numFmtId="49" fontId="15" fillId="8" borderId="1" xfId="0" applyNumberFormat="1" applyFont="1" applyFill="1" applyBorder="1" applyAlignment="1">
      <alignment horizontal="center"/>
    </xf>
    <xf numFmtId="164" fontId="15" fillId="8" borderId="1" xfId="0" applyNumberFormat="1" applyFont="1" applyFill="1" applyBorder="1" applyAlignment="1">
      <alignment horizontal="center"/>
    </xf>
    <xf numFmtId="164" fontId="24" fillId="7" borderId="1" xfId="0" applyNumberFormat="1" applyFont="1" applyFill="1" applyBorder="1" applyAlignment="1">
      <alignment horizontal="center"/>
    </xf>
    <xf numFmtId="0" fontId="18" fillId="5" borderId="1" xfId="0" applyFont="1" applyFill="1" applyBorder="1" applyAlignment="1">
      <alignment horizontal="left" vertical="center"/>
    </xf>
    <xf numFmtId="0" fontId="25" fillId="4" borderId="1" xfId="0" applyFont="1" applyFill="1" applyBorder="1" applyAlignment="1">
      <alignment horizontal="left" vertical="center" wrapText="1" indent="1"/>
    </xf>
    <xf numFmtId="0" fontId="26" fillId="10" borderId="1" xfId="0" applyFont="1" applyFill="1" applyBorder="1" applyAlignment="1">
      <alignment horizontal="left" vertical="center" wrapText="1" indent="1"/>
    </xf>
    <xf numFmtId="0" fontId="13" fillId="5" borderId="1" xfId="0" applyFont="1" applyFill="1" applyBorder="1" applyAlignment="1">
      <alignment horizontal="left" vertical="center" wrapText="1" indent="1"/>
    </xf>
    <xf numFmtId="0" fontId="18" fillId="9" borderId="1" xfId="0" applyFont="1" applyFill="1" applyBorder="1" applyAlignment="1">
      <alignment horizontal="left" vertical="center"/>
    </xf>
    <xf numFmtId="0" fontId="13" fillId="9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 indent="1"/>
    </xf>
    <xf numFmtId="0" fontId="18" fillId="5" borderId="2" xfId="0" applyFont="1" applyFill="1" applyBorder="1" applyAlignment="1">
      <alignment horizontal="left" vertical="center"/>
    </xf>
    <xf numFmtId="0" fontId="13" fillId="5" borderId="0" xfId="0" applyFont="1" applyFill="1" applyAlignment="1">
      <alignment horizontal="left" vertical="center" indent="1"/>
    </xf>
    <xf numFmtId="0" fontId="20" fillId="4" borderId="0" xfId="0" applyFont="1" applyFill="1" applyAlignment="1">
      <alignment horizontal="left" vertical="center" indent="2"/>
    </xf>
    <xf numFmtId="0" fontId="10" fillId="10" borderId="0" xfId="0" applyFont="1" applyFill="1" applyAlignment="1">
      <alignment horizontal="left" vertical="center" indent="2"/>
    </xf>
    <xf numFmtId="0" fontId="5" fillId="2" borderId="0" xfId="0" applyFont="1" applyFill="1" applyAlignment="1">
      <alignment horizontal="center" vertical="center"/>
    </xf>
    <xf numFmtId="0" fontId="13" fillId="9" borderId="2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 indent="1"/>
    </xf>
    <xf numFmtId="0" fontId="22" fillId="3" borderId="0" xfId="0" applyFont="1" applyFill="1" applyAlignment="1">
      <alignment horizontal="left" vertical="center" indent="1"/>
    </xf>
    <xf numFmtId="3" fontId="23" fillId="2" borderId="1" xfId="0" applyNumberFormat="1" applyFont="1" applyFill="1" applyBorder="1" applyAlignment="1">
      <alignment horizontal="left" vertical="center" indent="1"/>
    </xf>
    <xf numFmtId="0" fontId="13" fillId="10" borderId="2" xfId="0" applyFont="1" applyFill="1" applyBorder="1" applyAlignment="1">
      <alignment horizontal="left" vertical="center" indent="1"/>
    </xf>
    <xf numFmtId="0" fontId="5" fillId="1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C35"/>
      <rgbColor rgb="FF000080"/>
      <rgbColor rgb="FFB8843D"/>
      <rgbColor rgb="FF800080"/>
      <rgbColor rgb="FF008080"/>
      <rgbColor rgb="FFD4C9B8"/>
      <rgbColor rgb="FF8A8A8A"/>
      <rgbColor rgb="FF9999FF"/>
      <rgbColor rgb="FF993366"/>
      <rgbColor rgb="FFFFF8EE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8F3"/>
      <rgbColor rgb="FFD6EDE0"/>
      <rgbColor rgb="FFFBF0DC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C5E"/>
      <rgbColor rgb="FF0E1116"/>
      <rgbColor rgb="FF333300"/>
      <rgbColor rgb="FF9C4A2B"/>
      <rgbColor rgb="FF993366"/>
      <rgbColor rgb="FF333399"/>
      <rgbColor rgb="FF1A1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97B5F63-40CC-2844-8F25-8A57E28C9E73}">
  <we:reference id="wa200010215" version="2.0.0.0" store="en-U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showGridLines="0" topLeftCell="A4" zoomScaleNormal="100" workbookViewId="0">
      <selection sqref="A1:G1"/>
    </sheetView>
  </sheetViews>
  <sheetFormatPr baseColWidth="10" defaultColWidth="8.6640625" defaultRowHeight="15" x14ac:dyDescent="0.2"/>
  <cols>
    <col min="1" max="1" width="28" customWidth="1"/>
    <col min="2" max="2" width="8" customWidth="1"/>
    <col min="3" max="3" width="30" customWidth="1"/>
    <col min="4" max="7" width="15" customWidth="1"/>
  </cols>
  <sheetData>
    <row r="1" spans="1:7" ht="60" customHeight="1" x14ac:dyDescent="0.2">
      <c r="A1" s="14" t="s">
        <v>0</v>
      </c>
      <c r="B1" s="14"/>
      <c r="C1" s="14"/>
      <c r="D1" s="14"/>
      <c r="E1" s="14"/>
      <c r="F1" s="14"/>
      <c r="G1" s="14"/>
    </row>
    <row r="2" spans="1:7" ht="27.75" customHeight="1" x14ac:dyDescent="0.2">
      <c r="A2" s="13" t="s">
        <v>1</v>
      </c>
      <c r="B2" s="13"/>
      <c r="C2" s="13"/>
      <c r="D2" s="13"/>
      <c r="E2" s="13"/>
      <c r="F2" s="13"/>
      <c r="G2" s="13"/>
    </row>
    <row r="3" spans="1:7" ht="19.5" customHeight="1" x14ac:dyDescent="0.2">
      <c r="A3" s="15"/>
      <c r="B3" s="15"/>
      <c r="C3" s="15"/>
      <c r="D3" s="15"/>
      <c r="E3" s="15"/>
      <c r="F3" s="15"/>
      <c r="G3" s="15"/>
    </row>
    <row r="4" spans="1:7" ht="15.75" customHeight="1" x14ac:dyDescent="0.2"/>
    <row r="5" spans="1:7" ht="31.5" customHeight="1" x14ac:dyDescent="0.2">
      <c r="A5" s="12" t="s">
        <v>2</v>
      </c>
      <c r="B5" s="12"/>
      <c r="C5" s="12"/>
      <c r="D5" s="12"/>
      <c r="E5" s="12"/>
      <c r="F5" s="12"/>
      <c r="G5" s="12"/>
    </row>
    <row r="6" spans="1:7" ht="21.75" customHeight="1" x14ac:dyDescent="0.2">
      <c r="A6" s="11" t="s">
        <v>3</v>
      </c>
      <c r="B6" s="11"/>
      <c r="C6" s="11"/>
      <c r="D6" s="11"/>
      <c r="E6" s="11"/>
      <c r="F6" s="11"/>
      <c r="G6" s="11"/>
    </row>
    <row r="7" spans="1:7" ht="21.75" customHeight="1" x14ac:dyDescent="0.2">
      <c r="A7" s="10" t="s">
        <v>4</v>
      </c>
      <c r="B7" s="10"/>
      <c r="C7" s="10"/>
      <c r="D7" s="10"/>
      <c r="E7" s="10"/>
      <c r="F7" s="10"/>
      <c r="G7" s="10"/>
    </row>
    <row r="8" spans="1:7" ht="21.75" customHeight="1" x14ac:dyDescent="0.2">
      <c r="A8" s="11" t="s">
        <v>5</v>
      </c>
      <c r="B8" s="11"/>
      <c r="C8" s="11"/>
      <c r="D8" s="11"/>
      <c r="E8" s="11"/>
      <c r="F8" s="11"/>
      <c r="G8" s="11"/>
    </row>
    <row r="9" spans="1:7" ht="21.75" customHeight="1" x14ac:dyDescent="0.2">
      <c r="A9" s="10" t="s">
        <v>6</v>
      </c>
      <c r="B9" s="10"/>
      <c r="C9" s="10"/>
      <c r="D9" s="10"/>
      <c r="E9" s="10"/>
      <c r="F9" s="10"/>
      <c r="G9" s="10"/>
    </row>
    <row r="10" spans="1:7" ht="21.75" customHeight="1" x14ac:dyDescent="0.2">
      <c r="A10" s="11" t="s">
        <v>7</v>
      </c>
      <c r="B10" s="11"/>
      <c r="C10" s="11"/>
      <c r="D10" s="11"/>
      <c r="E10" s="11"/>
      <c r="F10" s="11"/>
      <c r="G10" s="11"/>
    </row>
    <row r="12" spans="1:7" ht="19.5" customHeight="1" x14ac:dyDescent="0.2"/>
    <row r="13" spans="1:7" ht="31.5" customHeight="1" x14ac:dyDescent="0.2">
      <c r="A13" s="9" t="s">
        <v>8</v>
      </c>
      <c r="B13" s="9"/>
      <c r="C13" s="9"/>
      <c r="D13" s="9"/>
      <c r="E13" s="9"/>
      <c r="F13" s="9"/>
      <c r="G13" s="9"/>
    </row>
    <row r="14" spans="1:7" ht="24" customHeight="1" x14ac:dyDescent="0.2">
      <c r="A14" s="16" t="s">
        <v>9</v>
      </c>
      <c r="B14" s="8" t="s">
        <v>10</v>
      </c>
      <c r="C14" s="8"/>
      <c r="D14" s="8"/>
      <c r="E14" s="8"/>
      <c r="F14" s="8"/>
      <c r="G14" s="8"/>
    </row>
    <row r="15" spans="1:7" ht="24" customHeight="1" x14ac:dyDescent="0.2">
      <c r="A15" s="17" t="s">
        <v>11</v>
      </c>
      <c r="B15" s="7" t="s">
        <v>12</v>
      </c>
      <c r="C15" s="7"/>
      <c r="D15" s="7"/>
      <c r="E15" s="7"/>
      <c r="F15" s="7"/>
      <c r="G15" s="7"/>
    </row>
    <row r="16" spans="1:7" ht="24" customHeight="1" x14ac:dyDescent="0.2">
      <c r="A16" s="17" t="s">
        <v>13</v>
      </c>
      <c r="B16" s="7" t="s">
        <v>14</v>
      </c>
      <c r="C16" s="7"/>
      <c r="D16" s="7"/>
      <c r="E16" s="7"/>
      <c r="F16" s="7"/>
      <c r="G16" s="7"/>
    </row>
    <row r="17" spans="1:7" ht="24" customHeight="1" x14ac:dyDescent="0.2">
      <c r="A17" s="17" t="s">
        <v>15</v>
      </c>
      <c r="B17" s="7" t="s">
        <v>16</v>
      </c>
      <c r="C17" s="7"/>
      <c r="D17" s="7"/>
      <c r="E17" s="7"/>
      <c r="F17" s="7"/>
      <c r="G17" s="7"/>
    </row>
    <row r="18" spans="1:7" ht="24" customHeight="1" x14ac:dyDescent="0.2">
      <c r="A18" s="17" t="s">
        <v>17</v>
      </c>
      <c r="B18" s="7" t="s">
        <v>18</v>
      </c>
      <c r="C18" s="7"/>
      <c r="D18" s="7"/>
      <c r="E18" s="7"/>
      <c r="F18" s="7"/>
      <c r="G18" s="7"/>
    </row>
    <row r="20" spans="1:7" ht="19.5" customHeight="1" x14ac:dyDescent="0.2"/>
    <row r="21" spans="1:7" ht="27.75" customHeight="1" x14ac:dyDescent="0.2">
      <c r="A21" s="6" t="s">
        <v>19</v>
      </c>
      <c r="B21" s="6"/>
      <c r="C21" s="6"/>
      <c r="D21" s="6"/>
      <c r="E21" s="6"/>
      <c r="F21" s="6"/>
      <c r="G21" s="6"/>
    </row>
    <row r="22" spans="1:7" ht="21.75" customHeight="1" x14ac:dyDescent="0.2">
      <c r="A22" s="18"/>
      <c r="B22" s="19"/>
      <c r="C22" s="5" t="s">
        <v>20</v>
      </c>
      <c r="D22" s="5"/>
      <c r="E22" s="5"/>
      <c r="F22" s="5"/>
      <c r="G22" s="5"/>
    </row>
    <row r="23" spans="1:7" ht="21.75" customHeight="1" x14ac:dyDescent="0.2">
      <c r="A23" s="18"/>
      <c r="B23" s="20"/>
      <c r="C23" s="5" t="s">
        <v>21</v>
      </c>
      <c r="D23" s="5"/>
      <c r="E23" s="5"/>
      <c r="F23" s="5"/>
      <c r="G23" s="5"/>
    </row>
    <row r="24" spans="1:7" ht="21.75" customHeight="1" x14ac:dyDescent="0.2">
      <c r="A24" s="18"/>
      <c r="B24" s="21"/>
      <c r="C24" s="5" t="s">
        <v>22</v>
      </c>
      <c r="D24" s="5"/>
      <c r="E24" s="5"/>
      <c r="F24" s="5"/>
      <c r="G24" s="5"/>
    </row>
    <row r="26" spans="1:7" ht="19.5" customHeight="1" x14ac:dyDescent="0.2"/>
    <row r="27" spans="1:7" ht="30" customHeight="1" x14ac:dyDescent="0.2">
      <c r="A27" s="4" t="s">
        <v>23</v>
      </c>
      <c r="B27" s="4"/>
      <c r="C27" s="4"/>
      <c r="D27" s="4"/>
      <c r="E27" s="4"/>
      <c r="F27" s="4"/>
      <c r="G27" s="4"/>
    </row>
  </sheetData>
  <mergeCells count="19">
    <mergeCell ref="C22:G22"/>
    <mergeCell ref="C23:G23"/>
    <mergeCell ref="C24:G24"/>
    <mergeCell ref="A27:G27"/>
    <mergeCell ref="B15:G15"/>
    <mergeCell ref="B16:G16"/>
    <mergeCell ref="B17:G17"/>
    <mergeCell ref="B18:G18"/>
    <mergeCell ref="A21:G21"/>
    <mergeCell ref="A8:G8"/>
    <mergeCell ref="A9:G9"/>
    <mergeCell ref="A10:G10"/>
    <mergeCell ref="A13:G13"/>
    <mergeCell ref="B14:G14"/>
    <mergeCell ref="A1:G1"/>
    <mergeCell ref="A2:G2"/>
    <mergeCell ref="A5:G5"/>
    <mergeCell ref="A6:G6"/>
    <mergeCell ref="A7:G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showGridLines="0" zoomScaleNormal="100" workbookViewId="0">
      <selection sqref="A1:F1"/>
    </sheetView>
  </sheetViews>
  <sheetFormatPr baseColWidth="10" defaultColWidth="8.6640625" defaultRowHeight="15" x14ac:dyDescent="0.2"/>
  <cols>
    <col min="1" max="1" width="32" customWidth="1"/>
    <col min="2" max="2" width="16" customWidth="1"/>
    <col min="3" max="3" width="36" customWidth="1"/>
    <col min="4" max="6" width="12" customWidth="1"/>
  </cols>
  <sheetData>
    <row r="1" spans="1:6" ht="48" customHeight="1" x14ac:dyDescent="0.2">
      <c r="A1" s="3" t="s">
        <v>24</v>
      </c>
      <c r="B1" s="3"/>
      <c r="C1" s="3"/>
      <c r="D1" s="3"/>
      <c r="E1" s="3"/>
      <c r="F1" s="3"/>
    </row>
    <row r="2" spans="1:6" ht="24" customHeight="1" x14ac:dyDescent="0.2">
      <c r="A2" s="2" t="s">
        <v>25</v>
      </c>
      <c r="B2" s="2"/>
      <c r="C2" s="2"/>
      <c r="D2" s="2"/>
      <c r="E2" s="2"/>
      <c r="F2" s="2"/>
    </row>
    <row r="3" spans="1:6" ht="6" customHeight="1" x14ac:dyDescent="0.2">
      <c r="A3" s="15"/>
      <c r="B3" s="15"/>
      <c r="C3" s="15"/>
      <c r="D3" s="15"/>
      <c r="E3" s="15"/>
      <c r="F3" s="15"/>
    </row>
    <row r="4" spans="1:6" ht="13.5" customHeight="1" x14ac:dyDescent="0.2"/>
    <row r="5" spans="1:6" ht="27.75" customHeight="1" x14ac:dyDescent="0.2">
      <c r="A5" s="6" t="s">
        <v>26</v>
      </c>
      <c r="B5" s="6"/>
      <c r="C5" s="6"/>
      <c r="D5" s="6"/>
      <c r="E5" s="6"/>
      <c r="F5" s="6"/>
    </row>
    <row r="6" spans="1:6" ht="24" customHeight="1" x14ac:dyDescent="0.2">
      <c r="A6" s="22" t="s">
        <v>27</v>
      </c>
      <c r="B6" s="22" t="s">
        <v>28</v>
      </c>
      <c r="C6" s="22" t="s">
        <v>29</v>
      </c>
      <c r="D6" s="22" t="s">
        <v>30</v>
      </c>
      <c r="E6" s="22" t="s">
        <v>31</v>
      </c>
    </row>
    <row r="7" spans="1:6" ht="21.75" customHeight="1" x14ac:dyDescent="0.2">
      <c r="A7" s="23" t="s">
        <v>32</v>
      </c>
      <c r="B7" s="24">
        <v>12400</v>
      </c>
      <c r="C7" s="24">
        <v>14200</v>
      </c>
      <c r="D7" s="24">
        <v>13800</v>
      </c>
      <c r="E7">
        <f>SUM(B7:D7)</f>
        <v>40400</v>
      </c>
      <c r="F7" s="25"/>
    </row>
    <row r="8" spans="1:6" ht="21.75" customHeight="1" x14ac:dyDescent="0.2">
      <c r="A8" s="26" t="s">
        <v>33</v>
      </c>
      <c r="B8" s="24">
        <v>14600</v>
      </c>
      <c r="C8" s="24">
        <v>12800</v>
      </c>
      <c r="D8" s="24">
        <v>11200</v>
      </c>
      <c r="E8">
        <f>SUM(B8:D8)</f>
        <v>38600</v>
      </c>
      <c r="F8" s="25"/>
    </row>
    <row r="9" spans="1:6" ht="21.75" customHeight="1" x14ac:dyDescent="0.2">
      <c r="A9" s="23" t="s">
        <v>34</v>
      </c>
      <c r="B9" s="24">
        <v>14200</v>
      </c>
      <c r="C9" s="24">
        <v>13800</v>
      </c>
      <c r="D9" s="24">
        <v>9800</v>
      </c>
      <c r="E9">
        <f>SUM(B9:D9)</f>
        <v>37800</v>
      </c>
      <c r="F9" s="25"/>
    </row>
    <row r="10" spans="1:6" ht="21.75" customHeight="1" x14ac:dyDescent="0.2">
      <c r="A10" s="26" t="s">
        <v>35</v>
      </c>
      <c r="B10" s="24">
        <v>320</v>
      </c>
      <c r="C10" s="24">
        <v>290</v>
      </c>
      <c r="D10" s="24">
        <v>410</v>
      </c>
      <c r="E10">
        <f>SUM(B10:D10)</f>
        <v>1020</v>
      </c>
      <c r="F10" s="25"/>
    </row>
    <row r="12" spans="1:6" ht="15.75" customHeight="1" x14ac:dyDescent="0.2"/>
    <row r="13" spans="1:6" ht="27.75" customHeight="1" x14ac:dyDescent="0.2">
      <c r="A13" s="1" t="s">
        <v>36</v>
      </c>
      <c r="B13" s="1"/>
      <c r="C13" s="1"/>
      <c r="D13" s="1"/>
      <c r="E13" s="1"/>
      <c r="F13" s="1"/>
    </row>
    <row r="14" spans="1:6" ht="24" customHeight="1" x14ac:dyDescent="0.2">
      <c r="A14" s="27" t="s">
        <v>37</v>
      </c>
      <c r="B14" s="28" t="s">
        <v>38</v>
      </c>
      <c r="C14" s="72" t="s">
        <v>39</v>
      </c>
      <c r="D14" s="72"/>
      <c r="E14" s="72"/>
      <c r="F14" s="72"/>
    </row>
    <row r="15" spans="1:6" ht="25.5" customHeight="1" x14ac:dyDescent="0.2">
      <c r="A15" s="29" t="s">
        <v>40</v>
      </c>
      <c r="B15" s="30">
        <f>B7</f>
        <v>12400</v>
      </c>
      <c r="C15" s="73" t="s">
        <v>41</v>
      </c>
      <c r="D15" s="73"/>
      <c r="E15" s="73"/>
      <c r="F15" s="73"/>
    </row>
    <row r="16" spans="1:6" ht="25.5" customHeight="1" x14ac:dyDescent="0.2">
      <c r="A16" s="31" t="s">
        <v>42</v>
      </c>
      <c r="B16" s="30">
        <f>E8</f>
        <v>38600</v>
      </c>
      <c r="C16" s="73" t="s">
        <v>43</v>
      </c>
      <c r="D16" s="73"/>
      <c r="E16" s="73"/>
      <c r="F16" s="73"/>
    </row>
    <row r="17" spans="1:6" ht="25.5" customHeight="1" x14ac:dyDescent="0.2">
      <c r="A17" s="32" t="s">
        <v>44</v>
      </c>
      <c r="B17" s="33">
        <f>B15+B16</f>
        <v>51000</v>
      </c>
      <c r="C17" s="73" t="s">
        <v>45</v>
      </c>
      <c r="D17" s="73"/>
      <c r="E17" s="73"/>
      <c r="F17" s="73"/>
    </row>
    <row r="18" spans="1:6" ht="25.5" customHeight="1" x14ac:dyDescent="0.2">
      <c r="A18" s="31" t="s">
        <v>46</v>
      </c>
      <c r="B18" s="30">
        <f>D9</f>
        <v>9800</v>
      </c>
      <c r="C18" s="73" t="s">
        <v>47</v>
      </c>
      <c r="D18" s="73"/>
      <c r="E18" s="73"/>
      <c r="F18" s="73"/>
    </row>
    <row r="19" spans="1:6" ht="25.5" customHeight="1" x14ac:dyDescent="0.2">
      <c r="A19" s="32" t="s">
        <v>48</v>
      </c>
      <c r="B19" s="33">
        <f>B17-B18</f>
        <v>41200</v>
      </c>
      <c r="C19" s="73" t="s">
        <v>49</v>
      </c>
      <c r="D19" s="73"/>
      <c r="E19" s="73"/>
      <c r="F19" s="73"/>
    </row>
    <row r="20" spans="1:6" ht="25.5" customHeight="1" x14ac:dyDescent="0.2">
      <c r="A20" s="31" t="s">
        <v>50</v>
      </c>
      <c r="B20" s="30">
        <v>110000</v>
      </c>
      <c r="C20" s="73" t="s">
        <v>51</v>
      </c>
      <c r="D20" s="73"/>
      <c r="E20" s="73"/>
      <c r="F20" s="73"/>
    </row>
    <row r="21" spans="1:6" ht="25.5" customHeight="1" x14ac:dyDescent="0.2">
      <c r="A21" s="32" t="s">
        <v>52</v>
      </c>
      <c r="B21" s="33">
        <f>B20-B19</f>
        <v>68800</v>
      </c>
      <c r="C21" s="73" t="s">
        <v>53</v>
      </c>
      <c r="D21" s="73"/>
      <c r="E21" s="73"/>
      <c r="F21" s="73"/>
    </row>
    <row r="22" spans="1:6" ht="25.5" customHeight="1" x14ac:dyDescent="0.2">
      <c r="A22" s="32" t="s">
        <v>54</v>
      </c>
      <c r="B22" s="34">
        <f>B21/B20</f>
        <v>0.62545454545454549</v>
      </c>
      <c r="C22" s="73" t="s">
        <v>55</v>
      </c>
      <c r="D22" s="73"/>
      <c r="E22" s="73"/>
      <c r="F22" s="73"/>
    </row>
    <row r="23" spans="1:6" ht="7.5" customHeight="1" x14ac:dyDescent="0.2">
      <c r="A23" s="15"/>
      <c r="B23" s="15"/>
      <c r="C23" s="15"/>
      <c r="D23" s="15"/>
      <c r="E23" s="15"/>
      <c r="F23" s="15"/>
    </row>
  </sheetData>
  <mergeCells count="13">
    <mergeCell ref="C20:F20"/>
    <mergeCell ref="C21:F21"/>
    <mergeCell ref="C22:F22"/>
    <mergeCell ref="C15:F15"/>
    <mergeCell ref="C16:F16"/>
    <mergeCell ref="C17:F17"/>
    <mergeCell ref="C18:F18"/>
    <mergeCell ref="C19:F19"/>
    <mergeCell ref="A1:F1"/>
    <mergeCell ref="A2:F2"/>
    <mergeCell ref="A5:F5"/>
    <mergeCell ref="A13:F13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showGridLines="0" tabSelected="1" zoomScaleNormal="100" workbookViewId="0">
      <selection activeCell="C8" sqref="C8"/>
    </sheetView>
  </sheetViews>
  <sheetFormatPr baseColWidth="10" defaultColWidth="8.6640625" defaultRowHeight="15" x14ac:dyDescent="0.2"/>
  <cols>
    <col min="1" max="1" width="28" customWidth="1"/>
    <col min="2" max="4" width="14" customWidth="1"/>
    <col min="5" max="5" width="30" customWidth="1"/>
    <col min="6" max="8" width="10" customWidth="1"/>
  </cols>
  <sheetData>
    <row r="1" spans="1:8" ht="48" customHeight="1" x14ac:dyDescent="0.2">
      <c r="A1" s="3" t="s">
        <v>56</v>
      </c>
      <c r="B1" s="3"/>
      <c r="C1" s="3"/>
      <c r="D1" s="3"/>
      <c r="E1" s="3"/>
      <c r="F1" s="3"/>
      <c r="G1" s="3"/>
      <c r="H1" s="3"/>
    </row>
    <row r="2" spans="1:8" ht="24" customHeight="1" x14ac:dyDescent="0.2">
      <c r="A2" s="2" t="s">
        <v>57</v>
      </c>
      <c r="B2" s="2"/>
      <c r="C2" s="2"/>
      <c r="D2" s="2"/>
      <c r="E2" s="2"/>
      <c r="F2" s="2"/>
      <c r="G2" s="2"/>
      <c r="H2" s="2"/>
    </row>
    <row r="3" spans="1:8" ht="6" customHeight="1" x14ac:dyDescent="0.2">
      <c r="A3" s="15"/>
      <c r="B3" s="15"/>
      <c r="C3" s="15"/>
      <c r="D3" s="15"/>
      <c r="E3" s="15"/>
      <c r="F3" s="15"/>
      <c r="G3" s="15"/>
      <c r="H3" s="15"/>
    </row>
    <row r="4" spans="1:8" ht="13.5" customHeight="1" x14ac:dyDescent="0.2"/>
    <row r="5" spans="1:8" ht="27.75" customHeight="1" x14ac:dyDescent="0.2">
      <c r="A5" s="6" t="s">
        <v>58</v>
      </c>
      <c r="B5" s="6"/>
      <c r="C5" s="6"/>
      <c r="D5" s="6"/>
      <c r="E5" s="6"/>
      <c r="F5" s="6"/>
      <c r="G5" s="6"/>
      <c r="H5" s="6"/>
    </row>
    <row r="6" spans="1:8" ht="24" customHeight="1" x14ac:dyDescent="0.2">
      <c r="A6" s="22" t="s">
        <v>59</v>
      </c>
      <c r="B6" s="22" t="s">
        <v>60</v>
      </c>
      <c r="C6" s="22" t="s">
        <v>61</v>
      </c>
      <c r="D6" s="22" t="s">
        <v>62</v>
      </c>
      <c r="E6" s="22" t="s">
        <v>63</v>
      </c>
    </row>
    <row r="7" spans="1:8" ht="21.75" customHeight="1" x14ac:dyDescent="0.2">
      <c r="A7" s="35" t="s">
        <v>64</v>
      </c>
      <c r="B7" s="35" t="s">
        <v>65</v>
      </c>
      <c r="C7" s="24">
        <v>10</v>
      </c>
      <c r="D7" s="36">
        <v>210</v>
      </c>
      <c r="E7" s="37">
        <f>C7*D7</f>
        <v>2100</v>
      </c>
    </row>
    <row r="8" spans="1:8" ht="21.75" customHeight="1" x14ac:dyDescent="0.2">
      <c r="A8" s="38" t="s">
        <v>66</v>
      </c>
      <c r="B8" s="38" t="s">
        <v>67</v>
      </c>
      <c r="C8" s="24">
        <v>10</v>
      </c>
      <c r="D8" s="36">
        <v>230</v>
      </c>
      <c r="E8" s="37">
        <f>C8*D8</f>
        <v>2300</v>
      </c>
    </row>
    <row r="9" spans="1:8" ht="21.75" customHeight="1" x14ac:dyDescent="0.2">
      <c r="A9" s="35" t="s">
        <v>68</v>
      </c>
      <c r="B9" s="35" t="s">
        <v>69</v>
      </c>
      <c r="C9" s="24">
        <v>10</v>
      </c>
      <c r="D9" s="36">
        <v>250</v>
      </c>
      <c r="E9" s="37">
        <f>C9*D9</f>
        <v>2500</v>
      </c>
    </row>
    <row r="10" spans="1:8" ht="24" customHeight="1" x14ac:dyDescent="0.2">
      <c r="A10" s="28" t="s">
        <v>70</v>
      </c>
      <c r="B10" s="39"/>
      <c r="C10" s="40">
        <f>SUM(C7:C9)</f>
        <v>30</v>
      </c>
      <c r="D10" s="41"/>
      <c r="E10" s="42">
        <f>SUM(E7:E9)</f>
        <v>6900</v>
      </c>
    </row>
    <row r="11" spans="1:8" ht="13.5" customHeight="1" x14ac:dyDescent="0.2"/>
    <row r="12" spans="1:8" ht="25.5" customHeight="1" x14ac:dyDescent="0.2">
      <c r="A12" s="74" t="s">
        <v>71</v>
      </c>
      <c r="B12" s="74"/>
      <c r="C12" s="43">
        <v>20</v>
      </c>
      <c r="D12" s="75" t="s">
        <v>72</v>
      </c>
      <c r="E12" s="75"/>
      <c r="F12" s="75"/>
      <c r="G12" s="75"/>
      <c r="H12" s="75"/>
    </row>
    <row r="13" spans="1:8" ht="15.75" customHeight="1" x14ac:dyDescent="0.2"/>
    <row r="14" spans="1:8" ht="27.75" customHeight="1" x14ac:dyDescent="0.2">
      <c r="A14" s="1" t="s">
        <v>73</v>
      </c>
      <c r="B14" s="1"/>
      <c r="C14" s="1"/>
      <c r="D14" s="1"/>
      <c r="E14" s="76" t="s">
        <v>74</v>
      </c>
      <c r="F14" s="76"/>
      <c r="G14" s="76"/>
      <c r="H14" s="76"/>
    </row>
    <row r="15" spans="1:8" ht="21.75" customHeight="1" x14ac:dyDescent="0.2">
      <c r="A15" s="44" t="s">
        <v>75</v>
      </c>
      <c r="B15" s="44" t="s">
        <v>76</v>
      </c>
      <c r="C15" s="44" t="s">
        <v>77</v>
      </c>
      <c r="D15" s="44" t="s">
        <v>78</v>
      </c>
    </row>
    <row r="16" spans="1:8" ht="21.75" customHeight="1" x14ac:dyDescent="0.2">
      <c r="A16" s="45" t="s">
        <v>79</v>
      </c>
      <c r="B16" s="24">
        <f>MIN($C$12,C7)</f>
        <v>10</v>
      </c>
      <c r="C16" s="46">
        <f>D7</f>
        <v>210</v>
      </c>
      <c r="D16" s="36">
        <f>B16*C16</f>
        <v>2100</v>
      </c>
    </row>
    <row r="17" spans="1:8" ht="21.75" customHeight="1" x14ac:dyDescent="0.2">
      <c r="A17" s="23" t="s">
        <v>80</v>
      </c>
      <c r="B17" s="24">
        <f>MIN(MAX($C$12-SUM($B$16:B16),0),C8)</f>
        <v>10</v>
      </c>
      <c r="C17" s="46">
        <f>D8</f>
        <v>230</v>
      </c>
      <c r="D17" s="36">
        <f>B17*C17</f>
        <v>2300</v>
      </c>
    </row>
    <row r="18" spans="1:8" ht="25.5" customHeight="1" x14ac:dyDescent="0.2">
      <c r="A18" s="47" t="s">
        <v>81</v>
      </c>
      <c r="B18" s="48">
        <f>SUM(B16:B17)</f>
        <v>20</v>
      </c>
      <c r="C18" s="49"/>
      <c r="D18" s="50">
        <f>SUM(D16:D17)</f>
        <v>4400</v>
      </c>
      <c r="E18" s="51"/>
      <c r="F18" s="51"/>
      <c r="G18" s="51"/>
      <c r="H18" s="51"/>
    </row>
    <row r="19" spans="1:8" ht="13.5" customHeight="1" x14ac:dyDescent="0.2"/>
    <row r="20" spans="1:8" ht="27.75" customHeight="1" x14ac:dyDescent="0.2">
      <c r="A20" s="6" t="s">
        <v>82</v>
      </c>
      <c r="B20" s="6"/>
      <c r="C20" s="6"/>
      <c r="D20" s="6"/>
      <c r="E20" s="77" t="s">
        <v>83</v>
      </c>
      <c r="F20" s="77"/>
      <c r="G20" s="77"/>
      <c r="H20" s="77"/>
    </row>
    <row r="21" spans="1:8" ht="24" customHeight="1" x14ac:dyDescent="0.2">
      <c r="A21" s="52" t="s">
        <v>84</v>
      </c>
      <c r="B21" s="53">
        <f>SUM(C7:C9)</f>
        <v>30</v>
      </c>
      <c r="C21" s="21"/>
      <c r="D21" s="21"/>
      <c r="E21" s="75" t="s">
        <v>85</v>
      </c>
      <c r="F21" s="75"/>
      <c r="G21" s="75"/>
      <c r="H21" s="75"/>
    </row>
    <row r="22" spans="1:8" ht="24" customHeight="1" x14ac:dyDescent="0.2">
      <c r="A22" s="23" t="s">
        <v>86</v>
      </c>
      <c r="B22" s="54">
        <f>SUM(E7:E9)</f>
        <v>6900</v>
      </c>
      <c r="C22" s="21"/>
      <c r="D22" s="21"/>
      <c r="E22" s="75" t="s">
        <v>85</v>
      </c>
      <c r="F22" s="75"/>
      <c r="G22" s="75"/>
      <c r="H22" s="75"/>
    </row>
    <row r="23" spans="1:8" ht="24" customHeight="1" x14ac:dyDescent="0.2">
      <c r="A23" s="55" t="s">
        <v>87</v>
      </c>
      <c r="B23" s="56">
        <f>B22/B21</f>
        <v>230</v>
      </c>
      <c r="C23" s="21"/>
      <c r="D23" s="21"/>
      <c r="E23" s="75" t="s">
        <v>88</v>
      </c>
      <c r="F23" s="75"/>
      <c r="G23" s="75"/>
      <c r="H23" s="75"/>
    </row>
    <row r="24" spans="1:8" ht="24" customHeight="1" x14ac:dyDescent="0.2">
      <c r="A24" s="23" t="s">
        <v>35</v>
      </c>
      <c r="B24" s="53">
        <f>C12</f>
        <v>20</v>
      </c>
      <c r="C24" s="21"/>
      <c r="D24" s="21"/>
      <c r="E24" s="75" t="s">
        <v>89</v>
      </c>
      <c r="F24" s="75"/>
      <c r="G24" s="75"/>
      <c r="H24" s="75"/>
    </row>
    <row r="25" spans="1:8" ht="24" customHeight="1" x14ac:dyDescent="0.2">
      <c r="A25" s="55" t="s">
        <v>90</v>
      </c>
      <c r="B25" s="56">
        <f>B24*B23</f>
        <v>4600</v>
      </c>
      <c r="C25" s="21"/>
      <c r="D25" s="21"/>
      <c r="E25" s="75" t="s">
        <v>91</v>
      </c>
      <c r="F25" s="75"/>
      <c r="G25" s="75"/>
      <c r="H25" s="75"/>
    </row>
    <row r="27" spans="1:8" ht="13.5" customHeight="1" x14ac:dyDescent="0.2"/>
    <row r="28" spans="1:8" ht="27.75" customHeight="1" x14ac:dyDescent="0.2">
      <c r="A28" s="78" t="s">
        <v>92</v>
      </c>
      <c r="B28" s="78"/>
      <c r="C28" s="78"/>
      <c r="D28" s="78"/>
      <c r="E28" s="78"/>
      <c r="F28" s="78"/>
      <c r="G28" s="78"/>
      <c r="H28" s="78"/>
    </row>
    <row r="29" spans="1:8" ht="21.75" customHeight="1" x14ac:dyDescent="0.2">
      <c r="A29" s="28" t="s">
        <v>93</v>
      </c>
      <c r="B29" s="28" t="s">
        <v>94</v>
      </c>
      <c r="C29" s="28" t="s">
        <v>95</v>
      </c>
      <c r="D29" s="28" t="s">
        <v>96</v>
      </c>
      <c r="E29" s="28" t="s">
        <v>97</v>
      </c>
    </row>
    <row r="30" spans="1:8" ht="24" customHeight="1" x14ac:dyDescent="0.2">
      <c r="A30" s="23" t="s">
        <v>98</v>
      </c>
      <c r="B30" s="46">
        <f>D18</f>
        <v>4400</v>
      </c>
      <c r="C30" s="46">
        <f>B25</f>
        <v>4600</v>
      </c>
      <c r="D30" s="46">
        <f>C30-B30</f>
        <v>200</v>
      </c>
      <c r="E30" s="73" t="s">
        <v>99</v>
      </c>
      <c r="F30" s="73"/>
      <c r="G30" s="73"/>
      <c r="H30" s="73"/>
    </row>
    <row r="31" spans="1:8" ht="24" customHeight="1" x14ac:dyDescent="0.2">
      <c r="A31" s="26" t="s">
        <v>34</v>
      </c>
      <c r="B31" s="36">
        <f>E10-B30</f>
        <v>2500</v>
      </c>
      <c r="C31" s="36">
        <f>(B21-B24)*B23</f>
        <v>2300</v>
      </c>
      <c r="D31" s="36">
        <f>C31-B31</f>
        <v>-200</v>
      </c>
      <c r="E31" s="79" t="s">
        <v>100</v>
      </c>
      <c r="F31" s="79"/>
      <c r="G31" s="79"/>
      <c r="H31" s="79"/>
    </row>
    <row r="32" spans="1:8" ht="24" customHeight="1" x14ac:dyDescent="0.2">
      <c r="A32" s="23" t="s">
        <v>101</v>
      </c>
      <c r="B32" s="36">
        <f>110000-B30</f>
        <v>105600</v>
      </c>
      <c r="C32" s="36">
        <f>110000-C30</f>
        <v>105400</v>
      </c>
      <c r="D32" s="36">
        <f>C32-B32</f>
        <v>-200</v>
      </c>
      <c r="E32" s="73" t="s">
        <v>102</v>
      </c>
      <c r="F32" s="73"/>
      <c r="G32" s="73"/>
      <c r="H32" s="73"/>
    </row>
  </sheetData>
  <mergeCells count="18">
    <mergeCell ref="E30:H30"/>
    <mergeCell ref="E31:H31"/>
    <mergeCell ref="E32:H32"/>
    <mergeCell ref="E22:H22"/>
    <mergeCell ref="E23:H23"/>
    <mergeCell ref="E24:H24"/>
    <mergeCell ref="E25:H25"/>
    <mergeCell ref="A28:H28"/>
    <mergeCell ref="A14:D14"/>
    <mergeCell ref="E14:H14"/>
    <mergeCell ref="A20:D20"/>
    <mergeCell ref="E20:H20"/>
    <mergeCell ref="E21:H21"/>
    <mergeCell ref="A1:H1"/>
    <mergeCell ref="A2:H2"/>
    <mergeCell ref="A5:H5"/>
    <mergeCell ref="A12:B12"/>
    <mergeCell ref="D12:H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8"/>
  <sheetViews>
    <sheetView showGridLines="0" zoomScaleNormal="100" workbookViewId="0"/>
  </sheetViews>
  <sheetFormatPr baseColWidth="10" defaultColWidth="8.6640625" defaultRowHeight="15" x14ac:dyDescent="0.2"/>
  <cols>
    <col min="1" max="1" width="30" customWidth="1"/>
    <col min="2" max="2" width="14" customWidth="1"/>
    <col min="3" max="3" width="20" customWidth="1"/>
    <col min="4" max="5" width="16" customWidth="1"/>
    <col min="6" max="7" width="14" customWidth="1"/>
  </cols>
  <sheetData>
    <row r="1" spans="1:7" ht="48" customHeight="1" x14ac:dyDescent="0.2">
      <c r="A1" s="3" t="s">
        <v>103</v>
      </c>
      <c r="B1" s="3"/>
      <c r="C1" s="3"/>
      <c r="D1" s="3"/>
      <c r="E1" s="3"/>
      <c r="F1" s="3"/>
      <c r="G1" s="3"/>
    </row>
    <row r="2" spans="1:7" ht="24" customHeight="1" x14ac:dyDescent="0.2">
      <c r="A2" s="2" t="s">
        <v>104</v>
      </c>
      <c r="B2" s="2"/>
      <c r="C2" s="2"/>
      <c r="D2" s="2"/>
      <c r="E2" s="2"/>
      <c r="F2" s="2"/>
      <c r="G2" s="2"/>
    </row>
    <row r="3" spans="1:7" ht="6" customHeight="1" x14ac:dyDescent="0.2">
      <c r="A3" s="15"/>
      <c r="B3" s="15"/>
      <c r="C3" s="15"/>
      <c r="D3" s="15"/>
      <c r="E3" s="15"/>
      <c r="F3" s="15"/>
      <c r="G3" s="15"/>
    </row>
    <row r="4" spans="1:7" ht="13.5" customHeight="1" x14ac:dyDescent="0.2"/>
    <row r="5" spans="1:7" ht="27.75" customHeight="1" x14ac:dyDescent="0.2">
      <c r="A5" s="6" t="s">
        <v>105</v>
      </c>
      <c r="B5" s="6"/>
      <c r="C5" s="6"/>
      <c r="D5" s="6"/>
      <c r="E5" s="6"/>
      <c r="F5" s="6"/>
      <c r="G5" s="6"/>
    </row>
    <row r="6" spans="1:7" ht="24" customHeight="1" x14ac:dyDescent="0.2">
      <c r="A6" s="22" t="s">
        <v>106</v>
      </c>
      <c r="B6" s="22" t="s">
        <v>107</v>
      </c>
      <c r="C6" s="22" t="s">
        <v>108</v>
      </c>
      <c r="D6" s="22" t="s">
        <v>109</v>
      </c>
    </row>
    <row r="7" spans="1:7" ht="24" customHeight="1" x14ac:dyDescent="0.2">
      <c r="A7" s="23" t="s">
        <v>110</v>
      </c>
      <c r="B7" s="24">
        <v>2400</v>
      </c>
      <c r="C7" s="57">
        <f>B7/$B$9</f>
        <v>0.6</v>
      </c>
      <c r="D7" s="36">
        <v>66000</v>
      </c>
      <c r="E7" s="21"/>
      <c r="F7" s="21"/>
      <c r="G7" s="21"/>
    </row>
    <row r="8" spans="1:7" ht="24" customHeight="1" x14ac:dyDescent="0.2">
      <c r="A8" s="26" t="s">
        <v>111</v>
      </c>
      <c r="B8" s="24">
        <v>1600</v>
      </c>
      <c r="C8" s="57">
        <f>B8/$B$9</f>
        <v>0.4</v>
      </c>
      <c r="D8" s="36">
        <v>44000</v>
      </c>
      <c r="E8" s="58"/>
      <c r="F8" s="58"/>
      <c r="G8" s="58"/>
    </row>
    <row r="9" spans="1:7" ht="24" customHeight="1" x14ac:dyDescent="0.2">
      <c r="A9" s="59" t="s">
        <v>70</v>
      </c>
      <c r="B9" s="60">
        <f>SUM(B7:B8)</f>
        <v>4000</v>
      </c>
      <c r="C9" s="61">
        <f>SUM(C7:C8)</f>
        <v>1</v>
      </c>
      <c r="D9" s="42">
        <f>SUM(D7:D8)</f>
        <v>110000</v>
      </c>
      <c r="E9" s="41"/>
      <c r="F9" s="41"/>
      <c r="G9" s="41"/>
    </row>
    <row r="10" spans="1:7" ht="13.5" customHeight="1" x14ac:dyDescent="0.2"/>
    <row r="11" spans="1:7" ht="27.75" customHeight="1" x14ac:dyDescent="0.2">
      <c r="A11" s="1" t="s">
        <v>112</v>
      </c>
      <c r="B11" s="1"/>
      <c r="C11" s="1"/>
      <c r="D11" s="1"/>
      <c r="E11" s="1"/>
      <c r="F11" s="1"/>
      <c r="G11" s="1"/>
    </row>
    <row r="12" spans="1:7" ht="24" customHeight="1" x14ac:dyDescent="0.2">
      <c r="A12" s="62" t="s">
        <v>113</v>
      </c>
      <c r="B12" s="44" t="s">
        <v>114</v>
      </c>
      <c r="C12" s="80" t="s">
        <v>115</v>
      </c>
      <c r="D12" s="80"/>
      <c r="E12" s="80"/>
      <c r="F12" s="80"/>
      <c r="G12" s="80"/>
    </row>
    <row r="13" spans="1:7" ht="21.75" customHeight="1" x14ac:dyDescent="0.2">
      <c r="A13" s="45" t="s">
        <v>116</v>
      </c>
      <c r="B13" s="36">
        <v>9000</v>
      </c>
      <c r="C13" s="81" t="s">
        <v>117</v>
      </c>
      <c r="D13" s="81"/>
      <c r="E13" s="81"/>
      <c r="F13" s="81"/>
      <c r="G13" s="81"/>
    </row>
    <row r="14" spans="1:7" ht="21.75" customHeight="1" x14ac:dyDescent="0.2">
      <c r="A14" s="23" t="s">
        <v>118</v>
      </c>
      <c r="B14" s="36">
        <v>4200</v>
      </c>
      <c r="C14" s="73" t="s">
        <v>117</v>
      </c>
      <c r="D14" s="73"/>
      <c r="E14" s="73"/>
      <c r="F14" s="73"/>
      <c r="G14" s="73"/>
    </row>
    <row r="15" spans="1:7" ht="21.75" customHeight="1" x14ac:dyDescent="0.2">
      <c r="A15" s="45" t="s">
        <v>119</v>
      </c>
      <c r="B15" s="36">
        <v>3800</v>
      </c>
      <c r="C15" s="81" t="s">
        <v>117</v>
      </c>
      <c r="D15" s="81"/>
      <c r="E15" s="81"/>
      <c r="F15" s="81"/>
      <c r="G15" s="81"/>
    </row>
    <row r="16" spans="1:7" ht="21.75" customHeight="1" x14ac:dyDescent="0.2">
      <c r="A16" s="23" t="s">
        <v>120</v>
      </c>
      <c r="B16" s="36">
        <v>3500</v>
      </c>
      <c r="C16" s="73" t="s">
        <v>121</v>
      </c>
      <c r="D16" s="73"/>
      <c r="E16" s="73"/>
      <c r="F16" s="73"/>
      <c r="G16" s="73"/>
    </row>
    <row r="17" spans="1:7" ht="21.75" customHeight="1" x14ac:dyDescent="0.2">
      <c r="A17" s="45" t="s">
        <v>122</v>
      </c>
      <c r="B17" s="36">
        <v>1500</v>
      </c>
      <c r="C17" s="81" t="s">
        <v>117</v>
      </c>
      <c r="D17" s="81"/>
      <c r="E17" s="81"/>
      <c r="F17" s="81"/>
      <c r="G17" s="81"/>
    </row>
    <row r="18" spans="1:7" ht="25.5" customHeight="1" x14ac:dyDescent="0.2">
      <c r="A18" s="47" t="s">
        <v>123</v>
      </c>
      <c r="B18" s="50">
        <f>SUM(B13:B17)</f>
        <v>22000</v>
      </c>
      <c r="C18" s="82" t="s">
        <v>124</v>
      </c>
      <c r="D18" s="82"/>
      <c r="E18" s="82"/>
      <c r="F18" s="82"/>
      <c r="G18" s="82"/>
    </row>
    <row r="19" spans="1:7" ht="13.5" customHeight="1" x14ac:dyDescent="0.2"/>
    <row r="20" spans="1:7" ht="27.75" customHeight="1" x14ac:dyDescent="0.2">
      <c r="A20" s="78" t="s">
        <v>125</v>
      </c>
      <c r="B20" s="78"/>
      <c r="C20" s="78"/>
      <c r="D20" s="78"/>
      <c r="E20" s="78"/>
      <c r="F20" s="78"/>
      <c r="G20" s="78"/>
    </row>
    <row r="21" spans="1:7" ht="21.75" customHeight="1" x14ac:dyDescent="0.2">
      <c r="A21" s="28" t="s">
        <v>106</v>
      </c>
      <c r="B21" s="28" t="s">
        <v>126</v>
      </c>
      <c r="C21" s="28" t="s">
        <v>127</v>
      </c>
      <c r="D21" s="28" t="s">
        <v>128</v>
      </c>
      <c r="E21" s="28" t="s">
        <v>129</v>
      </c>
      <c r="F21" s="72" t="s">
        <v>130</v>
      </c>
      <c r="G21" s="72"/>
    </row>
    <row r="22" spans="1:7" ht="25.5" customHeight="1" x14ac:dyDescent="0.2">
      <c r="A22" s="63" t="str">
        <f>A7</f>
        <v>Surf Shop (retail floor)</v>
      </c>
      <c r="B22" s="64">
        <f>C7</f>
        <v>0.6</v>
      </c>
      <c r="C22" s="36">
        <f>$B$18*B22</f>
        <v>13200</v>
      </c>
      <c r="D22" s="46">
        <f>D7</f>
        <v>66000</v>
      </c>
      <c r="E22" s="57">
        <f>C22/D22</f>
        <v>0.2</v>
      </c>
      <c r="F22" s="56">
        <f>C22/('COGS Schedule'!$E$10*D22/$D$24)</f>
        <v>21.568627450980394</v>
      </c>
    </row>
    <row r="23" spans="1:7" ht="25.5" customHeight="1" x14ac:dyDescent="0.2">
      <c r="A23" s="63" t="str">
        <f>A8</f>
        <v>Online Warehouse</v>
      </c>
      <c r="B23" s="64">
        <f>C8</f>
        <v>0.4</v>
      </c>
      <c r="C23" s="36">
        <f>$B$18*B23</f>
        <v>8800</v>
      </c>
      <c r="D23" s="46">
        <f>D8</f>
        <v>44000</v>
      </c>
      <c r="E23" s="57">
        <f>C23/D23</f>
        <v>0.2</v>
      </c>
      <c r="F23" s="56">
        <f>C23/('COGS Schedule'!$E$10*D23/$D$24)</f>
        <v>21.568627450980394</v>
      </c>
    </row>
    <row r="24" spans="1:7" ht="25.5" customHeight="1" x14ac:dyDescent="0.2">
      <c r="A24" s="59" t="s">
        <v>70</v>
      </c>
      <c r="B24" s="61">
        <f>SUM(B22:B23)</f>
        <v>1</v>
      </c>
      <c r="C24" s="42">
        <f>SUM(C22:C23)</f>
        <v>22000</v>
      </c>
      <c r="D24" s="42">
        <f>SUM(D22:D23)</f>
        <v>110000</v>
      </c>
      <c r="E24" s="61">
        <f>C24/D24</f>
        <v>0.2</v>
      </c>
      <c r="F24" s="83" t="s">
        <v>131</v>
      </c>
      <c r="G24" s="83"/>
    </row>
    <row r="25" spans="1:7" ht="13.5" customHeight="1" x14ac:dyDescent="0.2"/>
    <row r="26" spans="1:7" ht="27.75" customHeight="1" x14ac:dyDescent="0.2">
      <c r="A26" s="6" t="s">
        <v>132</v>
      </c>
      <c r="B26" s="6"/>
      <c r="C26" s="6"/>
      <c r="D26" s="6"/>
      <c r="E26" s="6"/>
      <c r="F26" s="6"/>
      <c r="G26" s="6"/>
    </row>
    <row r="27" spans="1:7" ht="27.75" customHeight="1" x14ac:dyDescent="0.2">
      <c r="A27" s="55" t="s">
        <v>133</v>
      </c>
      <c r="B27" s="65">
        <f>B18/D9</f>
        <v>0.2</v>
      </c>
      <c r="C27" s="84" t="s">
        <v>134</v>
      </c>
      <c r="D27" s="84"/>
      <c r="E27" s="84"/>
      <c r="F27" s="84"/>
      <c r="G27" s="84"/>
    </row>
    <row r="28" spans="1:7" ht="27.75" customHeight="1" x14ac:dyDescent="0.2">
      <c r="A28" s="55" t="s">
        <v>135</v>
      </c>
      <c r="B28" s="65"/>
      <c r="C28" s="84" t="s">
        <v>136</v>
      </c>
      <c r="D28" s="84"/>
      <c r="E28" s="84"/>
      <c r="F28" s="84"/>
      <c r="G28" s="84"/>
    </row>
  </sheetData>
  <mergeCells count="17">
    <mergeCell ref="C27:G27"/>
    <mergeCell ref="C28:G28"/>
    <mergeCell ref="C18:G18"/>
    <mergeCell ref="A20:G20"/>
    <mergeCell ref="F21:G21"/>
    <mergeCell ref="F24:G24"/>
    <mergeCell ref="A26:G26"/>
    <mergeCell ref="C13:G13"/>
    <mergeCell ref="C14:G14"/>
    <mergeCell ref="C15:G15"/>
    <mergeCell ref="C16:G16"/>
    <mergeCell ref="C17:G17"/>
    <mergeCell ref="A1:G1"/>
    <mergeCell ref="A2:G2"/>
    <mergeCell ref="A5:G5"/>
    <mergeCell ref="A11:G11"/>
    <mergeCell ref="C12:G1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9"/>
  <sheetViews>
    <sheetView showGridLines="0" zoomScaleNormal="100" workbookViewId="0"/>
  </sheetViews>
  <sheetFormatPr baseColWidth="10" defaultColWidth="8.6640625" defaultRowHeight="15" x14ac:dyDescent="0.2"/>
  <cols>
    <col min="1" max="1" width="22" customWidth="1"/>
    <col min="2" max="2" width="40" customWidth="1"/>
    <col min="3" max="3" width="34" customWidth="1"/>
    <col min="4" max="4" width="38" customWidth="1"/>
    <col min="5" max="5" width="14" customWidth="1"/>
  </cols>
  <sheetData>
    <row r="1" spans="1:5" ht="48" customHeight="1" x14ac:dyDescent="0.2">
      <c r="A1" s="3" t="s">
        <v>137</v>
      </c>
      <c r="B1" s="3"/>
      <c r="C1" s="3"/>
      <c r="D1" s="3"/>
      <c r="E1" s="3"/>
    </row>
    <row r="2" spans="1:5" ht="24" customHeight="1" x14ac:dyDescent="0.2">
      <c r="A2" s="2" t="s">
        <v>138</v>
      </c>
      <c r="B2" s="2"/>
      <c r="C2" s="2"/>
      <c r="D2" s="2"/>
      <c r="E2" s="2"/>
    </row>
    <row r="3" spans="1:5" ht="6" customHeight="1" x14ac:dyDescent="0.2">
      <c r="A3" s="15"/>
      <c r="B3" s="15"/>
      <c r="C3" s="15"/>
      <c r="D3" s="15"/>
      <c r="E3" s="15"/>
    </row>
    <row r="5" spans="1:5" ht="31.5" customHeight="1" x14ac:dyDescent="0.2">
      <c r="A5" s="12" t="s">
        <v>139</v>
      </c>
      <c r="B5" s="12"/>
      <c r="C5" s="12"/>
      <c r="D5" s="12"/>
      <c r="E5" s="12"/>
    </row>
    <row r="6" spans="1:5" ht="21.75" customHeight="1" x14ac:dyDescent="0.2">
      <c r="A6" s="27" t="s">
        <v>140</v>
      </c>
      <c r="B6" s="28" t="s">
        <v>141</v>
      </c>
      <c r="C6" s="28" t="s">
        <v>142</v>
      </c>
      <c r="D6" s="28" t="s">
        <v>143</v>
      </c>
    </row>
    <row r="7" spans="1:5" ht="27.75" customHeight="1" x14ac:dyDescent="0.2">
      <c r="A7" s="66" t="s">
        <v>144</v>
      </c>
      <c r="B7" s="67" t="s">
        <v>145</v>
      </c>
      <c r="C7" s="68" t="s">
        <v>146</v>
      </c>
      <c r="D7" s="69" t="s">
        <v>147</v>
      </c>
    </row>
    <row r="8" spans="1:5" ht="27.75" customHeight="1" x14ac:dyDescent="0.2">
      <c r="A8" s="70" t="s">
        <v>148</v>
      </c>
      <c r="B8" s="67" t="s">
        <v>149</v>
      </c>
      <c r="C8" s="68" t="s">
        <v>150</v>
      </c>
      <c r="D8" s="71" t="s">
        <v>151</v>
      </c>
    </row>
    <row r="9" spans="1:5" ht="27.75" customHeight="1" x14ac:dyDescent="0.2">
      <c r="A9" s="66" t="s">
        <v>152</v>
      </c>
      <c r="B9" s="67" t="s">
        <v>153</v>
      </c>
      <c r="C9" s="68" t="s">
        <v>154</v>
      </c>
      <c r="D9" s="69" t="s">
        <v>155</v>
      </c>
    </row>
    <row r="11" spans="1:5" ht="31.5" customHeight="1" x14ac:dyDescent="0.2">
      <c r="A11" s="12" t="s">
        <v>156</v>
      </c>
      <c r="B11" s="12"/>
      <c r="C11" s="12"/>
      <c r="D11" s="12"/>
      <c r="E11" s="12"/>
    </row>
    <row r="12" spans="1:5" ht="21.75" customHeight="1" x14ac:dyDescent="0.2">
      <c r="A12" s="27" t="s">
        <v>140</v>
      </c>
      <c r="B12" s="28" t="s">
        <v>141</v>
      </c>
      <c r="C12" s="28" t="s">
        <v>142</v>
      </c>
      <c r="D12" s="28" t="s">
        <v>143</v>
      </c>
    </row>
    <row r="13" spans="1:5" ht="27.75" customHeight="1" x14ac:dyDescent="0.2">
      <c r="A13" s="66" t="s">
        <v>157</v>
      </c>
      <c r="B13" s="67" t="s">
        <v>158</v>
      </c>
      <c r="C13" s="68" t="s">
        <v>159</v>
      </c>
      <c r="D13" s="69" t="s">
        <v>160</v>
      </c>
    </row>
    <row r="14" spans="1:5" ht="27.75" customHeight="1" x14ac:dyDescent="0.2">
      <c r="A14" s="70" t="s">
        <v>161</v>
      </c>
      <c r="B14" s="67" t="s">
        <v>162</v>
      </c>
      <c r="C14" s="68" t="s">
        <v>163</v>
      </c>
      <c r="D14" s="71" t="s">
        <v>164</v>
      </c>
    </row>
    <row r="15" spans="1:5" ht="27.75" customHeight="1" x14ac:dyDescent="0.2">
      <c r="A15" s="66" t="s">
        <v>165</v>
      </c>
      <c r="B15" s="67" t="s">
        <v>166</v>
      </c>
      <c r="C15" s="68" t="s">
        <v>167</v>
      </c>
      <c r="D15" s="69" t="s">
        <v>168</v>
      </c>
    </row>
    <row r="17" spans="1:5" ht="31.5" customHeight="1" x14ac:dyDescent="0.2">
      <c r="A17" s="12" t="s">
        <v>169</v>
      </c>
      <c r="B17" s="12"/>
      <c r="C17" s="12"/>
      <c r="D17" s="12"/>
      <c r="E17" s="12"/>
    </row>
    <row r="18" spans="1:5" ht="21.75" customHeight="1" x14ac:dyDescent="0.2">
      <c r="A18" s="27" t="s">
        <v>140</v>
      </c>
      <c r="B18" s="28" t="s">
        <v>141</v>
      </c>
      <c r="C18" s="28" t="s">
        <v>142</v>
      </c>
      <c r="D18" s="28" t="s">
        <v>143</v>
      </c>
    </row>
    <row r="19" spans="1:5" ht="27.75" customHeight="1" x14ac:dyDescent="0.2">
      <c r="A19" s="66" t="s">
        <v>87</v>
      </c>
      <c r="B19" s="67" t="s">
        <v>170</v>
      </c>
      <c r="C19" s="68" t="s">
        <v>171</v>
      </c>
      <c r="D19" s="69" t="s">
        <v>172</v>
      </c>
    </row>
    <row r="20" spans="1:5" ht="27.75" customHeight="1" x14ac:dyDescent="0.2">
      <c r="A20" s="70" t="s">
        <v>173</v>
      </c>
      <c r="B20" s="67" t="s">
        <v>174</v>
      </c>
      <c r="C20" s="68" t="s">
        <v>175</v>
      </c>
      <c r="D20" s="71" t="s">
        <v>176</v>
      </c>
    </row>
    <row r="21" spans="1:5" ht="27.75" customHeight="1" x14ac:dyDescent="0.2">
      <c r="A21" s="66" t="s">
        <v>177</v>
      </c>
      <c r="B21" s="67" t="s">
        <v>178</v>
      </c>
      <c r="C21" s="68" t="s">
        <v>179</v>
      </c>
      <c r="D21" s="69" t="s">
        <v>180</v>
      </c>
    </row>
    <row r="23" spans="1:5" ht="31.5" customHeight="1" x14ac:dyDescent="0.2">
      <c r="A23" s="12" t="s">
        <v>15</v>
      </c>
      <c r="B23" s="12"/>
      <c r="C23" s="12"/>
      <c r="D23" s="12"/>
      <c r="E23" s="12"/>
    </row>
    <row r="24" spans="1:5" ht="21.75" customHeight="1" x14ac:dyDescent="0.2">
      <c r="A24" s="27" t="s">
        <v>140</v>
      </c>
      <c r="B24" s="28" t="s">
        <v>141</v>
      </c>
      <c r="C24" s="28" t="s">
        <v>142</v>
      </c>
      <c r="D24" s="28" t="s">
        <v>143</v>
      </c>
    </row>
    <row r="25" spans="1:5" ht="27.75" customHeight="1" x14ac:dyDescent="0.2">
      <c r="A25" s="66" t="s">
        <v>181</v>
      </c>
      <c r="B25" s="67" t="s">
        <v>182</v>
      </c>
      <c r="C25" s="68" t="s">
        <v>183</v>
      </c>
      <c r="D25" s="69" t="s">
        <v>184</v>
      </c>
    </row>
    <row r="26" spans="1:5" ht="27.75" customHeight="1" x14ac:dyDescent="0.2">
      <c r="A26" s="70" t="s">
        <v>185</v>
      </c>
      <c r="B26" s="67" t="s">
        <v>186</v>
      </c>
      <c r="C26" s="68" t="s">
        <v>187</v>
      </c>
      <c r="D26" s="71" t="s">
        <v>188</v>
      </c>
    </row>
    <row r="27" spans="1:5" ht="27.75" customHeight="1" x14ac:dyDescent="0.2">
      <c r="A27" s="66" t="s">
        <v>189</v>
      </c>
      <c r="B27" s="67" t="s">
        <v>190</v>
      </c>
      <c r="C27" s="68" t="s">
        <v>191</v>
      </c>
      <c r="D27" s="69" t="s">
        <v>192</v>
      </c>
    </row>
    <row r="29" spans="1:5" ht="27.75" customHeight="1" x14ac:dyDescent="0.2">
      <c r="A29" s="85" t="s">
        <v>193</v>
      </c>
      <c r="B29" s="85"/>
      <c r="C29" s="85"/>
      <c r="D29" s="85"/>
    </row>
  </sheetData>
  <mergeCells count="7">
    <mergeCell ref="A23:E23"/>
    <mergeCell ref="A29:D29"/>
    <mergeCell ref="A1:E1"/>
    <mergeCell ref="A2:E2"/>
    <mergeCell ref="A5:E5"/>
    <mergeCell ref="A11:E11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COGS Schedule</vt:lpstr>
      <vt:lpstr>Inventory Methods</vt:lpstr>
      <vt:lpstr>Overhead Allocation</vt:lpstr>
      <vt:lpstr>Formula Reference 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2026-05-27T23:42:03Z</dcterms:created>
  <dcterms:modified xsi:type="dcterms:W3CDTF">2026-06-09T01:21:09Z</dcterms:modified>
  <dc:language>en-US</dc:language>
</cp:coreProperties>
</file>