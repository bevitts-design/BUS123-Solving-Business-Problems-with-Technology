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5231fef1f4e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04e686a0d7e46f6"/>
    <x:sheet xmlns:r="http://schemas.openxmlformats.org/officeDocument/2006/relationships" name="Live You Try It" sheetId="2" r:id="R0fa4bf6bf1f846c3"/>
    <x:sheet xmlns:r="http://schemas.openxmlformats.org/officeDocument/2006/relationships" name="Class Challenge" sheetId="3" r:id="Rd76f9f7bf09840fc"/>
    <x:sheet xmlns:r="http://schemas.openxmlformats.org/officeDocument/2006/relationships" name="FormulaReferenceCard" sheetId="4" r:id="R9b286bfbf4ea4b63"/>
    <x:sheet xmlns:r="http://schemas.openxmlformats.org/officeDocument/2006/relationships" name="Vendor Quotes" sheetId="5" r:id="Ra4ebb27f6f2546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\$#,##0.00"/>
    <x:numFmt numFmtId="165" formatCode="0.0%"/>
    <x:numFmt numFmtId="166" formatCode="$#,##0.00"/>
    <x:numFmt numFmtId="200" formatCode="0"/>
    <x:numFmt numFmtId="201" formatCode="0%"/>
  </x:numFmts>
  <x:fonts count="29">
    <x:font>
      <x:sz val="11"/>
      <x:color theme="1"/>
      <x:name val="Calibri"/>
    </x:font>
    <x:font>
      <x:b/>
      <x:sz val="14"/>
      <x:color rgb="FF0E1116"/>
      <x:name val="Arial"/>
    </x:font>
    <x:font>
      <x:b/>
      <x:sz val="12"/>
      <x:color rgb="FF4A7C5E"/>
      <x:name val="Arial"/>
    </x:font>
    <x:font>
      <x:sz val="11"/>
      <x:color rgb="FF000000"/>
      <x:name val="Arial"/>
    </x:font>
    <x:font>
      <x:sz val="11"/>
      <x:color rgb="FF0A3D6B"/>
      <x:name val="Arial"/>
    </x:font>
    <x:font>
      <x:sz val="11"/>
      <x:color rgb="FF1A6B3C"/>
      <x:name val="Arial"/>
    </x:font>
    <x:font>
      <x:i/>
      <x:sz val="10"/>
      <x:color rgb="FF7A8290"/>
      <x:name val="Arial"/>
    </x:font>
    <x:font>
      <x:b/>
      <x:sz val="11"/>
      <x:color rgb="FFFFFFFF"/>
      <x:name val="Arial"/>
    </x:font>
    <x:font>
      <x:b/>
      <x:sz val="10"/>
      <x:color rgb="FFB8843D"/>
      <x:name val="Arial"/>
    </x:font>
    <x:font>
      <x:b/>
      <x:sz val="11"/>
      <x:color rgb="FF000000"/>
      <x:name val="Arial"/>
    </x:font>
    <x:font>
      <x:sz val="11"/>
      <x:color rgb="FF0E1116"/>
      <x:name val="Consolas"/>
    </x:font>
    <x:font>
      <x:sz val="11"/>
      <x:color rgb="FF4A5567"/>
      <x:name val="Arial"/>
    </x:font>
    <x:font>
      <x:b/>
      <x:sz val="18"/>
      <x:color rgb="FFFFFFFF"/>
      <x:name val="Aptos Display"/>
    </x:font>
    <x:font>
      <x:i/>
      <x:sz val="12"/>
      <x:color rgb="FF355773"/>
      <x:name val="Aptos"/>
    </x:font>
    <x:font>
      <x:b/>
      <x:sz val="11"/>
      <x:color rgb="FF1A1F2C"/>
      <x:name val="Aptos"/>
    </x:font>
    <x:font>
      <x:b/>
      <x:sz val="11"/>
      <x:color rgb="FFFFFFFF"/>
      <x:name val="Aptos"/>
    </x:font>
    <x:font>
      <x:i/>
      <x:sz val="10"/>
      <x:color rgb="FF4A5567"/>
      <x:name val="Aptos"/>
    </x:font>
    <x:font>
      <x:sz val="11"/>
      <x:color rgb="FF1A1F2C"/>
      <x:name val="Aptos"/>
    </x:font>
    <x:font>
      <x:b/>
      <x:sz val="11"/>
      <x:color rgb="FFB8843D"/>
      <x:name val="Calibri"/>
    </x:font>
    <x:font>
      <x:sz val="11"/>
      <x:color rgb="FF1A1F2C"/>
      <x:name val="Calibri"/>
    </x:font>
    <x:font>
      <x:b/>
      <x:sz val="11"/>
      <x:color rgb="FF355773"/>
      <x:name val="Calibri"/>
    </x:font>
    <x:font>
      <x:b/>
      <x:sz val="20"/>
      <x:color rgb="FFFFFFFF"/>
      <x:name val="Calibri"/>
    </x:font>
    <x:font>
      <x:i/>
      <x:sz val="12"/>
      <x:color rgb="FF355773"/>
      <x:name val="Calibri"/>
    </x:font>
    <x:font>
      <x:b/>
      <x:sz val="11"/>
      <x:color rgb="FF0E1116"/>
      <x:name val="Calibri"/>
    </x:font>
    <x:font>
      <x:b/>
      <x:sz val="11"/>
      <x:color rgb="FFFFFFFF"/>
      <x:name val="Calibri"/>
    </x:font>
    <x:font>
      <x:i/>
      <x:sz val="11"/>
      <x:color rgb="FF4A5567"/>
      <x:name val="Calibri"/>
    </x:font>
    <x:font>
      <x:b/>
      <x:sz val="11"/>
      <x:color rgb="FF9C4A2B"/>
      <x:name val="Calibri"/>
    </x:font>
    <x:font>
      <x:i/>
      <x:sz val="10"/>
      <x:color rgb="FF1A1F2C"/>
      <x:name val="Aptos"/>
    </x:font>
    <x:font>
      <x:sz val="11"/>
      <x:color rgb="FF355773"/>
      <x:name val="Calibri"/>
    </x:font>
  </x:fonts>
  <x:fills count="32">
    <x:fill>
      <x:patternFill patternType="none"/>
    </x:fill>
    <x:fill>
      <x:patternFill patternType="gray125"/>
    </x:fill>
    <x:fill>
      <x:patternFill patternType="solid">
        <x:fgColor rgb="FFFFD966"/>
      </x:patternFill>
    </x:fill>
    <x:fill>
      <x:patternFill patternType="solid">
        <x:fgColor rgb="FFFFFBF0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F7F8FA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55773"/>
      </x:patternFill>
    </x:fill>
    <x:fill>
      <x:patternFill patternType="solid">
        <x:fgColor rgb="FF355773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</x:fills>
  <x:borders count="9">
    <x:border/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D9E2D9"/>
      </x:left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top style="thin">
        <x:color rgb="FFD9E2D9"/>
      </x:top>
    </x:border>
    <x:border>
      <x:right style="thin">
        <x:color rgb="FFD9E2D9"/>
      </x:right>
      <x:top style="thin">
        <x:color rgb="FFD9E2D9"/>
      </x:top>
    </x:border>
    <x:border>
      <x:top style="thin">
        <x:color rgb="FFD9E2D9"/>
      </x:top>
      <x:bottom style="thin">
        <x:color rgb="FFD9E2D9"/>
      </x:bottom>
    </x:border>
    <x:border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Alignment="1">
      <x:alignment wrapText="1"/>
    </x:xf>
    <x:xf numFmtId="0" fontId="2" fillId="0" borderId="0" xfId="0" applyAlignment="1">
      <x:alignment wrapText="1"/>
    </x:xf>
    <x:xf numFmtId="0" fontId="0" fillId="0" borderId="0" xfId="0" applyAlignment="1">
      <x:alignment wrapText="1"/>
    </x:xf>
    <x:xf numFmtId="0" fontId="3" fillId="0" borderId="0" xfId="0" applyAlignment="1">
      <x:alignment wrapText="1"/>
    </x:xf>
    <x:xf numFmtId="0" fontId="4" fillId="2" borderId="0" xfId="0"/>
    <x:xf numFmtId="0" fontId="5" fillId="3" borderId="0" xfId="0"/>
    <x:xf numFmtId="0" fontId="7" fillId="4" borderId="1" xfId="0" applyAlignment="1">
      <x:alignment horizontal="center" vertical="center" wrapText="1"/>
    </x:xf>
    <x:xf numFmtId="0" fontId="8" fillId="0" borderId="0" xfId="0" applyAlignment="1">
      <x:alignment horizontal="center" vertical="center" wrapText="1"/>
    </x:xf>
    <x:xf numFmtId="0" fontId="3" fillId="5" borderId="1" xfId="0" applyAlignment="1">
      <x:alignment horizontal="left" vertical="center" wrapText="1"/>
    </x:xf>
    <x:xf numFmtId="164" fontId="3" fillId="5" borderId="1" xfId="0" applyAlignment="1">
      <x:alignment horizontal="center" vertical="center" wrapText="1"/>
    </x:xf>
    <x:xf numFmtId="9" fontId="3" fillId="5" borderId="1" xfId="0" applyAlignment="1">
      <x:alignment horizontal="center" vertical="center" wrapText="1"/>
    </x:xf>
    <x:xf numFmtId="2" fontId="4" fillId="2" borderId="1" xfId="0" applyAlignment="1">
      <x:alignment horizontal="center" vertical="center" wrapText="1"/>
    </x:xf>
    <x:xf numFmtId="164" fontId="4" fillId="2" borderId="1" xfId="0" applyAlignment="1">
      <x:alignment horizontal="center" vertical="center" wrapText="1"/>
    </x:xf>
    <x:xf numFmtId="10" fontId="4" fillId="2" borderId="1" xfId="0" applyAlignment="1">
      <x:alignment horizontal="center" vertical="center" wrapText="1"/>
    </x:xf>
    <x:xf numFmtId="0" fontId="3" fillId="5" borderId="1" xfId="0" applyAlignment="1">
      <x:alignment horizontal="center" vertical="center" wrapText="1"/>
    </x:xf>
    <x:xf numFmtId="165" fontId="3" fillId="5" borderId="1" xfId="0" applyAlignment="1">
      <x:alignment horizontal="center" vertical="center" wrapText="1"/>
    </x:xf>
    <x:xf numFmtId="0" fontId="9" fillId="5" borderId="1" xfId="0" applyAlignment="1">
      <x:alignment horizontal="left" vertical="center" wrapText="1"/>
    </x:xf>
    <x:xf numFmtId="0" fontId="9" fillId="6" borderId="1" xfId="0" applyAlignment="1">
      <x:alignment horizontal="left" vertical="center" wrapText="1"/>
    </x:xf>
    <x:xf numFmtId="0" fontId="1" fillId="0" borderId="0" xfId="0"/>
    <x:xf numFmtId="0" fontId="0" fillId="0" borderId="0" xfId="0"/>
    <x:xf numFmtId="0" fontId="1" fillId="0" borderId="0" xfId="0" applyAlignment="1">
      <x:alignment horizontal="left" vertical="center" wrapText="1"/>
    </x:xf>
    <x:xf numFmtId="0" fontId="6" fillId="0" borderId="0" xfId="0"/>
    <x:xf numFmtId="49" fontId="3" fillId="0" borderId="0" xfId="0"/>
    <x:xf numFmtId="49" fontId="10" fillId="5" borderId="1" xfId="0" applyAlignment="1">
      <x:alignment horizontal="left" vertical="center" wrapText="1"/>
    </x:xf>
    <x:xf numFmtId="49" fontId="10" fillId="6" borderId="1" xfId="0" applyAlignment="1">
      <x:alignment horizontal="left" vertical="center" wrapText="1"/>
    </x:xf>
    <x:xf numFmtId="49" fontId="11" fillId="5" borderId="1" xfId="0" applyAlignment="1">
      <x:alignment horizontal="left" vertical="center" wrapText="1"/>
    </x:xf>
    <x:xf numFmtId="49" fontId="11" fillId="6" borderId="1" xfId="0" applyAlignment="1">
      <x:alignment horizontal="left" vertical="center" wrapText="1"/>
    </x:xf>
    <x:xf numFmtId="0" fontId="12" fillId="7" borderId="0" xfId="0" applyAlignment="1">
      <x:alignment vertical="center"/>
    </x:xf>
    <x:xf numFmtId="0" fontId="13" fillId="8" borderId="0" xfId="0" applyAlignment="1">
      <x:alignment vertical="center" wrapText="1"/>
    </x:xf>
    <x:xf numFmtId="0" fontId="14" fillId="9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15" fillId="10" borderId="2" xfId="0" applyAlignment="1">
      <x:alignment vertical="top" wrapText="1"/>
    </x:xf>
    <x:xf numFmtId="166" fontId="0" fillId="0" borderId="2" xfId="0" applyAlignment="1">
      <x:alignment vertical="top" wrapText="1"/>
    </x:xf>
    <x:xf numFmtId="165" fontId="0" fillId="0" borderId="2" xfId="0" applyAlignment="1">
      <x:alignment vertical="top" wrapText="1"/>
    </x:xf>
    <x:xf numFmtId="165" fontId="0" fillId="11" borderId="2" xfId="0" applyAlignment="1">
      <x:alignment vertical="top" wrapText="1"/>
    </x:xf>
    <x:xf numFmtId="0" fontId="16" fillId="0" borderId="2" xfId="0" applyAlignment="1">
      <x:alignment vertical="top" wrapText="1"/>
    </x:xf>
    <x:xf numFmtId="0" fontId="0" fillId="12" borderId="2" xfId="0" applyAlignment="1">
      <x:alignment vertical="top" wrapText="1"/>
    </x:xf>
    <x:xf numFmtId="166" fontId="0" fillId="11" borderId="2" xfId="0" applyAlignment="1">
      <x:alignment vertical="top" wrapText="1"/>
    </x:xf>
    <x:xf numFmtId="0" fontId="0" fillId="9" borderId="2" xfId="0" applyAlignment="1">
      <x:alignment vertical="top" wrapText="1"/>
    </x:xf>
    <x:xf numFmtId="0" fontId="12" fillId="7" borderId="0" xfId="0"/>
    <x:xf numFmtId="0" fontId="13" fillId="8" borderId="0" xfId="0"/>
    <x:xf numFmtId="0" fontId="0" fillId="0" borderId="5" xfId="0"/>
    <x:xf numFmtId="0" fontId="0" fillId="0" borderId="6" xfId="0"/>
    <x:xf numFmtId="0" fontId="17" fillId="0" borderId="2" xfId="0" applyAlignment="1">
      <x:alignment vertical="top" wrapText="1"/>
    </x:xf>
    <x:xf numFmtId="166" fontId="17" fillId="0" borderId="2" xfId="0" applyAlignment="1">
      <x:alignment vertical="top" wrapText="1"/>
    </x:xf>
    <x:xf numFmtId="166" fontId="17" fillId="11" borderId="2" xfId="0" applyAlignment="1">
      <x:alignment vertical="top" wrapText="1"/>
    </x:xf>
    <x:xf numFmtId="0" fontId="17" fillId="9" borderId="2" xfId="0" applyAlignment="1">
      <x:alignment vertical="top" wrapText="1"/>
    </x:xf>
    <x:xf numFmtId="0" fontId="0" fillId="13" borderId="0" xfId="0"/>
    <x:xf numFmtId="0" fontId="18" fillId="13" borderId="0" xfId="0"/>
    <x:xf numFmtId="0" fontId="18" fillId="13" borderId="0" xfId="0" applyAlignment="1">
      <x:alignment wrapText="1"/>
    </x:xf>
    <x:xf numFmtId="0" fontId="0" fillId="14" borderId="0" xfId="0"/>
    <x:xf numFmtId="0" fontId="19" fillId="14" borderId="0" xfId="0"/>
    <x:xf numFmtId="0" fontId="19" fillId="14" borderId="7" xfId="0"/>
    <x:xf numFmtId="0" fontId="19" fillId="14" borderId="7" xfId="0" applyAlignment="1">
      <x:alignment wrapText="1"/>
    </x:xf>
    <x:xf numFmtId="0" fontId="19" fillId="15" borderId="7" xfId="0" applyAlignment="1">
      <x:alignment wrapText="1"/>
    </x:xf>
    <x:xf numFmtId="0" fontId="20" fillId="15" borderId="7" xfId="0" applyAlignment="1">
      <x:alignment wrapText="1"/>
    </x:xf>
    <x:xf numFmtId="0" fontId="19" fillId="16" borderId="7" xfId="0" applyAlignment="1">
      <x:alignment wrapText="1"/>
    </x:xf>
    <x:xf numFmtId="0" fontId="0" fillId="17" borderId="0" xfId="0"/>
    <x:xf numFmtId="0" fontId="18" fillId="17" borderId="0" xfId="0"/>
    <x:xf numFmtId="0" fontId="18" fillId="17" borderId="7" xfId="0"/>
    <x:xf numFmtId="0" fontId="18" fillId="17" borderId="7" xfId="0" applyAlignment="1">
      <x:alignment wrapText="1"/>
    </x:xf>
    <x:xf numFmtId="0" fontId="0" fillId="18" borderId="0" xfId="0"/>
    <x:xf numFmtId="0" fontId="19" fillId="18" borderId="0" xfId="0"/>
    <x:xf numFmtId="0" fontId="19" fillId="18" borderId="7" xfId="0"/>
    <x:xf numFmtId="0" fontId="19" fillId="18" borderId="7" xfId="0" applyAlignment="1">
      <x:alignment wrapText="1"/>
    </x:xf>
    <x:xf numFmtId="0" fontId="19" fillId="19" borderId="7" xfId="0" applyAlignment="1">
      <x:alignment wrapText="1"/>
    </x:xf>
    <x:xf numFmtId="0" fontId="20" fillId="19" borderId="7" xfId="0" applyAlignment="1">
      <x:alignment wrapText="1"/>
    </x:xf>
    <x:xf numFmtId="0" fontId="19" fillId="20" borderId="7" xfId="0" applyAlignment="1">
      <x:alignment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22" fillId="22" borderId="0" xfId="0" applyNumberFormat="1" applyFont="1" applyFill="1" applyBorder="1"/>
    <x:xf numFmtId="0" fontId="22" fillId="22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9" fillId="23" borderId="0" xfId="0" applyNumberFormat="1" applyFont="1" applyFill="1" applyBorder="1"/>
    <x:xf numFmtId="0" fontId="19" fillId="23" borderId="8" xfId="0" applyNumberFormat="1" applyFont="1" applyFill="1" applyBorder="1"/>
    <x:xf numFmtId="0" fontId="19" fillId="23" borderId="8" xfId="0" applyNumberFormat="1" applyFont="1" applyFill="1" applyBorder="1" applyAlignment="1">
      <x:alignment vertical="center"/>
    </x:xf>
    <x:xf numFmtId="0" fontId="19" fillId="24" borderId="8" xfId="0" applyNumberFormat="1" applyFont="1" applyFill="1" applyBorder="1" applyAlignment="1">
      <x:alignment vertical="center"/>
    </x:xf>
    <x:xf numFmtId="0" fontId="23" fillId="24" borderId="8" xfId="0" applyNumberFormat="1" applyFont="1" applyFill="1" applyBorder="1" applyAlignment="1">
      <x:alignment vertical="center"/>
    </x:xf>
    <x:xf numFmtId="0" fontId="19" fillId="25" borderId="8" xfId="0" applyNumberFormat="1" applyFont="1" applyFill="1" applyBorder="1" applyAlignment="1">
      <x:alignment vertical="center"/>
    </x:xf>
    <x:xf numFmtId="0" fontId="19" fillId="26" borderId="8" xfId="0" applyNumberFormat="1" applyFont="1" applyFill="1" applyBorder="1" applyAlignment="1">
      <x:alignment vertical="center"/>
    </x:xf>
    <x:xf numFmtId="0" fontId="19" fillId="27" borderId="8" xfId="0" applyNumberFormat="1" applyFont="1" applyFill="1" applyBorder="1" applyAlignment="1">
      <x:alignment vertical="center"/>
    </x:xf>
    <x:xf numFmtId="0" fontId="23" fillId="24" borderId="8" xfId="0" applyNumberFormat="1" applyFont="1" applyFill="1" applyBorder="1" applyAlignment="1">
      <x:alignment vertical="center" wrapText="1"/>
    </x:xf>
    <x:xf numFmtId="0" fontId="19" fillId="23" borderId="8" xfId="0" applyNumberFormat="1" applyFont="1" applyFill="1" applyBorder="1" applyAlignment="1">
      <x:alignment vertical="center" wrapText="1"/>
    </x:xf>
    <x:xf numFmtId="0" fontId="19" fillId="25" borderId="8" xfId="0" applyNumberFormat="1" applyFont="1" applyFill="1" applyBorder="1" applyAlignment="1">
      <x:alignment vertical="center" wrapText="1"/>
    </x:xf>
    <x:xf numFmtId="0" fontId="19" fillId="26" borderId="8" xfId="0" applyNumberFormat="1" applyFont="1" applyFill="1" applyBorder="1" applyAlignment="1">
      <x:alignment vertical="center" wrapText="1"/>
    </x:xf>
    <x:xf numFmtId="0" fontId="19" fillId="27" borderId="8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0" fillId="25" borderId="8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4" fillId="28" borderId="0" xfId="0" applyNumberFormat="1" applyFont="1" applyFill="1" applyBorder="1"/>
    <x:xf numFmtId="0" fontId="24" fillId="28" borderId="8" xfId="0" applyNumberFormat="1" applyFont="1" applyFill="1" applyBorder="1"/>
    <x:xf numFmtId="0" fontId="24" fillId="28" borderId="8" xfId="0" applyNumberFormat="1" applyFont="1" applyFill="1" applyBorder="1" applyAlignment="1">
      <x:alignment wrapText="1"/>
    </x:xf>
    <x:xf numFmtId="0" fontId="24" fillId="28" borderId="8" xfId="0" applyNumberFormat="1" applyFont="1" applyFill="1" applyBorder="1" applyAlignment="1">
      <x:alignment vertical="center" wrapText="1"/>
    </x:xf>
    <x:xf numFmtId="166" fontId="19" fillId="25" borderId="8" xfId="0" applyNumberFormat="1" applyFont="1" applyFill="1" applyBorder="1" applyAlignment="1">
      <x:alignment vertical="center"/>
    </x:xf>
    <x:xf numFmtId="165" fontId="19" fillId="25" borderId="8" xfId="0" applyNumberFormat="1" applyFont="1" applyFill="1" applyBorder="1" applyAlignment="1">
      <x:alignment vertical="center"/>
    </x:xf>
    <x:xf numFmtId="200" fontId="19" fillId="25" borderId="8" xfId="0" applyNumberFormat="1" applyFont="1" applyFill="1" applyBorder="1" applyAlignment="1">
      <x:alignment vertical="center"/>
    </x:xf>
    <x:xf numFmtId="0" fontId="25" fillId="24" borderId="0" xfId="0" applyNumberFormat="1" applyFont="1" applyFill="1" applyBorder="1"/>
    <x:xf numFmtId="0" fontId="25" fillId="24" borderId="0" xfId="0" applyNumberFormat="1" applyFont="1" applyFill="1" applyBorder="1" applyAlignment="1">
      <x:alignment wrapText="1"/>
    </x:xf>
    <x:xf numFmtId="0" fontId="26" fillId="24" borderId="0" xfId="0" applyNumberFormat="1" applyFont="1" applyFill="1" applyBorder="1"/>
    <x:xf numFmtId="0" fontId="26" fillId="24" borderId="0" xfId="0" applyNumberFormat="1" applyFont="1" applyFill="1" applyBorder="1" applyAlignment="1">
      <x:alignment wrapText="1"/>
    </x:xf>
    <x:xf numFmtId="0" fontId="23" fillId="23" borderId="8" xfId="0" applyNumberFormat="1" applyFont="1" applyFill="1" applyBorder="1" applyAlignment="1">
      <x:alignment vertical="center"/>
    </x:xf>
    <x:xf numFmtId="0" fontId="20" fillId="26" borderId="8" xfId="0" applyNumberFormat="1" applyFont="1" applyFill="1" applyBorder="1" applyAlignment="1">
      <x:alignment vertical="center"/>
    </x:xf>
    <x:xf numFmtId="0" fontId="20" fillId="22" borderId="0" xfId="0" applyNumberFormat="1" applyFont="1" applyFill="1" applyBorder="1"/>
    <x:xf numFmtId="166" fontId="19" fillId="26" borderId="8" xfId="0" applyNumberFormat="1" applyFont="1" applyFill="1" applyBorder="1" applyAlignment="1">
      <x:alignment vertical="center"/>
    </x:xf>
    <x:xf numFmtId="165" fontId="19" fillId="26" borderId="8" xfId="0" applyNumberFormat="1" applyFont="1" applyFill="1" applyBorder="1" applyAlignment="1">
      <x:alignment vertical="center"/>
    </x:xf>
    <x:xf numFmtId="200" fontId="19" fillId="26" borderId="8" xfId="0" applyNumberFormat="1" applyFont="1" applyFill="1" applyBorder="1" applyAlignment="1">
      <x:alignment vertical="center"/>
    </x:xf>
    <x:xf numFmtId="0" fontId="23" fillId="24" borderId="8" xfId="0" applyNumberFormat="1" applyFont="1" applyFill="1" applyBorder="1"/>
    <x:xf numFmtId="0" fontId="23" fillId="24" borderId="8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20" fillId="26" borderId="0" xfId="0" applyNumberFormat="1" applyFont="1" applyFill="1" applyBorder="1"/>
    <x:xf numFmtId="0" fontId="20" fillId="26" borderId="8" xfId="0" applyNumberFormat="1" applyFont="1" applyFill="1" applyBorder="1"/>
    <x:xf numFmtId="166" fontId="20" fillId="26" borderId="8" xfId="0" applyNumberFormat="1" applyFont="1" applyFill="1" applyBorder="1"/>
    <x:xf numFmtId="200" fontId="20" fillId="26" borderId="8" xfId="0" applyNumberFormat="1" applyFont="1" applyFill="1" applyBorder="1"/>
    <x:xf numFmtId="0" fontId="19" fillId="26" borderId="0" xfId="0" applyNumberFormat="1" applyFont="1" applyFill="1" applyBorder="1"/>
    <x:xf numFmtId="0" fontId="19" fillId="26" borderId="8" xfId="0" applyNumberFormat="1" applyFont="1" applyFill="1" applyBorder="1"/>
    <x:xf numFmtId="0" fontId="19" fillId="26" borderId="8" xfId="0" applyNumberFormat="1" applyFont="1" applyFill="1" applyBorder="1" applyAlignment="1">
      <x:alignment wrapText="1"/>
    </x:xf>
    <x:xf numFmtId="0" fontId="19" fillId="26" borderId="8" xfId="0" applyNumberFormat="1" applyFont="1" applyFill="1" applyBorder="1" applyAlignment="1">
      <x:alignment vertical="top" wrapText="1"/>
    </x:xf>
    <x:xf numFmtId="0" fontId="19" fillId="22" borderId="8" xfId="0" applyNumberFormat="1" applyFont="1" applyFill="1" applyBorder="1" applyAlignment="1">
      <x:alignment vertical="center"/>
    </x:xf>
    <x:xf numFmtId="0" fontId="20" fillId="22" borderId="8" xfId="0" applyNumberFormat="1" applyFont="1" applyFill="1" applyBorder="1" applyAlignment="1">
      <x:alignment vertical="center"/>
    </x:xf>
    <x:xf numFmtId="0" fontId="20" fillId="22" borderId="8" xfId="0" applyNumberFormat="1" applyFont="1" applyFill="1" applyBorder="1" applyAlignment="1">
      <x:alignment vertical="center" wrapText="1"/>
    </x:xf>
    <x:xf numFmtId="0" fontId="19" fillId="24" borderId="8" xfId="0" applyNumberFormat="1" applyFont="1" applyFill="1" applyBorder="1" applyAlignment="1">
      <x:alignment vertical="center" wrapText="1"/>
    </x:xf>
    <x:xf numFmtId="166" fontId="0" fillId="0" borderId="2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1" fontId="0" fillId="11" borderId="2" xfId="0" applyNumberFormat="1" applyFont="1" applyFill="1" applyBorder="1" applyAlignment="1">
      <x:alignment vertical="top" wrapText="1"/>
    </x:xf>
    <x:xf numFmtId="166" fontId="0" fillId="11" borderId="2" xfId="0" applyNumberFormat="1" applyFont="1" applyFill="1" applyBorder="1" applyAlignment="1">
      <x:alignment vertical="top" wrapText="1"/>
    </x:xf>
    <x:xf numFmtId="165" fontId="0" fillId="0" borderId="2" xfId="0" applyNumberFormat="1" applyFont="1" applyFill="1" applyBorder="1" applyAlignment="1">
      <x:alignment vertical="top" wrapText="1"/>
    </x:xf>
    <x:xf numFmtId="165" fontId="0" fillId="11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200" fontId="0" fillId="11" borderId="2" xfId="0" applyNumberFormat="1" applyFont="1" applyFill="1" applyBorder="1" applyAlignment="1">
      <x:alignment vertical="top" wrapText="1"/>
    </x:xf>
    <x:xf numFmtId="0" fontId="15" fillId="29" borderId="2" xfId="0" applyNumberFormat="1" applyFont="1" applyFill="1" applyBorder="1" applyAlignment="1">
      <x:alignment vertical="top" wrapText="1"/>
    </x:xf>
    <x:xf numFmtId="0" fontId="15" fillId="29" borderId="2" xfId="0" applyNumberFormat="1" applyFont="1" applyFill="1" applyBorder="1" applyAlignment="1">
      <x:alignment vertical="center" wrapText="1"/>
    </x:xf>
    <x:xf numFmtId="0" fontId="16" fillId="30" borderId="2" xfId="0" applyNumberFormat="1" applyFont="1" applyFill="1" applyBorder="1" applyAlignment="1">
      <x:alignment vertical="top" wrapText="1"/>
    </x:xf>
    <x:xf numFmtId="0" fontId="0" fillId="30" borderId="2" xfId="0" applyNumberFormat="1" applyFont="1" applyFill="1" applyBorder="1" applyAlignment="1">
      <x:alignment vertical="top" wrapText="1"/>
    </x:xf>
    <x:xf numFmtId="0" fontId="27" fillId="30" borderId="2" xfId="0" applyNumberFormat="1" applyFont="1" applyFill="1" applyBorder="1" applyAlignment="1">
      <x:alignment vertical="top" wrapText="1"/>
    </x:xf>
    <x:xf numFmtId="0" fontId="19" fillId="30" borderId="2" xfId="0" applyNumberFormat="1" applyFont="1" applyFill="1" applyBorder="1" applyAlignment="1">
      <x:alignment vertical="top" wrapText="1"/>
    </x:xf>
    <x:xf numFmtId="0" fontId="27" fillId="30" borderId="2" xfId="0" applyNumberFormat="1" applyFont="1" applyFill="1" applyBorder="1" applyAlignment="1">
      <x:alignment vertical="center" wrapText="1"/>
    </x:xf>
    <x:xf numFmtId="0" fontId="19" fillId="30" borderId="2" xfId="0" applyNumberFormat="1" applyFont="1" applyFill="1" applyBorder="1" applyAlignment="1">
      <x:alignment vertical="center" wrapText="1"/>
    </x:xf>
    <x:xf numFmtId="0" fontId="0" fillId="31" borderId="2" xfId="0" applyNumberFormat="1" applyFont="1" applyFill="1" applyBorder="1" applyAlignment="1">
      <x:alignment vertical="top" wrapText="1"/>
    </x:xf>
    <x:xf numFmtId="0" fontId="28" fillId="31" borderId="2" xfId="0" applyNumberFormat="1" applyFont="1" applyFill="1" applyBorder="1" applyAlignment="1">
      <x:alignment vertical="top" wrapText="1"/>
    </x:xf>
    <x:xf numFmtId="0" fontId="28" fillId="31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9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4A7C5E"/>
      </x:font>
      <x:fill>
        <x:patternFill patternType="solid">
          <x:bgColor rgb="FFEAF3EC"/>
        </x:patternFill>
      </x:fill>
    </x:dxf>
    <x:dxf>
      <x:font>
        <x:b/>
        <x:color rgb="FF9C4A2B"/>
      </x:font>
      <x:fill>
        <x:patternFill patternType="solid">
          <x:bgColor rgb="FFF2EEE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55948f86b64dcf" /><Relationship Type="http://schemas.openxmlformats.org/officeDocument/2006/relationships/theme" Target="/xl/theme/theme1.xml" Id="R6fe1ddb48e79450b" /><Relationship Type="http://schemas.openxmlformats.org/officeDocument/2006/relationships/sharedStrings" Target="/xl/sharedStrings.xml" Id="R816d7f21e2b140ca" /><Relationship Type="http://schemas.openxmlformats.org/officeDocument/2006/relationships/worksheet" Target="/xl/worksheets/sheet1.xml" Id="R304e686a0d7e46f6" /><Relationship Type="http://schemas.openxmlformats.org/officeDocument/2006/relationships/worksheet" Target="/xl/worksheets/sheet2.xml" Id="R0fa4bf6bf1f846c3" /><Relationship Type="http://schemas.openxmlformats.org/officeDocument/2006/relationships/worksheet" Target="/xl/worksheets/sheet3.xml" Id="Rd76f9f7bf09840fc" /><Relationship Type="http://schemas.openxmlformats.org/officeDocument/2006/relationships/worksheet" Target="/xl/worksheets/sheet4.xml" Id="R9b286bfbf4ea4b63" /><Relationship Type="http://schemas.openxmlformats.org/officeDocument/2006/relationships/worksheet" Target="/xl/worksheets/sheet5.xml" Id="Ra4ebb27f6f25461e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0" hidden="0" customWidth="1"/>
    <x:col min="2" max="2" width="92" style="20" hidden="0" customWidth="1"/>
    <x:col min="3" max="3" width="18" style="20" customWidth="1"/>
    <x:col min="4" max="4" width="18" style="20" customWidth="1"/>
    <x:col min="5" max="5" width="18" style="20" customWidth="1"/>
    <x:col min="6" max="6" width="18" style="20" customWidth="1"/>
    <x:col min="7" max="7" width="18" style="20" customWidth="1"/>
    <x:col min="8" max="8" width="18" style="20" customWidth="1"/>
  </x:cols>
  <x:sheetData>
    <x:row r="1" s="20" customFormat="1" ht="34" customHeight="1">
      <x:c r="A1" s="71" t="str">
        <x:v>BUS123 · MATH M03 · L01</x:v>
      </x:c>
      <x:c r="B1" s="71"/>
    </x:row>
    <x:row r="2" s="20" customFormat="1" ht="28" customHeight="1">
      <x:c r="A2" s="75" t="str">
        <x:v>Discounts: Trade and Cash | Tidal Goods Co. slide-to-Excel workbook</x:v>
      </x:c>
      <x:c r="B2" s="75"/>
    </x:row>
    <x:row r="4" ht="22" customHeight="1">
      <x:c r="A4" s="81" t="str">
        <x:v>Learning Objectives</x:v>
      </x:c>
      <x:c r="B4" s="85"/>
      <x:c r="C4" s="42" t="n"/>
      <x:c r="D4" s="42" t="n"/>
      <x:c r="E4" s="42" t="n"/>
      <x:c r="F4" s="42" t="n"/>
      <x:c r="G4" s="42" t="n"/>
      <x:c r="H4" s="43" t="n"/>
    </x:row>
    <x:row r="5" ht="22" customHeight="1">
      <x:c r="A5" s="79" t="str">
        <x:v>1</x:v>
      </x:c>
      <x:c r="B5" s="86" t="str">
        <x:v>Calculate a net price from a list price and a single trade discount.</x:v>
      </x:c>
      <x:c r="C5" s="42" t="n"/>
      <x:c r="D5" s="42" t="n"/>
      <x:c r="E5" s="42" t="n"/>
      <x:c r="F5" s="42" t="n"/>
      <x:c r="G5" s="42" t="n"/>
      <x:c r="H5" s="43" t="n"/>
    </x:row>
    <x:row r="6" ht="22" customHeight="1">
      <x:c r="A6" s="79" t="str">
        <x:v>2</x:v>
      </x:c>
      <x:c r="B6" s="86" t="str">
        <x:v>Apply successive trade discounts in sequence instead of adding rates.</x:v>
      </x:c>
      <x:c r="C6" s="42" t="n"/>
      <x:c r="D6" s="42" t="n"/>
      <x:c r="E6" s="42" t="n"/>
      <x:c r="F6" s="42" t="n"/>
      <x:c r="G6" s="42" t="n"/>
      <x:c r="H6" s="43" t="n"/>
    </x:row>
    <x:row r="7" ht="22" customHeight="1">
      <x:c r="A7" s="79" t="str">
        <x:v>3</x:v>
      </x:c>
      <x:c r="B7" s="86" t="str">
        <x:v>Interpret cash discount terms and calculate the qualifying early payment.</x:v>
      </x:c>
      <x:c r="C7" s="42" t="n"/>
      <x:c r="D7" s="42" t="n"/>
      <x:c r="E7" s="42" t="n"/>
      <x:c r="F7" s="42" t="n"/>
      <x:c r="G7" s="42" t="n"/>
      <x:c r="H7" s="43" t="n"/>
    </x:row>
    <x:row r="8" ht="22" customHeight="1">
      <x:c r="A8" s="79" t="str">
        <x:v>4</x:v>
      </x:c>
      <x:c r="B8" s="86" t="str">
        <x:v>Build a linked vendor comparison model and recommend the best qualifying quote.</x:v>
      </x:c>
      <x:c r="C8" s="42" t="n"/>
      <x:c r="D8" s="42" t="n"/>
      <x:c r="E8" s="42" t="n"/>
      <x:c r="F8" s="42" t="n"/>
      <x:c r="G8" s="42" t="n"/>
      <x:c r="H8" s="43" t="n"/>
    </x:row>
    <x:row r="9" ht="22" customHeight="1">
      <x:c r="A9" s="81" t="str">
        <x:v>How to Use This Workbook</x:v>
      </x:c>
      <x:c r="B9" s="85"/>
      <x:c r="C9" s="42" t="n"/>
      <x:c r="D9" s="42" t="n"/>
      <x:c r="E9" s="42" t="n"/>
      <x:c r="F9" s="42" t="n"/>
      <x:c r="G9" s="42" t="n"/>
      <x:c r="H9" s="43" t="n"/>
    </x:row>
    <x:row r="10" ht="22" customHeight="1">
      <x:c r="A10" s="79" t="str">
        <x:v>1</x:v>
      </x:c>
      <x:c r="B10" s="86" t="str">
        <x:v>During the deck, use Live You Try It for short self-checking Excel pauses.</x:v>
      </x:c>
      <x:c r="C10" s="42" t="n"/>
      <x:c r="D10" s="42" t="n"/>
      <x:c r="E10" s="42" t="n"/>
      <x:c r="F10" s="42" t="n"/>
      <x:c r="G10" s="42" t="n"/>
      <x:c r="H10" s="43" t="n"/>
    </x:row>
    <x:row r="11" ht="22" customHeight="1">
      <x:c r="A11" s="79" t="str">
        <x:v>2</x:v>
      </x:c>
      <x:c r="B11" s="86" t="str">
        <x:v>Start the Vendor Quote Comparison in class and finish the Class Challenge for homework.</x:v>
      </x:c>
      <x:c r="C11" s="42" t="n"/>
      <x:c r="D11" s="42" t="n"/>
      <x:c r="E11" s="42" t="n"/>
      <x:c r="F11" s="42" t="n"/>
      <x:c r="G11" s="42" t="n"/>
      <x:c r="H11" s="43" t="n"/>
    </x:row>
    <x:row r="12" ht="22" customHeight="1">
      <x:c r="A12" s="79" t="str">
        <x:v>3</x:v>
      </x:c>
      <x:c r="B12" s="86" t="str">
        <x:v>Begin on Vendor Quotes, then link the blue source data into the yellow Class Challenge cells.</x:v>
      </x:c>
      <x:c r="C12" s="42" t="n"/>
      <x:c r="D12" s="42" t="n"/>
      <x:c r="E12" s="42" t="n"/>
      <x:c r="F12" s="42" t="n"/>
      <x:c r="G12" s="42" t="n"/>
      <x:c r="H12" s="43" t="n"/>
    </x:row>
    <x:row r="13" ht="22" customHeight="1">
      <x:c r="A13" s="79" t="str">
        <x:v>4</x:v>
      </x:c>
      <x:c r="B13" s="86" t="str">
        <x:v>Use formulas and cell references instead of hardcoding calculated answers.</x:v>
      </x:c>
      <x:c r="C13" s="42" t="n"/>
      <x:c r="D13" s="42" t="n"/>
      <x:c r="E13" s="42" t="n"/>
      <x:c r="F13" s="42" t="n"/>
      <x:c r="G13" s="42" t="n"/>
      <x:c r="H13" s="43" t="n"/>
    </x:row>
    <x:row r="14" ht="22" customHeight="1">
      <x:c r="A14" s="79" t="str">
        <x:v>5</x:v>
      </x:c>
      <x:c r="B14" s="86" t="str">
        <x:v>Only the Class Challenge is graded; Live You Try It remains practice and revision.</x:v>
      </x:c>
      <x:c r="C14" s="42" t="n"/>
      <x:c r="D14" s="42" t="n"/>
      <x:c r="E14" s="42" t="n"/>
      <x:c r="F14" s="42" t="n"/>
      <x:c r="G14" s="42" t="n"/>
      <x:c r="H14" s="43" t="n"/>
    </x:row>
    <x:row r="15" ht="22" customHeight="1">
      <x:c r="A15" s="81" t="str">
        <x:v>Color Key</x:v>
      </x:c>
      <x:c r="B15" s="85"/>
      <x:c r="C15" s="42" t="n"/>
      <x:c r="D15" s="42" t="n"/>
      <x:c r="E15" s="42" t="n"/>
      <x:c r="F15" s="42" t="n"/>
      <x:c r="G15" s="42" t="n"/>
      <x:c r="H15" s="43" t="n"/>
    </x:row>
    <x:row r="16" ht="22" customHeight="1">
      <x:c r="A16" s="82" t="str">
        <x:v>Blue cells</x:v>
      </x:c>
      <x:c r="B16" s="87" t="str">
        <x:v>Given quote data and purchase requirements.</x:v>
      </x:c>
      <x:c r="C16" s="42" t="n"/>
      <x:c r="D16" s="42" t="n"/>
      <x:c r="E16" s="42" t="n"/>
      <x:c r="F16" s="42" t="n"/>
      <x:c r="G16" s="42" t="n"/>
      <x:c r="H16" s="43" t="n"/>
    </x:row>
    <x:row r="17" ht="22" customHeight="1">
      <x:c r="A17" s="83" t="str">
        <x:v>Yellow cells</x:v>
      </x:c>
      <x:c r="B17" s="88" t="str">
        <x:v>Your required formula, choice, or recommendation input.</x:v>
      </x:c>
      <x:c r="C17" s="42" t="n"/>
      <x:c r="D17" s="42" t="n"/>
      <x:c r="E17" s="42" t="n"/>
      <x:c r="F17" s="42" t="n"/>
      <x:c r="G17" s="42" t="n"/>
      <x:c r="H17" s="43" t="n"/>
    </x:row>
    <x:row r="18" ht="22" customHeight="1">
      <x:c r="A18" s="84" t="str">
        <x:v>Green feedback</x:v>
      </x:c>
      <x:c r="B18" s="89" t="str">
        <x:v>One diagnostic feedback column confirms or redirects after you enter a formula.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style="20" hidden="0" customWidth="1"/>
    <x:col min="2" max="2" width="38" style="20" hidden="0" customWidth="1"/>
    <x:col min="3" max="3" width="15" style="20" hidden="0" customWidth="1"/>
    <x:col min="4" max="4" width="15" style="20" hidden="0" customWidth="1"/>
    <x:col min="5" max="5" width="15" style="20" hidden="0" customWidth="1"/>
    <x:col min="6" max="6" width="21" style="20" hidden="0" customWidth="1"/>
    <x:col min="7" max="7" width="45" style="20" hidden="0" customWidth="1"/>
    <x:col min="8" max="8" width="30" style="20" hidden="0" customWidth="1"/>
  </x:cols>
  <x:sheetData>
    <x:row r="1" s="20" customFormat="1" ht="30" customHeight="1">
      <x:c r="A1" s="28" t="inlineStr">
        <x:is>
          <x:t xml:space="preserve">M03 · L01 — Live You Try It</x:t>
        </x:is>
      </x:c>
    </x:row>
    <x:row r="2" s="20" customFormat="1" ht="38" customHeight="1">
      <x:c r="A2" s="29" t="str">
        <x:v>Self-graded Excel pauses using fresh numbers from slides 8, 13, and 17. Enter formulas first; then read Feedback.</x:v>
      </x:c>
      <x:c r="B2"/>
      <x:c r="C2"/>
      <x:c r="D2"/>
      <x:c r="E2"/>
      <x:c r="F2"/>
      <x:c r="G2"/>
      <x:c r="H2"/>
    </x:row>
    <x:row r="4" ht="26" customHeight="1">
      <x:c r="A4" s="32" t="str">
        <x:v>Slide</x:v>
      </x:c>
      <x:c r="B4" s="32" t="str">
        <x:v>Scenario</x:v>
      </x:c>
      <x:c r="C4" s="32" t="str">
        <x:v>Input A</x:v>
      </x:c>
      <x:c r="D4" s="32" t="str">
        <x:v>Input B</x:v>
      </x:c>
      <x:c r="E4" s="32" t="str">
        <x:v>Input C</x:v>
      </x:c>
      <x:c r="F4" s="32" t="str">
        <x:v>Your Formula / Answer</x:v>
      </x:c>
      <x:c r="G4" s="135" t="str">
        <x:v>Feedback</x:v>
      </x:c>
      <x:c r="H4" s="135" t="str">
        <x:v>Business Meaning</x:v>
      </x:c>
    </x:row>
    <x:row r="5" s="20" customFormat="1" ht="42" customHeight="1">
      <x:c r="A5" s="31" t="n">
        <x:v>8</x:v>
      </x:c>
      <x:c r="B5" s="145" t="str">
        <x:v>Trade complement for travel duffel</x:v>
      </x:c>
      <x:c r="C5" s="126" t="n">
        <x:v>148.5</x:v>
      </x:c>
      <x:c r="D5" s="127" t="n">
        <x:v>0.24</x:v>
      </x:c>
      <x:c r="E5" s="145"/>
      <x:c r="F5" s="128"/>
      <x:c r="G5" s="140" t="str">
        <x:f>IF(F5="","Enter a formula, then check.",IF(ROUND(F5,4)=ROUND(1-D5,4),"Correct - complement is 76%.","Try again - what percent remains after the discount?"))</x:f>
        <x:v>Enter a formula, then check.</x:v>
      </x:c>
      <x:c r="H5" s="144" t="str">
        <x:v>Percent of list price the buyer pays</x:v>
      </x:c>
    </x:row>
    <x:row r="6" s="20" customFormat="1" ht="42" customHeight="1">
      <x:c r="A6" s="31" t="n">
        <x:v>8</x:v>
      </x:c>
      <x:c r="B6" s="145" t="str">
        <x:v>Trade discount amount</x:v>
      </x:c>
      <x:c r="C6" s="126" t="n">
        <x:v>148.5</x:v>
      </x:c>
      <x:c r="D6" s="127" t="n">
        <x:v>0.24</x:v>
      </x:c>
      <x:c r="E6" s="145"/>
      <x:c r="F6" s="129"/>
      <x:c r="G6" s="140" t="str">
        <x:f>IF(F6="","Enter a formula, then check.",IF(ROUND(F6,2)=ROUND(C6*D6,2),"Correct - discount amount is $35.64.","Try again - this row asks for dollars saved, not the payment."))</x:f>
        <x:v>Enter a formula, then check.</x:v>
      </x:c>
      <x:c r="H6" s="144" t="str">
        <x:v>Dollars removed from list price</x:v>
      </x:c>
    </x:row>
    <x:row r="7" s="20" customFormat="1" ht="42" customHeight="1">
      <x:c r="A7" s="31" t="n">
        <x:v>8</x:v>
      </x:c>
      <x:c r="B7" s="145" t="str">
        <x:v>Trade net price</x:v>
      </x:c>
      <x:c r="C7" s="126" t="n">
        <x:v>148.5</x:v>
      </x:c>
      <x:c r="D7" s="127" t="n">
        <x:v>0.24</x:v>
      </x:c>
      <x:c r="E7" s="145"/>
      <x:c r="F7" s="129"/>
      <x:c r="G7" s="140" t="str">
        <x:f>IF(F7="","Enter a formula, then check.",IF(ROUND(F7,2)=ROUND(C7*(1-D7),2),"Correct - net price is $112.86.","Try again - multiply the list price by the complement."))</x:f>
        <x:v>Enter a formula, then check.</x:v>
      </x:c>
      <x:c r="H7" s="144" t="str">
        <x:v>Amount Tidal Goods pays</x:v>
      </x:c>
    </x:row>
    <x:row r="8" s="20" customFormat="1" ht="42" customHeight="1">
      <x:c r="A8" s="39" t="inlineStr">
        <x:is>
          <x:t xml:space="preserve"/>
        </x:is>
      </x:c>
      <x:c r="B8" s="146" t="inlineStr">
        <x:is>
          <x:t xml:space="preserve"/>
        </x:is>
      </x:c>
      <x:c r="C8" s="39" t="inlineStr">
        <x:is>
          <x:t xml:space="preserve"/>
        </x:is>
      </x:c>
      <x:c r="D8" s="39" t="inlineStr">
        <x:is>
          <x:t xml:space="preserve"/>
        </x:is>
      </x:c>
      <x:c r="E8" s="146" t="inlineStr">
        <x:is>
          <x:t xml:space="preserve"/>
        </x:is>
      </x:c>
      <x:c r="F8" s="39"/>
      <x:c r="G8" s="141" t="inlineStr">
        <x:is>
          <x:t xml:space="preserve"/>
        </x:is>
      </x:c>
      <x:c r="H8" s="144"/>
    </x:row>
    <x:row r="9" s="20" customFormat="1" ht="42" customHeight="1">
      <x:c r="A9" s="31" t="n">
        <x:v>13</x:v>
      </x:c>
      <x:c r="B9" s="145" t="str">
        <x:v>Chain net price (d3 is in Input A below)</x:v>
      </x:c>
      <x:c r="C9" s="126" t="n">
        <x:v>240</x:v>
      </x:c>
      <x:c r="D9" s="127" t="n">
        <x:v>0.25</x:v>
      </x:c>
      <x:c r="E9" s="127" t="n">
        <x:v>0.12</x:v>
      </x:c>
      <x:c r="F9" s="129"/>
      <x:c r="G9" s="140" t="str">
        <x:f>IF(F9="","Enter a formula, then check.",IF(ROUND(F9,2)=ROUND(C9*(1-D9)*(1-E9)*(1-C10),2),"Correct - chain net price is $150.48.","Try again - use all three complements in sequence."))</x:f>
        <x:v>Enter a formula, then check.</x:v>
      </x:c>
      <x:c r="H9" s="144" t="str">
        <x:v>Final price after all three discounts</x:v>
      </x:c>
    </x:row>
    <x:row r="10" s="20" customFormat="1" ht="42" customHeight="1">
      <x:c r="A10" s="31" t="n">
        <x:v>13</x:v>
      </x:c>
      <x:c r="B10" s="145" t="str">
        <x:v>Single equivalent rate; d3</x:v>
      </x:c>
      <x:c r="C10" s="130" t="n">
        <x:v>0.05</x:v>
      </x:c>
      <x:c r="D10" s="31"/>
      <x:c r="E10" s="145"/>
      <x:c r="F10" s="131"/>
      <x:c r="G10" s="140" t="str">
        <x:f>IF(F10="","Enter a formula, then check.",IF(ROUND(F10,4)=ROUND(1-((1-D9)*(1-E9)*(1-C10)),4),"Correct - equivalent discount is 37.3%.","Try again - subtract the combined complement from 1."))</x:f>
        <x:v>Enter a formula, then check.</x:v>
      </x:c>
      <x:c r="H10" s="144" t="str">
        <x:v>One rate with the same pricing effect</x:v>
      </x:c>
    </x:row>
    <x:row r="11" s="20" customFormat="1" ht="42" customHeight="1">
      <x:c r="A11" s="31" t="n">
        <x:v>13</x:v>
      </x:c>
      <x:c r="B11" s="145" t="str">
        <x:v>Difference from 42% adding-rates shortcut</x:v>
      </x:c>
      <x:c r="C11" s="130" t="n">
        <x:v>0.42</x:v>
      </x:c>
      <x:c r="D11" s="31"/>
      <x:c r="E11" s="145"/>
      <x:c r="F11" s="129"/>
      <x:c r="G11" s="140" t="str">
        <x:f>IF(F11="","Enter a formula, then check.",IF(ROUND(F11,2)=ROUND((C9*(1-D9)*(1-E9)*(1-C10))-(C9*(1-C11)),2),"Correct - shortcut difference is $11.28.","Try again - compare the chain price with the 42% shortcut price."))</x:f>
        <x:v>Enter a formula, then check.</x:v>
      </x:c>
      <x:c r="H11" s="144" t="str">
        <x:v>Cost of using the invalid shortcut</x:v>
      </x:c>
    </x:row>
    <x:row r="12" s="20" customFormat="1" ht="42" customHeight="1">
      <x:c r="A12" s="39" t="inlineStr">
        <x:is>
          <x:t xml:space="preserve"/>
        </x:is>
      </x:c>
      <x:c r="B12" s="146" t="inlineStr">
        <x:is>
          <x:t xml:space="preserve"/>
        </x:is>
      </x:c>
      <x:c r="C12" s="39" t="inlineStr">
        <x:is>
          <x:t xml:space="preserve"/>
        </x:is>
      </x:c>
      <x:c r="D12" s="39" t="inlineStr">
        <x:is>
          <x:t xml:space="preserve"/>
        </x:is>
      </x:c>
      <x:c r="E12" s="146" t="inlineStr">
        <x:is>
          <x:t xml:space="preserve"/>
        </x:is>
      </x:c>
      <x:c r="F12" s="39"/>
      <x:c r="G12" s="141" t="inlineStr">
        <x:is>
          <x:t xml:space="preserve"/>
        </x:is>
      </x:c>
      <x:c r="H12" s="144"/>
    </x:row>
    <x:row r="13" s="20" customFormat="1" ht="42" customHeight="1">
      <x:c r="A13" s="31" t="n">
        <x:v>17</x:v>
      </x:c>
      <x:c r="B13" s="145" t="str">
        <x:v>Cash discount amount</x:v>
      </x:c>
      <x:c r="C13" s="126" t="n">
        <x:v>3750</x:v>
      </x:c>
      <x:c r="D13" s="127" t="n">
        <x:v>0.03</x:v>
      </x:c>
      <x:c r="E13" s="145" t="str">
        <x:v>3/15 net 45</x:v>
      </x:c>
      <x:c r="F13" s="129"/>
      <x:c r="G13" s="140" t="str">
        <x:f>IF(F13="","Enter a formula, then check.",IF(ROUND(F13,2)=ROUND(C13*D13,2),"Correct - discount amount is $112.50.","Try again - this row asks for the dollars saved."))</x:f>
        <x:v>Enter a formula, then check.</x:v>
      </x:c>
      <x:c r="H13" s="144" t="str">
        <x:v>Dollars saved for paying early</x:v>
      </x:c>
    </x:row>
    <x:row r="14" s="20" customFormat="1" ht="42" customHeight="1">
      <x:c r="A14" s="31" t="n">
        <x:v>17</x:v>
      </x:c>
      <x:c r="B14" s="145" t="str">
        <x:v>Early payment amount</x:v>
      </x:c>
      <x:c r="C14" s="126" t="n">
        <x:v>3750</x:v>
      </x:c>
      <x:c r="D14" s="127" t="n">
        <x:v>0.03</x:v>
      </x:c>
      <x:c r="E14" s="145" t="str">
        <x:v>3/15 net 45</x:v>
      </x:c>
      <x:c r="F14" s="129"/>
      <x:c r="G14" s="140" t="str">
        <x:f>IF(F14="","Enter a formula, then check.",IF(ROUND(F14,2)=ROUND(C14*(1-D14),2),"Correct - early payment is $3,637.50.","Try again - multiply the invoice by the complement."))</x:f>
        <x:v>Enter a formula, then check.</x:v>
      </x:c>
      <x:c r="H14" s="144" t="str">
        <x:v>Amount sent to the supplier</x:v>
      </x:c>
    </x:row>
    <x:row r="15" s="20" customFormat="1" ht="42" customHeight="1">
      <x:c r="A15" s="31" t="n">
        <x:v>17</x:v>
      </x:c>
      <x:c r="B15" s="145" t="str">
        <x:v>Cash discount eligible? 1 = Yes; 0 = No</x:v>
      </x:c>
      <x:c r="C15" s="132" t="n">
        <x:v>12</x:v>
      </x:c>
      <x:c r="D15" s="132" t="n">
        <x:v>15</x:v>
      </x:c>
      <x:c r="E15" s="145" t="str">
        <x:v>planned day / deadline</x:v>
      </x:c>
      <x:c r="F15" s="133"/>
      <x:c r="G15" s="140" t="str">
        <x:f>IF(F15="","Enter a formula, then check.",IF(F15=IF(C15&lt;=D15,1,0),"Correct - day 12 qualifies, so eligibility is 1.","Try again - compare planned payment day 12 with deadline day 15."))</x:f>
        <x:v>Enter a formula, then check.</x:v>
      </x:c>
      <x:c r="H15" s="144" t="str">
        <x:v>Timing test completed before payment</x:v>
      </x:c>
    </x:row>
    <x:row r="16">
      <x:c r="A16" s="31" t="n"/>
      <x:c r="B16" s="31" t="n"/>
      <x:c r="C16" s="31" t="n"/>
      <x:c r="D16" s="31" t="n"/>
      <x:c r="E16" s="31" t="n"/>
      <x:c r="F16" s="31" t="n"/>
      <x:c r="G16" s="31" t="n"/>
      <x:c r="H16" s="31" t="n"/>
    </x:row>
    <x:row r="17">
      <x:c r="A17" s="31" t="inlineStr">
        <x:is>
          <x:t xml:space="preserve">Self-check score</x:t>
        </x:is>
      </x:c>
      <x:c r="B17" s="31" t="str">
        <x:f>COUNTIF(G5:G15,"Correct*")&amp;" of 9 complete"</x:f>
        <x:v>0 of 9 complete</x:v>
      </x:c>
      <x:c r="C17" s="42" t="n"/>
      <x:c r="D17" s="42" t="n"/>
      <x:c r="E17" s="42" t="n"/>
      <x:c r="F17" s="42" t="n"/>
      <x:c r="G17" s="42" t="n"/>
      <x:c r="H17" s="43" t="n"/>
    </x:row>
  </x:sheetData>
  <x:mergeCells>
    <x:mergeCell ref="A2:H2"/>
    <x:mergeCell ref="B17:H17"/>
    <x:mergeCell ref="A1:H1"/>
  </x:mergeCells>
  <x:conditionalFormatting sqref="G5:G15">
    <x:cfRule type="containsText" dxfId="0" priority="1" operator="containsText" text="Correct"/>
    <x:cfRule type="containsText" dxfId="1" priority="2" operator="containsText" text="Try again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20" hidden="0" customWidth="1"/>
    <x:col min="2" max="2" width="23" style="20" hidden="0" customWidth="1"/>
    <x:col min="3" max="3" width="13" style="20" hidden="0" customWidth="1"/>
    <x:col min="4" max="4" width="15" style="20" hidden="0" customWidth="1"/>
    <x:col min="5" max="5" width="14" style="20" hidden="0" customWidth="1"/>
    <x:col min="6" max="6" width="15" style="20" hidden="0" customWidth="1"/>
    <x:col min="7" max="7" width="16" style="20" hidden="0" customWidth="1"/>
    <x:col min="8" max="8" width="14" style="20" hidden="0" customWidth="1"/>
    <x:col min="9" max="9" width="16" style="20" hidden="0" customWidth="1"/>
    <x:col min="10" max="10" width="14" hidden="0" customWidth="1"/>
    <x:col min="11" max="11" width="15" hidden="0" customWidth="1"/>
    <x:col min="12" max="12" width="16" hidden="0" customWidth="1"/>
  </x:cols>
  <x:sheetData>
    <x:row r="1" s="20" customFormat="1" ht="34" customHeight="1">
      <x:c r="A1" s="71" t="str">
        <x:v>M03 · L01 — Class Challenge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s="20" customFormat="1" ht="28" customHeight="1">
      <x:c r="A2" s="75" t="str">
        <x:v>Vendor Quote Comparison: build the linked model in class, then finish the purchasing recommendation for homework.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</x:row>
    <x:row r="3" ht="30" customHeight="1">
      <x:c r="A3" s="104" t="str">
        <x:v>HOW: use formulas and cell references  ·  TIME: 15 minutes in class + finish for homework  ·  DELIVERABLE: completed model, quote choice, and 2-sentence recommendation</x:v>
      </x:c>
      <x:c r="B3" s="104"/>
      <x:c r="C3" s="104"/>
      <x:c r="D3" s="104"/>
      <x:c r="E3" s="104"/>
      <x:c r="F3" s="104"/>
      <x:c r="G3" s="104"/>
      <x:c r="H3" s="104"/>
      <x:c r="I3" s="104"/>
      <x:c r="J3" s="104"/>
      <x:c r="K3" s="104"/>
      <x:c r="L3" s="104"/>
    </x:row>
    <x:row r="4">
      <x:c r="A4"/>
      <x:c r="B4"/>
      <x:c r="C4"/>
      <x:c r="D4"/>
      <x:c r="E4"/>
      <x:c r="F4"/>
      <x:c r="G4"/>
      <x:c r="H4"/>
      <x:c r="I4"/>
    </x:row>
    <x:row r="5" s="20" customFormat="1" ht="42" customHeight="1">
      <x:c r="A5" s="105" t="str">
        <x:v>Required Units</x:v>
      </x:c>
      <x:c r="B5" s="106"/>
      <x:c r="C5" s="105" t="str">
        <x:v>Planned Payment Day</x:v>
      </x:c>
      <x:c r="D5" s="79"/>
      <x:c r="E5"/>
      <x:c r="F5"/>
      <x:c r="G5"/>
      <x:c r="H5"/>
      <x:c r="I5"/>
    </x:row>
    <x:row r="6" s="20" customFormat="1" ht="42" customHeight="1">
      <x:c r="A6" s="107" t="str">
        <x:v>STEP 1 — Link each quote input from Vendor Quotes. Do not retype the source numbers.</x:v>
      </x:c>
      <x:c r="B6" s="107"/>
      <x:c r="C6" s="107"/>
      <x:c r="D6" s="107"/>
      <x:c r="E6" s="107"/>
      <x:c r="F6" s="107"/>
      <x:c r="G6" s="107"/>
      <x:c r="H6" s="107"/>
      <x:c r="I6" s="107"/>
      <x:c r="J6" s="107"/>
      <x:c r="K6" s="107"/>
      <x:c r="L6" s="107"/>
    </x:row>
    <x:row r="7" s="20" customFormat="1" ht="36" customHeight="1">
      <x:c r="A7" s="97" t="str">
        <x:v>Quote #</x:v>
      </x:c>
      <x:c r="B7" s="97" t="str">
        <x:v>Vendor</x:v>
      </x:c>
      <x:c r="C7" s="97" t="str">
        <x:v>Available Qty</x:v>
      </x:c>
      <x:c r="D7" s="97" t="str">
        <x:v>List Price / Unit</x:v>
      </x:c>
      <x:c r="E7" s="97" t="str">
        <x:v>Trade Disc 1</x:v>
      </x:c>
      <x:c r="F7" s="97" t="str">
        <x:v>Trade Disc 2</x:v>
      </x:c>
      <x:c r="G7" s="97" t="str">
        <x:v>Trade Disc 3</x:v>
      </x:c>
      <x:c r="H7" s="97" t="str">
        <x:v>Cash Discount</x:v>
      </x:c>
      <x:c r="I7" s="97" t="str">
        <x:v>Discount Days</x:v>
      </x:c>
      <x:c r="J7" s="97" t="str">
        <x:v>Net Days</x:v>
      </x:c>
    </x:row>
    <x:row r="8" s="20" customFormat="1" ht="25" customHeight="1">
      <x:c r="A8" s="110"/>
      <x:c r="B8" s="110"/>
      <x:c r="C8" s="110"/>
      <x:c r="D8" s="108"/>
      <x:c r="E8" s="109"/>
      <x:c r="F8" s="109"/>
      <x:c r="G8" s="109"/>
      <x:c r="H8" s="109"/>
      <x:c r="I8" s="110"/>
      <x:c r="J8" s="110"/>
    </x:row>
    <x:row r="9" s="20" customFormat="1" ht="25" customHeight="1">
      <x:c r="A9" s="110"/>
      <x:c r="B9" s="110"/>
      <x:c r="C9" s="110"/>
      <x:c r="D9" s="108"/>
      <x:c r="E9" s="109"/>
      <x:c r="F9" s="109"/>
      <x:c r="G9" s="109"/>
      <x:c r="H9" s="109"/>
      <x:c r="I9" s="110"/>
      <x:c r="J9" s="110"/>
    </x:row>
    <x:row r="10" s="20" customFormat="1" ht="25" customHeight="1">
      <x:c r="A10" s="110"/>
      <x:c r="B10" s="110"/>
      <x:c r="C10" s="110"/>
      <x:c r="D10" s="108"/>
      <x:c r="E10" s="109"/>
      <x:c r="F10" s="109"/>
      <x:c r="G10" s="109"/>
      <x:c r="H10" s="109"/>
      <x:c r="I10" s="110"/>
      <x:c r="J10" s="110"/>
    </x:row>
    <x:row r="11" s="20" customFormat="1" ht="25" customHeight="1">
      <x:c r="A11" s="110"/>
      <x:c r="B11" s="110"/>
      <x:c r="C11" s="110"/>
      <x:c r="D11" s="108"/>
      <x:c r="E11" s="109"/>
      <x:c r="F11" s="109"/>
      <x:c r="G11" s="109"/>
      <x:c r="H11" s="109"/>
      <x:c r="I11" s="110"/>
      <x:c r="J11" s="110"/>
    </x:row>
    <x:row r="12" s="20" customFormat="1" ht="25" customHeight="1">
      <x:c r="A12" s="110"/>
      <x:c r="B12" s="110"/>
      <x:c r="C12" s="110"/>
      <x:c r="D12" s="108"/>
      <x:c r="E12" s="109"/>
      <x:c r="F12" s="109"/>
      <x:c r="G12" s="109"/>
      <x:c r="H12" s="109"/>
      <x:c r="I12" s="110"/>
      <x:c r="J12" s="110"/>
    </x:row>
    <x:row r="13" s="20" customFormat="1" ht="25" customHeight="1">
      <x:c r="A13"/>
      <x:c r="B13"/>
      <x:c r="C13"/>
      <x:c r="D13"/>
      <x:c r="E13"/>
      <x:c r="F13"/>
      <x:c r="G13"/>
      <x:c r="H13"/>
      <x:c r="I13"/>
    </x:row>
    <x:row r="14" s="20" customFormat="1" ht="25" customHeight="1">
      <x:c r="A14" s="107" t="str">
        <x:v>STEP 2 — Compare only qualifying quotes and apply the cash discount only when payment day is inside the discount window.</x:v>
      </x:c>
      <x:c r="B14" s="107"/>
      <x:c r="C14" s="107"/>
      <x:c r="D14" s="107"/>
      <x:c r="E14" s="107"/>
      <x:c r="F14" s="107"/>
      <x:c r="G14" s="107"/>
      <x:c r="H14" s="107"/>
      <x:c r="I14" s="107"/>
      <x:c r="J14" s="107"/>
      <x:c r="K14" s="107"/>
      <x:c r="L14" s="107"/>
    </x:row>
    <x:row r="15" ht="25" customHeight="1"/>
    <x:row r="16" ht="40" customHeight="1">
      <x:c r="A16" s="97" t="str">
        <x:v>Quote #</x:v>
      </x:c>
      <x:c r="B16" s="97" t="str">
        <x:v>Vendor</x:v>
      </x:c>
      <x:c r="C16" s="97" t="str">
        <x:v>Qty Ordered</x:v>
      </x:c>
      <x:c r="D16" s="97" t="str">
        <x:v>Qty Qualifies?</x:v>
      </x:c>
      <x:c r="E16" s="97" t="str">
        <x:v>Net Unit Price</x:v>
      </x:c>
      <x:c r="F16" s="97" t="str">
        <x:v>List-Price Total</x:v>
      </x:c>
      <x:c r="G16" s="97" t="str">
        <x:v>After-Trade Total</x:v>
      </x:c>
      <x:c r="H16" s="97" t="str">
        <x:v>Cash Eligible?</x:v>
      </x:c>
      <x:c r="I16" s="97" t="str">
        <x:v>Final Order Cost</x:v>
      </x:c>
      <x:c r="J16" s="97" t="str">
        <x:v>Total Savings</x:v>
      </x:c>
      <x:c r="K16" s="97" t="str">
        <x:v>Control Difference</x:v>
      </x:c>
      <x:c r="L16" s="97" t="str">
        <x:v>Qualifying Cost</x:v>
      </x:c>
    </x:row>
    <x:row r="17" ht="25" customHeight="1">
      <x:c r="A17" s="110"/>
      <x:c r="B17" s="110"/>
      <x:c r="C17" s="110"/>
      <x:c r="D17" s="83"/>
      <x:c r="E17" s="108"/>
      <x:c r="F17" s="108"/>
      <x:c r="G17" s="108"/>
      <x:c r="H17" s="108"/>
      <x:c r="I17" s="108"/>
      <x:c r="J17" s="108"/>
      <x:c r="K17" s="108"/>
      <x:c r="L17" s="108"/>
    </x:row>
    <x:row r="18" ht="25" customHeight="1">
      <x:c r="A18" s="110"/>
      <x:c r="B18" s="110"/>
      <x:c r="C18" s="110"/>
      <x:c r="D18" s="83"/>
      <x:c r="E18" s="108"/>
      <x:c r="F18" s="108"/>
      <x:c r="G18" s="108"/>
      <x:c r="H18" s="108"/>
      <x:c r="I18" s="108"/>
      <x:c r="J18" s="108"/>
      <x:c r="K18" s="108"/>
      <x:c r="L18" s="108"/>
    </x:row>
    <x:row r="19" ht="25" customHeight="1">
      <x:c r="A19" s="110"/>
      <x:c r="B19" s="110"/>
      <x:c r="C19" s="110"/>
      <x:c r="D19" s="83"/>
      <x:c r="E19" s="108"/>
      <x:c r="F19" s="108"/>
      <x:c r="G19" s="108"/>
      <x:c r="H19" s="108"/>
      <x:c r="I19" s="108"/>
      <x:c r="J19" s="108"/>
      <x:c r="K19" s="108"/>
      <x:c r="L19" s="108"/>
    </x:row>
    <x:row r="20" ht="25" customHeight="1">
      <x:c r="A20" s="110"/>
      <x:c r="B20" s="110"/>
      <x:c r="C20" s="110"/>
      <x:c r="D20" s="83"/>
      <x:c r="E20" s="108"/>
      <x:c r="F20" s="108"/>
      <x:c r="G20" s="108"/>
      <x:c r="H20" s="108"/>
      <x:c r="I20" s="108"/>
      <x:c r="J20" s="108"/>
      <x:c r="K20" s="108"/>
      <x:c r="L20" s="108"/>
    </x:row>
    <x:row r="21" ht="25" customHeight="1">
      <x:c r="A21" s="110"/>
      <x:c r="B21" s="110"/>
      <x:c r="C21" s="110"/>
      <x:c r="D21" s="83"/>
      <x:c r="E21" s="108"/>
      <x:c r="F21" s="108"/>
      <x:c r="G21" s="108"/>
      <x:c r="H21" s="108"/>
      <x:c r="I21" s="108"/>
      <x:c r="J21" s="108"/>
      <x:c r="K21" s="108"/>
      <x:c r="L21" s="108"/>
    </x:row>
    <x:row r="22" ht="25" customHeight="1"/>
    <x:row r="23" ht="25" customHeight="1">
      <x:c r="A23" s="91" t="str">
        <x:v>STEP 3 — Recommend the best qualifying quote and show the numerical basis.</x:v>
      </x:c>
      <x:c r="B23" s="91"/>
      <x:c r="C23" s="91"/>
      <x:c r="D23" s="91"/>
      <x:c r="E23" s="91"/>
      <x:c r="F23" s="91"/>
      <x:c r="G23" s="91"/>
      <x:c r="H23" s="91"/>
      <x:c r="I23" s="91"/>
      <x:c r="J23" s="91"/>
      <x:c r="K23" s="91"/>
      <x:c r="L23" s="91"/>
    </x:row>
    <x:row r="24" ht="25" customHeight="1"/>
    <x:row r="25" ht="34" customHeight="1">
      <x:c r="A25" s="112" t="str">
        <x:v>Best Qualifying Cost</x:v>
      </x:c>
      <x:c r="B25" s="116"/>
    </x:row>
    <x:row r="26" ht="34" customHeight="1">
      <x:c r="A26" s="112" t="str">
        <x:v>Recommended Quote #</x:v>
      </x:c>
      <x:c r="B26" s="117"/>
    </x:row>
    <x:row r="27" ht="34" customHeight="1">
      <x:c r="A27" s="112" t="str">
        <x:v>Cost Basis for Recommendation</x:v>
      </x:c>
      <x:c r="B27" s="116"/>
    </x:row>
    <x:row r="28" ht="34" customHeight="1">
      <x:c r="A28" s="112" t="str">
        <x:v>Control Total — All Final Costs</x:v>
      </x:c>
      <x:c r="B28" s="116"/>
    </x:row>
    <x:row r="29" ht="58" customHeight="1">
      <x:c r="A29" s="112" t="str">
        <x:v>Recommendation Explanation</x:v>
      </x:c>
      <x:c r="B29" s="121" t="str"/>
      <x:c r="C29" s="121"/>
      <x:c r="D29" s="121"/>
      <x:c r="E29" s="121"/>
      <x:c r="F29" s="121"/>
      <x:c r="G29" s="121"/>
      <x:c r="H29" s="121"/>
      <x:c r="I29" s="121"/>
      <x:c r="J29" s="121"/>
      <x:c r="K29" s="121"/>
      <x:c r="L29" s="121"/>
    </x:row>
    <x:row r="30" ht="58" customHeight="1">
      <x:c r="B30" s="121"/>
      <x:c r="C30" s="121"/>
      <x:c r="D30" s="121"/>
      <x:c r="E30" s="121"/>
      <x:c r="F30" s="121"/>
      <x:c r="G30" s="121"/>
      <x:c r="H30" s="121"/>
      <x:c r="I30" s="121"/>
      <x:c r="J30" s="121"/>
      <x:c r="K30" s="121"/>
      <x:c r="L30" s="121"/>
    </x:row>
    <x:row r="31" ht="58" customHeight="1">
      <x:c r="B31" s="121"/>
      <x:c r="C31" s="121"/>
      <x:c r="D31" s="121"/>
      <x:c r="E31" s="121"/>
      <x:c r="F31" s="121"/>
      <x:c r="G31" s="121"/>
      <x:c r="H31" s="121"/>
      <x:c r="I31" s="121"/>
      <x:c r="J31" s="121"/>
      <x:c r="K31" s="121"/>
      <x:c r="L31" s="121"/>
    </x:row>
  </x:sheetData>
  <x:mergeCells>
    <x:mergeCell ref="A1:L1"/>
    <x:mergeCell ref="A2:L2"/>
    <x:mergeCell ref="A3:L3"/>
    <x:mergeCell ref="A6:L6"/>
    <x:mergeCell ref="A14:L14"/>
    <x:mergeCell ref="A23:L23"/>
    <x:mergeCell ref="B29:L31"/>
  </x:mergeCells>
  <x:dataValidations count="1">
    <x:dataValidation type="whole" operator="between" sqref="B26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style="20" hidden="0" customWidth="1"/>
    <x:col min="2" max="2" width="51" style="20" hidden="0" customWidth="1"/>
    <x:col min="3" max="3" width="43" style="20" hidden="0" customWidth="1"/>
    <x:col min="4" max="4" width="42" style="20" hidden="0" customWidth="1"/>
  </x:cols>
  <x:sheetData>
    <x:row r="1" s="20" customFormat="1" ht="34" customHeight="1">
      <x:c r="A1" s="71" t="str">
        <x:v>Formula Reference Card — Vendor Quote Comparison</x:v>
      </x:c>
      <x:c r="B1" s="71"/>
      <x:c r="C1" s="71"/>
      <x:c r="D1" s="71"/>
    </x:row>
    <x:row r="2" s="20" customFormat="1" ht="28" customHeight="1">
      <x:c r="A2" s="75" t="str">
        <x:v>Use these patterns as syntax reminders. Your Class Challenge formulas should point to worksheet cells.</x:v>
      </x:c>
      <x:c r="B2" s="75"/>
      <x:c r="C2" s="75"/>
      <x:c r="D2" s="75"/>
    </x:row>
    <x:row r="3" s="20" customFormat="1" ht="31.5" customHeight="1">
      <x:c r="A3"/>
      <x:c r="B3"/>
      <x:c r="C3"/>
      <x:c r="D3"/>
    </x:row>
    <x:row r="4" s="20" customFormat="1" ht="36" customHeight="1">
      <x:c r="A4" s="97" t="str">
        <x:v>Concept</x:v>
      </x:c>
      <x:c r="B4" s="97" t="str">
        <x:v>Excel Pattern</x:v>
      </x:c>
      <x:c r="C4" s="97" t="str">
        <x:v>Plain-English Meaning</x:v>
      </x:c>
      <x:c r="D4" s="97" t="str">
        <x:v>Watch Out For</x:v>
      </x:c>
    </x:row>
    <x:row r="5" s="20" customFormat="1" ht="36" customHeight="1">
      <x:c r="A5" s="86" t="str">
        <x:v>Cross-sheet link</x:v>
      </x:c>
      <x:c r="B5" s="124" t="str">
        <x:v>='Vendor Quotes'!D9</x:v>
      </x:c>
      <x:c r="C5" s="86" t="str">
        <x:v>Pulls a source value into the comparison model.</x:v>
      </x:c>
      <x:c r="D5" s="125" t="str">
        <x:v>Link the cell; do not retype the number.</x:v>
      </x:c>
    </x:row>
    <x:row r="6" s="20" customFormat="1" ht="36" customHeight="1">
      <x:c r="A6" s="86" t="str">
        <x:v>Trade complement</x:v>
      </x:c>
      <x:c r="B6" s="124" t="str">
        <x:v>=1-discount_rate</x:v>
      </x:c>
      <x:c r="C6" s="86" t="str">
        <x:v>Finds the percent the buyer still pays.</x:v>
      </x:c>
      <x:c r="D6" s="125" t="str">
        <x:v>Use one complement for each discount.</x:v>
      </x:c>
    </x:row>
    <x:row r="7" s="20" customFormat="1" ht="36" customHeight="1">
      <x:c r="A7" s="86" t="str">
        <x:v>Net unit price</x:v>
      </x:c>
      <x:c r="B7" s="124" t="str">
        <x:v>=list_price*(1-d1)*(1-d2)*(1-d3)</x:v>
      </x:c>
      <x:c r="C7" s="86" t="str">
        <x:v>Applies successive trade discounts to one unit.</x:v>
      </x:c>
      <x:c r="D7" s="125" t="str">
        <x:v>Do not add chained rates.</x:v>
      </x:c>
    </x:row>
    <x:row r="8" ht="36" customHeight="1">
      <x:c r="A8" s="86" t="str">
        <x:v>List-price total</x:v>
      </x:c>
      <x:c r="B8" s="124" t="str">
        <x:v>=quantity*list_price</x:v>
      </x:c>
      <x:c r="C8" s="86" t="str">
        <x:v>Finds the order value before discounts.</x:v>
      </x:c>
      <x:c r="D8" s="125" t="str">
        <x:v>Use the required order quantity.</x:v>
      </x:c>
    </x:row>
    <x:row r="9" ht="36" customHeight="1">
      <x:c r="A9" s="86" t="str">
        <x:v>After-trade total</x:v>
      </x:c>
      <x:c r="B9" s="124" t="str">
        <x:v>=quantity*net_unit_price</x:v>
      </x:c>
      <x:c r="C9" s="86" t="str">
        <x:v>Extends the net unit price to the full order.</x:v>
      </x:c>
      <x:c r="D9" s="125" t="str">
        <x:v>Link to your net unit result.</x:v>
      </x:c>
    </x:row>
    <x:row r="10" ht="36" customHeight="1">
      <x:c r="A10" s="86" t="str">
        <x:v>Quantity qualification</x:v>
      </x:c>
      <x:c r="B10" s="124" t="str">
        <x:v>=IF(available_qty&gt;=required_qty,"Yes","No")</x:v>
      </x:c>
      <x:c r="C10" s="86" t="str">
        <x:v>Checks whether the supplier can fill the order.</x:v>
      </x:c>
      <x:c r="D10" s="125" t="str">
        <x:v>Lowest price does not win if quantity is short.</x:v>
      </x:c>
    </x:row>
    <x:row r="11" ht="36" customHeight="1">
      <x:c r="A11" s="86" t="str">
        <x:v>Cash eligibility</x:v>
      </x:c>
      <x:c r="B11" s="124" t="str">
        <x:v>=IF(payment_day&lt;=discount_days,"Yes","No")</x:v>
      </x:c>
      <x:c r="C11" s="86" t="str">
        <x:v>Checks whether the early-pay discount applies.</x:v>
      </x:c>
      <x:c r="D11" s="125" t="str">
        <x:v>Read the discount window correctly.</x:v>
      </x:c>
    </x:row>
    <x:row r="12" ht="36" customHeight="1">
      <x:c r="A12" s="86" t="str">
        <x:v>Final order cost</x:v>
      </x:c>
      <x:c r="B12" s="124" t="str">
        <x:v>=IF(cash_eligible="Yes",after_trade*(1-cash_rate),after_trade)</x:v>
      </x:c>
      <x:c r="C12" s="86" t="str">
        <x:v>Applies cash savings only when earned.</x:v>
      </x:c>
      <x:c r="D12" s="125" t="str">
        <x:v>Cash discount follows trade discounts.</x:v>
      </x:c>
    </x:row>
    <x:row r="13" ht="36" customHeight="1">
      <x:c r="A13" s="86" t="str">
        <x:v>Total savings</x:v>
      </x:c>
      <x:c r="B13" s="124" t="str">
        <x:v>=list_price_total-final_order_cost</x:v>
      </x:c>
      <x:c r="C13" s="86" t="str">
        <x:v>Measures savings against list price.</x:v>
      </x:c>
      <x:c r="D13" s="125" t="str">
        <x:v>Savings is not the payment.</x:v>
      </x:c>
    </x:row>
    <x:row r="14" ht="36" customHeight="1">
      <x:c r="A14" s="86" t="str">
        <x:v>Control difference</x:v>
      </x:c>
      <x:c r="B14" s="124" t="str">
        <x:v>=list_price_total-final_order_cost-total_savings</x:v>
      </x:c>
      <x:c r="C14" s="86" t="str">
        <x:v>Should equal zero when the row ties out.</x:v>
      </x:c>
      <x:c r="D14" s="125" t="str">
        <x:v>A nonzero result signals a model error.</x:v>
      </x:c>
    </x:row>
    <x:row r="15" ht="36" customHeight="1">
      <x:c r="A15" s="86" t="str">
        <x:v>Best qualifying cost</x:v>
      </x:c>
      <x:c r="B15" s="124" t="str">
        <x:v>=MIN(qualifying_cost_range)</x:v>
      </x:c>
      <x:c r="C15" s="86" t="str">
        <x:v>Finds the lowest eligible total.</x:v>
      </x:c>
      <x:c r="D15" s="125" t="str">
        <x:v>Exclude quotes that cannot supply the order.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16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4" hidden="0" customWidth="1"/>
    <x:col min="10" max="10" width="10" hidden="0" customWidth="1"/>
    <x:col min="11" max="11" width="17" hidden="0" customWidth="1"/>
  </x:cols>
  <x:sheetData>
    <x:row r="1" ht="34" customHeight="1">
      <x:c r="A1" s="71" t="str">
        <x:v>M03 · L01 — Vendor Quotes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</x:row>
    <x:row r="2" ht="28" customHeight="1">
      <x:c r="A2" s="75" t="str">
        <x:v>Given supplier offers for Tidal Goods Co. Use these blue cells as the source for your linked comparison model.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</x:row>
    <x:row r="3">
      <x:c r="A3" s="91" t="str">
        <x:v>PURCHASE REQUIREMENTS</x:v>
      </x:c>
      <x:c r="B3" s="91"/>
      <x:c r="C3" s="91"/>
      <x:c r="D3" s="91"/>
      <x:c r="E3" s="91"/>
      <x:c r="F3" s="91"/>
      <x:c r="G3" s="91"/>
      <x:c r="H3" s="91"/>
      <x:c r="I3" s="91"/>
      <x:c r="J3" s="91"/>
      <x:c r="K3" s="91"/>
    </x:row>
    <x:row r="4">
      <x:c r="A4" s="79" t="str">
        <x:v>Required units</x:v>
      </x:c>
      <x:c r="B4" s="92" t="n">
        <x:v>50</x:v>
      </x:c>
    </x:row>
    <x:row r="5">
      <x:c r="A5" s="79" t="str">
        <x:v>Planned payment day</x:v>
      </x:c>
      <x:c r="B5" s="92" t="n">
        <x:v>10</x:v>
      </x:c>
    </x:row>
    <x:row r="6">
      <x:c r="A6" s="79" t="str">
        <x:v>Qualifying rule</x:v>
      </x:c>
      <x:c r="B6" s="82" t="str">
        <x:v>A supplier must have at least 50 units available.</x:v>
      </x:c>
    </x:row>
    <x:row r="8" ht="27" customHeight="1">
      <x:c r="A8" s="97" t="str">
        <x:v>Quote #</x:v>
      </x:c>
      <x:c r="B8" s="97" t="str">
        <x:v>Vendor</x:v>
      </x:c>
      <x:c r="C8" s="97" t="str">
        <x:v>Available Qty</x:v>
      </x:c>
      <x:c r="D8" s="97" t="str">
        <x:v>List Price / Unit</x:v>
      </x:c>
      <x:c r="E8" s="97" t="str">
        <x:v>Trade Disc 1</x:v>
      </x:c>
      <x:c r="F8" s="97" t="str">
        <x:v>Trade Disc 2</x:v>
      </x:c>
      <x:c r="G8" s="97" t="str">
        <x:v>Trade Disc 3</x:v>
      </x:c>
      <x:c r="H8" s="97" t="str">
        <x:v>Cash Discount</x:v>
      </x:c>
      <x:c r="I8" s="97" t="str">
        <x:v>Discount Days</x:v>
      </x:c>
      <x:c r="J8" s="97" t="str">
        <x:v>Net Days</x:v>
      </x:c>
      <x:c r="K8" s="97" t="str">
        <x:v>Cash Terms</x:v>
      </x:c>
    </x:row>
    <x:row r="9" ht="27" customHeight="1">
      <x:c r="A9" s="100" t="n">
        <x:v>1</x:v>
      </x:c>
      <x:c r="B9" s="100" t="str">
        <x:v>Atlantic Outfitters</x:v>
      </x:c>
      <x:c r="C9" s="100" t="n">
        <x:v>50</x:v>
      </x:c>
      <x:c r="D9" s="98" t="n">
        <x:v>189.99</x:v>
      </x:c>
      <x:c r="E9" s="99" t="n">
        <x:v>0.3</x:v>
      </x:c>
      <x:c r="F9" s="99" t="n">
        <x:v>0</x:v>
      </x:c>
      <x:c r="G9" s="99" t="n">
        <x:v>0</x:v>
      </x:c>
      <x:c r="H9" s="99" t="n">
        <x:v>0.02</x:v>
      </x:c>
      <x:c r="I9" s="100" t="n">
        <x:v>10</x:v>
      </x:c>
      <x:c r="J9" s="100" t="n">
        <x:v>30</x:v>
      </x:c>
      <x:c r="K9" s="82" t="str">
        <x:v>2/10 net 30</x:v>
      </x:c>
    </x:row>
    <x:row r="10" ht="27" customHeight="1">
      <x:c r="A10" s="100" t="n">
        <x:v>2</x:v>
      </x:c>
      <x:c r="B10" s="100" t="str">
        <x:v>Coastal Pro Supply</x:v>
      </x:c>
      <x:c r="C10" s="100" t="n">
        <x:v>60</x:v>
      </x:c>
      <x:c r="D10" s="98" t="n">
        <x:v>196</x:v>
      </x:c>
      <x:c r="E10" s="99" t="n">
        <x:v>0.25</x:v>
      </x:c>
      <x:c r="F10" s="99" t="n">
        <x:v>0.1</x:v>
      </x:c>
      <x:c r="G10" s="99" t="n">
        <x:v>0</x:v>
      </x:c>
      <x:c r="H10" s="99" t="n">
        <x:v>0.02</x:v>
      </x:c>
      <x:c r="I10" s="100" t="n">
        <x:v>10</x:v>
      </x:c>
      <x:c r="J10" s="100" t="n">
        <x:v>30</x:v>
      </x:c>
      <x:c r="K10" s="82" t="str">
        <x:v>2/10 net 30</x:v>
      </x:c>
    </x:row>
    <x:row r="11" ht="27" customHeight="1">
      <x:c r="A11" s="100" t="n">
        <x:v>3</x:v>
      </x:c>
      <x:c r="B11" s="100" t="str">
        <x:v>Harbor Wholesale</x:v>
      </x:c>
      <x:c r="C11" s="100" t="n">
        <x:v>40</x:v>
      </x:c>
      <x:c r="D11" s="98" t="n">
        <x:v>177.5</x:v>
      </x:c>
      <x:c r="E11" s="99" t="n">
        <x:v>0.3</x:v>
      </x:c>
      <x:c r="F11" s="99" t="n">
        <x:v>0.05</x:v>
      </x:c>
      <x:c r="G11" s="99" t="n">
        <x:v>0</x:v>
      </x:c>
      <x:c r="H11" s="99" t="n">
        <x:v>0.03</x:v>
      </x:c>
      <x:c r="I11" s="100" t="n">
        <x:v>15</x:v>
      </x:c>
      <x:c r="J11" s="100" t="n">
        <x:v>45</x:v>
      </x:c>
      <x:c r="K11" s="82" t="str">
        <x:v>3/15 net 45</x:v>
      </x:c>
    </x:row>
    <x:row r="12" ht="27" customHeight="1">
      <x:c r="A12" s="100" t="n">
        <x:v>4</x:v>
      </x:c>
      <x:c r="B12" s="100" t="str">
        <x:v>Shoreline Distribution</x:v>
      </x:c>
      <x:c r="C12" s="100" t="n">
        <x:v>55</x:v>
      </x:c>
      <x:c r="D12" s="98" t="n">
        <x:v>205</x:v>
      </x:c>
      <x:c r="E12" s="99" t="n">
        <x:v>0.2</x:v>
      </x:c>
      <x:c r="F12" s="99" t="n">
        <x:v>0.1</x:v>
      </x:c>
      <x:c r="G12" s="99" t="n">
        <x:v>0.05</x:v>
      </x:c>
      <x:c r="H12" s="99" t="n">
        <x:v>0.03</x:v>
      </x:c>
      <x:c r="I12" s="100" t="n">
        <x:v>5</x:v>
      </x:c>
      <x:c r="J12" s="100" t="n">
        <x:v>30</x:v>
      </x:c>
      <x:c r="K12" s="82" t="str">
        <x:v>3/5 net 30</x:v>
      </x:c>
    </x:row>
    <x:row r="13" ht="27" customHeight="1">
      <x:c r="A13" s="100" t="n">
        <x:v>5</x:v>
      </x:c>
      <x:c r="B13" s="100" t="str">
        <x:v>BlueCurrent Goods</x:v>
      </x:c>
      <x:c r="C13" s="100" t="n">
        <x:v>50</x:v>
      </x:c>
      <x:c r="D13" s="98" t="n">
        <x:v>184.5</x:v>
      </x:c>
      <x:c r="E13" s="99" t="n">
        <x:v>0.22</x:v>
      </x:c>
      <x:c r="F13" s="99" t="n">
        <x:v>0</x:v>
      </x:c>
      <x:c r="G13" s="99" t="n">
        <x:v>0</x:v>
      </x:c>
      <x:c r="H13" s="99" t="n">
        <x:v>0.01</x:v>
      </x:c>
      <x:c r="I13" s="100" t="n">
        <x:v>10</x:v>
      </x:c>
      <x:c r="J13" s="100" t="n">
        <x:v>30</x:v>
      </x:c>
      <x:c r="K13" s="82" t="str">
        <x:v>1/10 net 30</x:v>
      </x:c>
    </x:row>
    <x:row r="15" ht="32" customHeight="1">
      <x:c r="A15" s="102" t="str">
        <x:v>Read the terms exactly as written. A cash discount applies only when the planned payment day is inside that supplier's discount window.</x:v>
      </x:c>
      <x:c r="B15" s="102"/>
      <x:c r="C15" s="102"/>
      <x:c r="D15" s="102"/>
      <x:c r="E15" s="102"/>
      <x:c r="F15" s="102"/>
      <x:c r="G15" s="102"/>
      <x:c r="H15" s="102"/>
      <x:c r="I15" s="102"/>
      <x:c r="J15" s="102"/>
      <x:c r="K15" s="102"/>
    </x:row>
  </x:sheetData>
  <x:mergeCells>
    <x:mergeCell ref="A1:K1"/>
    <x:mergeCell ref="A2:K2"/>
    <x:mergeCell ref="A3:K3"/>
    <x:mergeCell ref="A15:K15"/>
  </x:mergeCells>
  <x:pageMargins left="0.7" right="0.7" top="0.75" bottom="0.75" header="0.3" footer="0.3"/>
</x:worksheet>
</file>