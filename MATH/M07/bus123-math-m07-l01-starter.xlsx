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a24375f9d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ad4885203454615" state="visible"/>
    <x:sheet xmlns:r="http://schemas.openxmlformats.org/officeDocument/2006/relationships" name="Live You Try It" sheetId="2" r:id="Rd653915775984c40" state="visible"/>
    <x:sheet xmlns:r="http://schemas.openxmlformats.org/officeDocument/2006/relationships" name="Class Challenge" sheetId="3" r:id="R58c4eb960d8d46b1" state="visible"/>
    <x:sheet xmlns:r="http://schemas.openxmlformats.org/officeDocument/2006/relationships" name="FormulaReferenceCard" sheetId="4" r:id="R5c99636da0584474" state="visible"/>
  </x:sheets>
</x:workbook>
</file>

<file path=xl/sharedStrings.xml><?xml version="1.0" encoding="utf-8"?>
<sst xmlns="http://schemas.openxmlformats.org/spreadsheetml/2006/main" uniqueCount="136">
  <si>
    <t xml:space="preserve">BUS123 - MATH-M07-L01 - Sales, Excise, and Property Taxes</t>
  </si>
  <si>
    <t xml:space="preserve">How to use this workbook</t>
  </si>
  <si>
    <t xml:space="preserve">Course</t>
  </si>
  <si>
    <t xml:space="preserve">BUS123 - Solving Business Problems with Technology</t>
  </si>
  <si>
    <t xml:space="preserve">Module</t>
  </si>
  <si>
    <t xml:space="preserve">MATH-M07 - Lesson 01</t>
  </si>
  <si>
    <t xml:space="preserve">Topic</t>
  </si>
  <si>
    <t xml:space="preserve">Sales tax, excise tax, and property tax using a simplified training jurisdiction</t>
  </si>
  <si>
    <t xml:space="preserve">Companies</t>
  </si>
  <si>
    <t xml:space="preserve">Tidal Goods Co. and Meridian Advisory Group; supplied training rules</t>
  </si>
  <si>
    <t xml:space="preserve">Live You Try It</t>
  </si>
  <si>
    <t xml:space="preserve">Class Challenge</t>
  </si>
  <si>
    <t xml:space="preserve">FormulaReferenceCard</t>
  </si>
  <si>
    <t xml:space="preserve">Syntax reminders to use only after you decide which pattern fits the supplied business rule.</t>
  </si>
  <si>
    <t xml:space="preserve">Color key</t>
  </si>
  <si>
    <t xml:space="preserve">Yellow input cells</t>
  </si>
  <si>
    <t xml:space="preserve">Green feedback cells</t>
  </si>
  <si>
    <t xml:space="preserve">Yellow audit-repair cells</t>
  </si>
  <si>
    <t xml:space="preserve">Only yellow cells are student work. Blue-gray source records and the supplied training-jurisdiction rules stay unchanged.</t>
  </si>
  <si>
    <t xml:space="preserve">MATH-M07 - Live You Try It | Self-graded Excel pauses</t>
  </si>
  <si>
    <t xml:space="preserve">#</t>
  </si>
  <si>
    <t xml:space="preserve">Task</t>
  </si>
  <si>
    <t xml:space="preserve">Input 1</t>
  </si>
  <si>
    <t xml:space="preserve">Input 2</t>
  </si>
  <si>
    <t xml:space="preserve">Formula / Answer</t>
  </si>
  <si>
    <t xml:space="preserve">Self-check feedback</t>
  </si>
  <si>
    <t xml:space="preserve">Hint</t>
  </si>
  <si>
    <t xml:space="preserve">Slide</t>
  </si>
  <si>
    <t xml:space="preserve">Sales tax</t>
  </si>
  <si>
    <t xml:space="preserve">D: retail price 735; E: trade discount 95; F: taxable subtotal.</t>
  </si>
  <si>
    <t xml:space="preserve">Subtract the discount before tax under the supplied rule.</t>
  </si>
  <si>
    <t xml:space="preserve">Reference the taxable subtotal cell, not the retail price.</t>
  </si>
  <si>
    <t xml:space="preserve">Reference the subtotal and tax results, then add shipping.</t>
  </si>
  <si>
    <t xml:space="preserve">Reverse tax</t>
  </si>
  <si>
    <t xml:space="preserve">D: receipts 64,200; E: tax rate 7%; F: pre-tax sales.</t>
  </si>
  <si>
    <t xml:space="preserve">Divide receipts by 1 plus the tax rate.</t>
  </si>
  <si>
    <t xml:space="preserve">Reference receipts and pre-tax sales.</t>
  </si>
  <si>
    <t xml:space="preserve">Excise tax</t>
  </si>
  <si>
    <t xml:space="preserve">D: base cost 7,250; E: sales tax rate 6%; F: sales tax.</t>
  </si>
  <si>
    <t xml:space="preserve">Reference the supplied base and sales-tax rate.</t>
  </si>
  <si>
    <t xml:space="preserve">Property tax</t>
  </si>
  <si>
    <t xml:space="preserve">D: market value 540,000; E: assessment rate 32%; F: assessed value.</t>
  </si>
  <si>
    <t xml:space="preserve">Reference market value and the supplied assessment rate.</t>
  </si>
  <si>
    <t xml:space="preserve">D: town budget 234,500; E: total assessed value 3,450,000; F: rounded rate.</t>
  </si>
  <si>
    <t xml:space="preserve">Use ROUND on budget divided by total assessed value.</t>
  </si>
  <si>
    <t xml:space="preserve">MATH-M07 - Class Challenge | Tax Compliance Audit</t>
  </si>
  <si>
    <t xml:space="preserve">All cases use the supplied training-jurisdiction rules. Blue-gray cells are source data and stay unchanged. Yellow cells are your audit work. Corrected liabilities must be formulas, not typed answers.</t>
  </si>
  <si>
    <t xml:space="preserve">SUPPLIED SOURCE DATA + FILED CALCULATION</t>
  </si>
  <si>
    <t xml:space="preserve">STUDENT AUDIT REPAIRS</t>
  </si>
  <si>
    <t xml:space="preserve">Record</t>
  </si>
  <si>
    <t xml:space="preserve">Tax area</t>
  </si>
  <si>
    <t xml:space="preserve">Audit case</t>
  </si>
  <si>
    <t xml:space="preserve">Amount / market value</t>
  </si>
  <si>
    <t xml:space="preserve">Discount / assessment rate</t>
  </si>
  <si>
    <t xml:space="preserve">Tax rate / town budget</t>
  </si>
  <si>
    <t xml:space="preserve">Second rate / total AV</t>
  </si>
  <si>
    <t xml:space="preserve">Filed formula</t>
  </si>
  <si>
    <t xml:space="preserve">Reported liability</t>
  </si>
  <si>
    <t xml:space="preserve">Finding code
0=OK · 1=ERROR</t>
  </si>
  <si>
    <t xml:space="preserve">Corrected liability formula</t>
  </si>
  <si>
    <t xml:space="preserve">Adjustment
(corrected - reported)</t>
  </si>
  <si>
    <t xml:space="preserve">R01</t>
  </si>
  <si>
    <t xml:space="preserve">Tidal invoice: $1,200 less $180 trade discount; tax liability only</t>
  </si>
  <si>
    <t xml:space="preserve">=ROUND((D7-E7)*F7,2)</t>
  </si>
  <si>
    <t xml:space="preserve">R02</t>
  </si>
  <si>
    <t xml:space="preserve">Tidal order: $480 less $80 trade discount; tax liability only</t>
  </si>
  <si>
    <t xml:space="preserve">=ROUND(D8*F8,2)</t>
  </si>
  <si>
    <t xml:space="preserve">R03</t>
  </si>
  <si>
    <t xml:space="preserve">Tidal register: tax is included in $78,625 total receipts</t>
  </si>
  <si>
    <t xml:space="preserve">=ROUND(D9-D9/(1+F9),2)</t>
  </si>
  <si>
    <t xml:space="preserve">R04</t>
  </si>
  <si>
    <t xml:space="preserve">Meridian appliance: 7% sales and 8% excise tax share a $6,200 base</t>
  </si>
  <si>
    <t xml:space="preserve">=ROUND(D10*(F10+G10),2)</t>
  </si>
  <si>
    <t xml:space="preserve">R05</t>
  </si>
  <si>
    <t xml:space="preserve">Meridian equipment: 7% sales and 9% excise tax share an $8,400 base</t>
  </si>
  <si>
    <t xml:space="preserve">=ROUND(D11*F11+(D11+D11*F11)*G11,2)</t>
  </si>
  <si>
    <t xml:space="preserve">R06</t>
  </si>
  <si>
    <t xml:space="preserve">Meridian office: annual property tax using assessed value and a 4-decimal rate</t>
  </si>
  <si>
    <t xml:space="preserve">=ROUND(D12*ROUND(F12/G12,4),2)</t>
  </si>
  <si>
    <t xml:space="preserve">LIABILITY RECONCILIATION</t>
  </si>
  <si>
    <t xml:space="preserve">Reported liability total (supplied)</t>
  </si>
  <si>
    <t xml:space="preserve">Control total (supplied)</t>
  </si>
  <si>
    <t xml:space="preserve">Corrected total</t>
  </si>
  <si>
    <t xml:space="preserve">Net adjustment</t>
  </si>
  <si>
    <t xml:space="preserve">Corrected from reported</t>
  </si>
  <si>
    <t xml:space="preserve">Reconciliation difference</t>
  </si>
  <si>
    <t xml:space="preserve">AUDIT NOTE
In 8+ words, identify the most consequential issue and explain why.</t>
  </si>
  <si>
    <t xml:space="preserve">MATH-M07 - FormulaReferenceCard</t>
  </si>
  <si>
    <t xml:space="preserve">Concept</t>
  </si>
  <si>
    <t xml:space="preserve">Excel Pattern</t>
  </si>
  <si>
    <t xml:space="preserve">Plain-English Meaning</t>
  </si>
  <si>
    <t xml:space="preserve">Watch Out For</t>
  </si>
  <si>
    <t xml:space="preserve">Taxable subtotal</t>
  </si>
  <si>
    <t xml:space="preserve">=Price-Discount</t>
  </si>
  <si>
    <t xml:space="preserve">Finds the amount subject to sales tax.</t>
  </si>
  <si>
    <t xml:space="preserve">Apply qualifying discounts before tax under the supplied rule.</t>
  </si>
  <si>
    <t xml:space="preserve">Sales tax owed</t>
  </si>
  <si>
    <t xml:space="preserve">=Taxable*Rate</t>
  </si>
  <si>
    <t xml:space="preserve">Calculates the tax on the taxable subtotal.</t>
  </si>
  <si>
    <t xml:space="preserve">Use the tax rate as a decimal and the taxable subtotal as the base.</t>
  </si>
  <si>
    <t xml:space="preserve">Total price</t>
  </si>
  <si>
    <t xml:space="preserve">=Taxable+Tax+Shipping</t>
  </si>
  <si>
    <t xml:space="preserve">Adds taxable amount, tax, and shipping.</t>
  </si>
  <si>
    <t xml:space="preserve">Add shipping after tax under the supplied rule.</t>
  </si>
  <si>
    <t xml:space="preserve">Back-calculate sales</t>
  </si>
  <si>
    <t xml:space="preserve">=TotalReceipts/(1+Rate)</t>
  </si>
  <si>
    <t xml:space="preserve">Finds sales before tax from total receipts.</t>
  </si>
  <si>
    <t xml:space="preserve">Do not divide receipts by the tax rate alone.</t>
  </si>
  <si>
    <t xml:space="preserve">Tax remittance</t>
  </si>
  <si>
    <t xml:space="preserve">=Receipts-PreTaxSales</t>
  </si>
  <si>
    <t xml:space="preserve">Finds tax collected and owed to the government.</t>
  </si>
  <si>
    <t xml:space="preserve">Collected tax is a liability, not revenue.</t>
  </si>
  <si>
    <t xml:space="preserve">Separate excise taxes</t>
  </si>
  <si>
    <t xml:space="preserve">=Base*SalesRate and =Base*ExciseRate</t>
  </si>
  <si>
    <t xml:space="preserve">Calculates both tax amounts from the same base.</t>
  </si>
  <si>
    <t xml:space="preserve">Use only when the scenario says both taxes share one base.</t>
  </si>
  <si>
    <t xml:space="preserve">Combined excise shortcut</t>
  </si>
  <si>
    <t xml:space="preserve">=Base*(1+SalesRate+ExciseRate)</t>
  </si>
  <si>
    <t xml:space="preserve">Combines rates when they share one base.</t>
  </si>
  <si>
    <t xml:space="preserve">The shortcut is valid only under the supplied same-base rule.</t>
  </si>
  <si>
    <t xml:space="preserve">Assessed value</t>
  </si>
  <si>
    <t xml:space="preserve">=MarketValue*AssessmentRate</t>
  </si>
  <si>
    <t xml:space="preserve">Converts market value to taxable assessed value.</t>
  </si>
  <si>
    <t xml:space="preserve">Use the assessment rule supplied by the training municipality.</t>
  </si>
  <si>
    <t xml:space="preserve">Property tax rate</t>
  </si>
  <si>
    <t xml:space="preserve">=ROUND(Budget/TotalAV,4)</t>
  </si>
  <si>
    <t xml:space="preserve">Rounds the municipal tax rate to four decimals.</t>
  </si>
  <si>
    <t xml:space="preserve">Round the rate before applying it to assessed value.</t>
  </si>
  <si>
    <t xml:space="preserve">Annual property tax</t>
  </si>
  <si>
    <t xml:space="preserve">=RoundedRate*AssessedValue</t>
  </si>
  <si>
    <t xml:space="preserve">Calculates annual property tax due.</t>
  </si>
  <si>
    <t xml:space="preserve">Use assessed value and the rounded rate.</t>
  </si>
  <si>
    <t xml:space="preserve">Monthly NNN reserve</t>
  </si>
  <si>
    <t xml:space="preserve">=AnnualTax/12</t>
  </si>
  <si>
    <t xml:space="preserve">Converts annual property tax into monthly planning cost.</t>
  </si>
  <si>
    <t xml:space="preserve">Use for lease cash-flow planning; actual obligations depend on lease terms.</t>
  </si>
</sst>
</file>

<file path=xl/styles.xml><?xml version="1.0" encoding="utf-8"?>
<x:styleSheet xmlns:x="http://schemas.openxmlformats.org/spreadsheetml/2006/main">
  <x:numFmts count="6">
    <x:numFmt numFmtId="164" formatCode="\$#,##0.00"/>
    <x:numFmt numFmtId="165" formatCode="0.0%"/>
    <x:numFmt numFmtId="166" formatCode="0.0000"/>
    <x:numFmt numFmtId="167" formatCode="&quot;$&quot;#,##0.00"/>
    <x:numFmt numFmtId="168" formatCode="&quot;$&quot;#,##0.00;[Red]\-&quot;$&quot;#,##0.00"/>
    <x:numFmt numFmtId="169" formatCode="0.00%;[Red]\-0.00%"/>
  </x:numFmts>
  <x:fonts count="16">
    <x:font>
      <x:sz val="11"/>
      <x:color theme="1"/>
      <x:name val="Calibri"/>
    </x:font>
    <x:font>
      <x:b/>
      <x:sz val="16"/>
      <x:color rgb="FFFFFFFF"/>
      <x:name val="Aptos Display"/>
    </x:font>
    <x:font>
      <x:b/>
      <x:sz val="12"/>
      <x:color rgb="FFFFFFFF"/>
      <x:name val="Aptos"/>
    </x:font>
    <x:font>
      <x:b/>
      <x:sz val="11"/>
      <x:color rgb="FF1A1F2C"/>
      <x:name val="Aptos"/>
    </x:font>
    <x:font>
      <x:i/>
      <x:sz val="11"/>
      <x:color rgb="FF4A5567"/>
      <x:name val="Aptos"/>
    </x:font>
    <x:font>
      <x:b/>
      <x:sz val="11"/>
      <x:color rgb="FFFFFFFF"/>
      <x:name val="Aptos"/>
    </x:font>
    <x:font>
      <x:b/>
      <x:sz val="11"/>
      <x:color rgb="FF355773"/>
      <x:name val="Aptos Mono"/>
    </x:font>
    <x:font>
      <x:sz val="11"/>
      <x:color rgb="FF1A1F2C"/>
      <x:name val="DM Sans"/>
    </x:font>
    <x:font>
      <x:b/>
      <x:sz val="20"/>
      <x:color rgb="FFFFFFFF"/>
      <x:name val="DM Sans"/>
    </x:font>
    <x:font>
      <x:i/>
      <x:sz val="11"/>
      <x:color rgb="FF4A5567"/>
      <x:name val="DM Sans"/>
    </x:font>
    <x:font>
      <x:b/>
      <x:sz val="10"/>
      <x:color rgb="FF355773"/>
      <x:name val="DM Sans"/>
    </x:font>
    <x:font>
      <x:b/>
      <x:sz val="11"/>
      <x:color rgb="FFFFFFFF"/>
      <x:name val="DM Sans"/>
    </x:font>
    <x:font>
      <x:sz val="9"/>
      <x:color rgb="FF355773"/>
      <x:name val="JetBrains Mono"/>
    </x:font>
    <x:font>
      <x:b/>
      <x:sz val="11"/>
      <x:color rgb="FF9C4A2B"/>
      <x:name val="DM Sans"/>
    </x:font>
    <x:font>
      <x:sz val="11"/>
      <x:color rgb="FF1A1F2C"/>
      <x:name val="Aptos"/>
    </x:font>
    <x:font>
      <x:b/>
      <x:sz val="13"/>
      <x:color rgb="FFFFFFFF"/>
      <x:name val="Aptos"/>
    </x:font>
  </x:fonts>
  <x:fills count="46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4A7C5E"/>
      </x:patternFill>
    </x:fill>
    <x:fill>
      <x:patternFill patternType="solid">
        <x:fgColor rgb="FFB8843D"/>
      </x:patternFill>
    </x:fill>
    <x:fill>
      <x:patternFill patternType="solid">
        <x:fgColor rgb="FFF2EEE5"/>
      </x:patternFill>
    </x:fill>
    <x:fill>
      <x:patternFill patternType="solid">
        <x:fgColor rgb="FF355773"/>
      </x:patternFill>
    </x:fill>
    <x:fill>
      <x:patternFill patternType="solid">
        <x:fgColor rgb="FFFFF2CC"/>
      </x:patternFill>
    </x:fill>
    <x:fill>
      <x:patternFill patternType="solid">
        <x:fgColor rgb="FFEAF3EC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355773"/>
      </x:patternFill>
    </x:fill>
    <x:fill>
      <x:patternFill patternType="solid">
        <x:fgColor rgb="FFB8843D"/>
      </x:patternFill>
    </x:fill>
    <x:fill>
      <x:patternFill patternType="solid">
        <x:fgColor rgb="FF4A7C5E"/>
      </x:patternFill>
    </x:fill>
    <x:fill>
      <x:patternFill patternType="solid">
        <x:fgColor rgb="FFE8EEF3"/>
      </x:patternFill>
    </x:fill>
    <x:fill>
      <x:patternFill patternType="solid">
        <x:fgColor rgb="FFFFF2CC"/>
      </x:patternFill>
    </x:fill>
    <x:fill>
      <x:patternFill patternType="solid">
        <x:fgColor rgb="FF9C4A2B"/>
      </x:patternFill>
    </x:fill>
    <x:fill>
      <x:patternFill patternType="solid">
        <x:fgColor rgb="FFFFFFFF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4A7C5E"/>
      </x:patternFill>
    </x:fill>
    <x:fill>
      <x:patternFill patternType="solid">
        <x:fgColor rgb="FFFAF8F3"/>
      </x:patternFill>
    </x:fill>
    <x:fill>
      <x:patternFill patternType="solid">
        <x:fgColor rgb="FF355773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4A7C5E"/>
      </x:patternFill>
    </x:fill>
    <x:fill>
      <x:patternFill patternType="solid">
        <x:fgColor rgb="FFFAF8F3"/>
      </x:patternFill>
    </x:fill>
    <x:fill>
      <x:patternFill patternType="solid">
        <x:fgColor rgb="FF355773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4A7C5E"/>
      </x:patternFill>
    </x:fill>
    <x:fill>
      <x:patternFill patternType="solid">
        <x:fgColor rgb="FFFAF8F3"/>
      </x:patternFill>
    </x:fill>
    <x:fill>
      <x:patternFill patternType="solid">
        <x:fgColor rgb="FF355773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4A7C5E"/>
      </x:patternFill>
    </x:fill>
    <x:fill>
      <x:patternFill patternType="solid">
        <x:fgColor rgb="FFFAF8F3"/>
      </x:patternFill>
    </x:fill>
    <x:fill>
      <x:patternFill patternType="solid">
        <x:fgColor rgb="FF355773"/>
      </x:patternFill>
    </x:fill>
    <x:fill>
      <x:patternFill patternType="solid">
        <x:fgColor rgb="FFFFD966"/>
      </x:patternFill>
    </x:fill>
  </x:fills>
  <x:borders count="13">
    <x:border>
      <x:left/>
      <x:right/>
      <x:top/>
      <x:bottom/>
      <x:diagonal/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  <x:diagonal/>
    </x:border>
    <x:border>
      <x:left style="thin">
        <x:color rgb="FFE5E1D6"/>
      </x:left>
      <x:right/>
      <x:top style="thin">
        <x:color rgb="FFE5E1D6"/>
      </x:top>
      <x:bottom style="thin">
        <x:color rgb="FFE5E1D6"/>
      </x:bottom>
      <x:diagonal/>
    </x:border>
    <x:border>
      <x:left/>
      <x:right/>
      <x:top style="thin">
        <x:color rgb="FFE5E1D6"/>
      </x:top>
      <x:bottom style="thin">
        <x:color rgb="FFE5E1D6"/>
      </x:bottom>
      <x:diagonal/>
    </x:border>
    <x:border>
      <x:left/>
      <x:right style="thin">
        <x:color rgb="FFE5E1D6"/>
      </x:right>
      <x:top style="thin">
        <x:color rgb="FFE5E1D6"/>
      </x:top>
      <x:bottom style="thin">
        <x:color rgb="FFE5E1D6"/>
      </x:bottom>
      <x:diagonal/>
    </x:border>
    <x:border>
      <x:left/>
      <x:right style="thin">
        <x:color rgb="FFE5E1D6"/>
      </x:right>
      <x:top/>
      <x:bottom style="thin">
        <x:color rgb="FFE5E1D6"/>
      </x:bottom>
      <x:diagonal/>
    </x:border>
    <x:border>
      <x:left style="thin">
        <x:color rgb="FFE5E1D6"/>
      </x:left>
      <x:right style="thin">
        <x:color rgb="FFE5E1D6"/>
      </x:right>
      <x:top/>
      <x:bottom style="thin">
        <x:color rgb="FFE5E1D6"/>
      </x:bottom>
      <x:diagonal/>
    </x:border>
    <x:border>
      <x:left style="thin">
        <x:color rgb="FFE5E1D6"/>
      </x:left>
      <x:right/>
      <x:top/>
      <x:bottom style="thin">
        <x:color rgb="FFE5E1D6"/>
      </x:bottom>
      <x:diagonal/>
    </x:border>
    <x:border>
      <x:left/>
      <x:right style="thin">
        <x:color rgb="FFE5E1D6"/>
      </x:right>
      <x:top style="thin">
        <x:color rgb="FFE5E1D6"/>
      </x:top>
      <x:bottom/>
      <x:diagonal/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/>
      <x:diagonal/>
    </x:border>
    <x:border>
      <x:left style="thin">
        <x:color rgb="FFE5E1D6"/>
      </x:left>
      <x:right/>
      <x:top style="thin">
        <x:color rgb="FFE5E1D6"/>
      </x:top>
      <x:bottom/>
      <x:diagonal/>
    </x:border>
    <x:border>
      <x:left/>
      <x:right/>
      <x:top style="thin">
        <x:color rgb="FFE5E1D6"/>
      </x:top>
      <x:bottom/>
      <x:diagonal/>
    </x:border>
    <x:border>
      <x:left/>
      <x:right/>
      <x:top/>
      <x:bottom style="thin">
        <x:color rgb="FFE5E1D6"/>
      </x:bottom>
      <x:diagonal/>
    </x:border>
  </x:borders>
  <x:cellStyleXfs count="1">
    <x:xf numFmtId="0" fontId="0" fillId="0" borderId="0"/>
  </x:cellStyleXfs>
  <x:cellXfs count="139">
    <x:xf numFmtId="0" fontId="0" fillId="0" borderId="0" xfId="0"/>
    <x:xf numFmtId="0" fontId="0" fillId="0" borderId="0" xfId="0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0" fillId="0" borderId="1" xfId="0" applyBorder="1" applyAlignment="1">
      <x:alignment vertical="center" wrapText="1"/>
    </x:xf>
    <x:xf numFmtId="0" fontId="5" fillId="6" borderId="1" xfId="0" applyFont="1" applyFill="1" applyBorder="1" applyAlignment="1">
      <x:alignment vertical="center" wrapText="1"/>
    </x:xf>
    <x:xf numFmtId="164" fontId="0" fillId="7" borderId="1" xfId="0" applyNumberFormat="1" applyFill="1" applyBorder="1" applyAlignment="1">
      <x:alignment vertical="center" wrapText="1"/>
    </x:xf>
    <x:xf numFmtId="0" fontId="0" fillId="5" borderId="1" xfId="0" applyFill="1" applyBorder="1" applyAlignment="1">
      <x:alignment vertical="center" wrapText="1"/>
    </x:xf>
    <x:xf numFmtId="0" fontId="0" fillId="8" borderId="1" xfId="0" applyFill="1" applyBorder="1" applyAlignment="1">
      <x:alignment vertical="center" wrapText="1"/>
    </x:xf>
    <x:xf numFmtId="165" fontId="0" fillId="7" borderId="1" xfId="0" applyNumberFormat="1" applyFill="1" applyBorder="1" applyAlignment="1">
      <x:alignment vertical="center" wrapText="1"/>
    </x:xf>
    <x:xf numFmtId="166" fontId="0" fillId="7" borderId="1" xfId="0" applyNumberFormat="1" applyFill="1" applyBorder="1" applyAlignment="1">
      <x:alignment vertical="center" wrapText="1"/>
    </x:xf>
    <x:xf numFmtId="0" fontId="6" fillId="8" borderId="1" xfId="0" applyFont="1" applyFill="1" applyBorder="1" applyAlignment="1">
      <x:alignment vertical="center" wrapText="1"/>
    </x:xf>
    <x:xf numFmtId="0" fontId="7" fillId="0" borderId="0" xfId="0" applyFont="1" applyAlignment="1">
      <x:alignment vertical="center"/>
    </x:xf>
    <x:xf numFmtId="0" fontId="7" fillId="0" borderId="4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9" xfId="0" applyFont="1" applyBorder="1" applyAlignment="1">
      <x:alignment vertical="center"/>
    </x:xf>
    <x:xf numFmtId="0" fontId="11" fillId="14" borderId="2" xfId="0" applyFont="1" applyFill="1" applyBorder="1" applyAlignment="1">
      <x:alignment vertical="center" wrapText="1"/>
    </x:xf>
    <x:xf numFmtId="0" fontId="11" fillId="14" borderId="3" xfId="0" applyFont="1" applyFill="1" applyBorder="1" applyAlignment="1">
      <x:alignment vertical="center" wrapText="1"/>
    </x:xf>
    <x:xf numFmtId="0" fontId="11" fillId="14" borderId="4" xfId="0" applyFont="1" applyFill="1" applyBorder="1" applyAlignment="1">
      <x:alignment vertical="center" wrapText="1"/>
    </x:xf>
    <x:xf numFmtId="0" fontId="7" fillId="15" borderId="5" xfId="0" applyFont="1" applyFill="1" applyBorder="1" applyAlignment="1">
      <x:alignment vertical="center"/>
    </x:xf>
    <x:xf numFmtId="0" fontId="7" fillId="16" borderId="6" xfId="0" applyFont="1" applyFill="1" applyBorder="1" applyAlignment="1">
      <x:alignment vertical="center"/>
    </x:xf>
    <x:xf numFmtId="0" fontId="7" fillId="15" borderId="4" xfId="0" applyFont="1" applyFill="1" applyBorder="1" applyAlignment="1">
      <x:alignment vertical="center"/>
    </x:xf>
    <x:xf numFmtId="0" fontId="7" fillId="16" borderId="1" xfId="0" applyFont="1" applyFill="1" applyBorder="1" applyAlignment="1">
      <x:alignment vertical="center"/>
    </x:xf>
    <x:xf numFmtId="0" fontId="7" fillId="15" borderId="8" xfId="0" applyFont="1" applyFill="1" applyBorder="1" applyAlignment="1">
      <x:alignment vertical="center"/>
    </x:xf>
    <x:xf numFmtId="0" fontId="7" fillId="16" borderId="9" xfId="0" applyFont="1" applyFill="1" applyBorder="1" applyAlignment="1">
      <x:alignment vertical="center"/>
    </x:xf>
    <x:xf numFmtId="0" fontId="7" fillId="15" borderId="6" xfId="0" applyFont="1" applyFill="1" applyBorder="1" applyAlignment="1">
      <x:alignment vertical="center" wrapText="1"/>
    </x:xf>
    <x:xf numFmtId="0" fontId="7" fillId="15" borderId="1" xfId="0" applyFont="1" applyFill="1" applyBorder="1" applyAlignment="1">
      <x:alignment vertical="center" wrapText="1"/>
    </x:xf>
    <x:xf numFmtId="0" fontId="7" fillId="15" borderId="9" xfId="0" applyFont="1" applyFill="1" applyBorder="1" applyAlignment="1">
      <x:alignment vertical="center" wrapText="1"/>
    </x:xf>
    <x:xf numFmtId="0" fontId="12" fillId="15" borderId="6" xfId="0" applyFont="1" applyFill="1" applyBorder="1" applyAlignment="1">
      <x:alignment vertical="center" wrapText="1"/>
    </x:xf>
    <x:xf numFmtId="0" fontId="12" fillId="15" borderId="1" xfId="0" applyFont="1" applyFill="1" applyBorder="1" applyAlignment="1">
      <x:alignment vertical="center" wrapText="1"/>
    </x:xf>
    <x:xf numFmtId="0" fontId="12" fillId="15" borderId="9" xfId="0" applyFont="1" applyFill="1" applyBorder="1" applyAlignment="1">
      <x:alignment vertical="center" wrapText="1"/>
    </x:xf>
    <x:xf numFmtId="167" fontId="7" fillId="15" borderId="6" xfId="0" applyNumberFormat="1" applyFont="1" applyFill="1" applyBorder="1" applyAlignment="1">
      <x:alignment vertical="center"/>
    </x:xf>
    <x:xf numFmtId="167" fontId="7" fillId="15" borderId="1" xfId="0" applyNumberFormat="1" applyFont="1" applyFill="1" applyBorder="1" applyAlignment="1">
      <x:alignment vertical="center"/>
    </x:xf>
    <x:xf numFmtId="167" fontId="7" fillId="15" borderId="9" xfId="0" applyNumberFormat="1" applyFont="1" applyFill="1" applyBorder="1" applyAlignment="1">
      <x:alignment vertical="center"/>
    </x:xf>
    <x:xf numFmtId="168" fontId="7" fillId="16" borderId="6" xfId="0" applyNumberFormat="1" applyFont="1" applyFill="1" applyBorder="1" applyAlignment="1">
      <x:alignment vertical="center"/>
    </x:xf>
    <x:xf numFmtId="168" fontId="7" fillId="16" borderId="7" xfId="0" applyNumberFormat="1" applyFont="1" applyFill="1" applyBorder="1" applyAlignment="1">
      <x:alignment vertical="center"/>
    </x:xf>
    <x:xf numFmtId="168" fontId="7" fillId="16" borderId="1" xfId="0" applyNumberFormat="1" applyFont="1" applyFill="1" applyBorder="1" applyAlignment="1">
      <x:alignment vertical="center"/>
    </x:xf>
    <x:xf numFmtId="168" fontId="7" fillId="16" borderId="2" xfId="0" applyNumberFormat="1" applyFont="1" applyFill="1" applyBorder="1" applyAlignment="1">
      <x:alignment vertical="center"/>
    </x:xf>
    <x:xf numFmtId="168" fontId="7" fillId="16" borderId="9" xfId="0" applyNumberFormat="1" applyFont="1" applyFill="1" applyBorder="1" applyAlignment="1">
      <x:alignment vertical="center"/>
    </x:xf>
    <x:xf numFmtId="168" fontId="7" fillId="16" borderId="10" xfId="0" applyNumberFormat="1" applyFont="1" applyFill="1" applyBorder="1" applyAlignment="1">
      <x:alignment vertical="center"/>
    </x:xf>
    <x:xf numFmtId="169" fontId="7" fillId="15" borderId="6" xfId="0" applyNumberFormat="1" applyFont="1" applyFill="1" applyBorder="1" applyAlignment="1">
      <x:alignment vertical="center"/>
    </x:xf>
    <x:xf numFmtId="169" fontId="7" fillId="15" borderId="1" xfId="0" applyNumberFormat="1" applyFont="1" applyFill="1" applyBorder="1" applyAlignment="1">
      <x:alignment vertical="center"/>
    </x:xf>
    <x:xf numFmtId="169" fontId="7" fillId="15" borderId="9" xfId="0" applyNumberFormat="1" applyFont="1" applyFill="1" applyBorder="1" applyAlignment="1">
      <x:alignment vertical="center"/>
    </x:xf>
    <x:xf numFmtId="0" fontId="7" fillId="0" borderId="1" xfId="0" applyFont="1" applyBorder="1" applyAlignment="1">
      <x:alignment vertical="center"/>
    </x:xf>
    <x:xf numFmtId="168" fontId="13" fillId="16" borderId="10" xfId="0" applyNumberFormat="1" applyFont="1" applyFill="1" applyBorder="1" applyAlignment="1">
      <x:alignment vertical="center"/>
    </x:xf>
    <x:xf numFmtId="0" fontId="14" fillId="18" borderId="1" xfId="0" applyFont="1" applyFill="1" applyBorder="1" applyAlignment="1">
      <x:alignment vertical="center" wrapText="1"/>
    </x:xf>
    <x:xf numFmtId="0" fontId="14" fillId="19" borderId="1" xfId="0" applyFont="1" applyFill="1" applyBorder="1" applyAlignment="1">
      <x:alignment vertical="center" wrapText="1"/>
    </x:xf>
    <x:xf numFmtId="0" fontId="14" fillId="20" borderId="1" xfId="0" applyFont="1" applyFill="1" applyBorder="1" applyAlignment="1">
      <x:alignment vertical="center" wrapText="1"/>
    </x:xf>
    <x:xf numFmtId="0" fontId="5" fillId="23" borderId="0" xfId="0" applyFont="1" applyFill="1" applyAlignment="1">
      <x:alignment vertical="center" wrapText="1"/>
    </x:xf>
    <x:xf numFmtId="167" fontId="14" fillId="24" borderId="1" xfId="0" applyNumberFormat="1" applyFont="1" applyFill="1" applyBorder="1" applyAlignment="1">
      <x:alignment vertical="center" wrapText="1"/>
    </x:xf>
    <x:xf numFmtId="165" fontId="14" fillId="24" borderId="1" xfId="0" applyNumberFormat="1" applyFont="1" applyFill="1" applyBorder="1" applyAlignment="1">
      <x:alignment vertical="center" wrapText="1"/>
    </x:xf>
    <x:xf numFmtId="164" fontId="0" fillId="19" borderId="1" xfId="0" applyNumberFormat="1" applyFill="1" applyBorder="1" applyAlignment="1">
      <x:alignment vertical="center" wrapText="1"/>
    </x:xf>
    <x:xf numFmtId="0" fontId="2" fillId="3" borderId="0" xfId="0" applyFont="1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2" fillId="4" borderId="0" xfId="0" applyFont="1" applyFill="1" applyAlignment="1">
      <x:alignment vertical="center" wrapText="1"/>
    </x:xf>
    <x:xf numFmtId="0" fontId="0" fillId="4" borderId="0" xfId="0" applyFill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15" fillId="21" borderId="0" xfId="0" applyFont="1" applyFill="1"/>
    <x:xf numFmtId="0" fontId="14" fillId="22" borderId="0" xfId="0" applyFont="1" applyFill="1" applyAlignment="1">
      <x:alignment wrapText="1"/>
    </x:xf>
    <x:xf numFmtId="0" fontId="13" fillId="16" borderId="9" xfId="0" applyFont="1" applyFill="1" applyBorder="1" applyAlignment="1">
      <x:alignment vertical="center"/>
    </x:xf>
    <x:xf numFmtId="0" fontId="11" fillId="12" borderId="10" xfId="0" applyFont="1" applyFill="1" applyBorder="1" applyAlignment="1">
      <x:alignment vertical="center" wrapText="1"/>
    </x:xf>
    <x:xf numFmtId="0" fontId="11" fillId="12" borderId="11" xfId="0" applyFont="1" applyFill="1" applyBorder="1" applyAlignment="1">
      <x:alignment vertical="center" wrapText="1"/>
    </x:xf>
    <x:xf numFmtId="0" fontId="11" fillId="12" borderId="7" xfId="0" applyFont="1" applyFill="1" applyBorder="1" applyAlignment="1">
      <x:alignment vertical="center" wrapText="1"/>
    </x:xf>
    <x:xf numFmtId="0" fontId="11" fillId="12" borderId="12" xfId="0" applyFont="1" applyFill="1" applyBorder="1" applyAlignment="1">
      <x:alignment vertical="center" wrapText="1"/>
    </x:xf>
    <x:xf numFmtId="0" fontId="8" fillId="9" borderId="0" xfId="0" applyFont="1" applyFill="1" applyAlignment="1">
      <x:alignment vertical="center"/>
    </x:xf>
    <x:xf numFmtId="0" fontId="9" fillId="10" borderId="0" xfId="0" applyFont="1" applyFill="1" applyAlignment="1">
      <x:alignment vertical="center" wrapText="1"/>
    </x:xf>
    <x:xf numFmtId="0" fontId="10" fillId="11" borderId="0" xfId="0" applyFont="1" applyFill="1" applyAlignment="1">
      <x:alignment vertical="center" wrapText="1"/>
    </x:xf>
    <x:xf numFmtId="0" fontId="11" fillId="12" borderId="2" xfId="0" applyFont="1" applyFill="1" applyBorder="1" applyAlignment="1">
      <x:alignment vertical="center"/>
    </x:xf>
    <x:xf numFmtId="0" fontId="11" fillId="12" borderId="3" xfId="0" applyFont="1" applyFill="1" applyBorder="1" applyAlignment="1">
      <x:alignment vertical="center"/>
    </x:xf>
    <x:xf numFmtId="0" fontId="11" fillId="12" borderId="4" xfId="0" applyFont="1" applyFill="1" applyBorder="1" applyAlignment="1">
      <x:alignment vertical="center"/>
    </x:xf>
    <x:xf numFmtId="0" fontId="11" fillId="13" borderId="2" xfId="0" applyFont="1" applyFill="1" applyBorder="1" applyAlignment="1">
      <x:alignment vertical="center"/>
    </x:xf>
    <x:xf numFmtId="0" fontId="11" fillId="13" borderId="3" xfId="0" applyFont="1" applyFill="1" applyBorder="1" applyAlignment="1">
      <x:alignment vertical="center"/>
    </x:xf>
    <x:xf numFmtId="0" fontId="11" fillId="13" borderId="4" xfId="0" applyFont="1" applyFill="1" applyBorder="1" applyAlignment="1">
      <x:alignment vertical="center"/>
    </x:xf>
    <x:xf numFmtId="0" fontId="11" fillId="17" borderId="2" xfId="0" applyFont="1" applyFill="1" applyBorder="1" applyAlignment="1">
      <x:alignment vertical="center"/>
    </x:xf>
    <x:xf numFmtId="0" fontId="11" fillId="17" borderId="3" xfId="0" applyFont="1" applyFill="1" applyBorder="1" applyAlignment="1">
      <x:alignment vertical="center"/>
    </x:xf>
    <x:xf numFmtId="0" fontId="11" fillId="17" borderId="4" xfId="0" applyFont="1" applyFill="1" applyBorder="1" applyAlignment="1">
      <x:alignment vertical="center"/>
    </x:xf>
    <x:xf numFmtId="0" fontId="7" fillId="16" borderId="11" xfId="0" applyFont="1" applyFill="1" applyBorder="1" applyAlignment="1">
      <x:alignment vertical="center" wrapText="1"/>
    </x:xf>
    <x:xf numFmtId="0" fontId="7" fillId="16" borderId="8" xfId="0" applyFont="1" applyFill="1" applyBorder="1" applyAlignment="1">
      <x:alignment vertical="center" wrapText="1"/>
    </x:xf>
    <x:xf numFmtId="0" fontId="7" fillId="16" borderId="12" xfId="0" applyFont="1" applyFill="1" applyBorder="1" applyAlignment="1">
      <x:alignment vertical="center" wrapText="1"/>
    </x:xf>
    <x:xf numFmtId="0" fontId="7" fillId="16" borderId="5" xfId="0" applyFont="1" applyFill="1" applyBorder="1" applyAlignment="1">
      <x:alignment vertical="center" wrapText="1"/>
    </x:xf>
    <x:xf numFmtId="0" fontId="7" fillId="15" borderId="5" xfId="0" applyFont="1" applyFill="1" applyBorder="1" applyAlignment="1">
      <x:alignment vertical="center"/>
    </x:xf>
    <x:xf numFmtId="0" fontId="7" fillId="15" borderId="6" xfId="0" applyFont="1" applyFill="1" applyBorder="1" applyAlignment="1">
      <x:alignment vertical="center"/>
    </x:xf>
    <x:xf numFmtId="0" fontId="7" fillId="16" borderId="6" xfId="0" applyFont="1" applyFill="1" applyBorder="1" applyAlignment="1">
      <x:alignment vertical="center"/>
    </x:xf>
    <x:xf numFmtId="0" fontId="7" fillId="16" borderId="1" xfId="0" applyFont="1" applyFill="1" applyBorder="1" applyAlignment="1">
      <x:alignment vertical="center"/>
    </x:xf>
    <x:xf numFmtId="0" fontId="0" fillId="25" borderId="1" xfId="0" applyNumberFormat="1" applyFont="1" applyFill="1" applyBorder="1" applyAlignment="1">
      <x:alignment vertical="center" wrapText="1"/>
    </x:xf>
    <x:xf numFmtId="164" fontId="0" fillId="25" borderId="1" xfId="0" applyNumberFormat="1" applyFont="1" applyFill="1" applyBorder="1" applyAlignment="1">
      <x:alignment vertical="center" wrapText="1"/>
    </x:xf>
    <x:xf numFmtId="165" fontId="0" fillId="25" borderId="1" xfId="0" applyNumberFormat="1" applyFont="1" applyFill="1" applyBorder="1" applyAlignment="1">
      <x:alignment vertical="center" wrapText="1"/>
    </x:xf>
    <x:xf numFmtId="0" fontId="14" fillId="25" borderId="1" xfId="0" applyNumberFormat="1" applyFont="1" applyFill="1" applyBorder="1" applyAlignment="1">
      <x:alignment vertical="center" wrapText="1"/>
    </x:xf>
    <x:xf numFmtId="164" fontId="14" fillId="25" borderId="1" xfId="0" applyNumberFormat="1" applyFont="1" applyFill="1" applyBorder="1" applyAlignment="1">
      <x:alignment vertical="center" wrapText="1"/>
    </x:xf>
    <x:xf numFmtId="165" fontId="14" fillId="25" borderId="1" xfId="0" applyNumberFormat="1" applyFont="1" applyFill="1" applyBorder="1" applyAlignment="1">
      <x:alignment vertical="center" wrapText="1"/>
    </x:xf>
    <x:xf numFmtId="164" fontId="14" fillId="26" borderId="1" xfId="0" applyNumberFormat="1" applyFont="1" applyFill="1" applyBorder="1" applyAlignment="1">
      <x:alignment vertical="center" wrapText="1"/>
    </x:xf>
    <x:xf numFmtId="0" fontId="14" fillId="26" borderId="1" xfId="0" applyNumberFormat="1" applyFont="1" applyFill="1" applyBorder="1" applyAlignment="1">
      <x:alignment vertical="center" wrapText="1"/>
    </x:xf>
    <x:xf numFmtId="165" fontId="14" fillId="26" borderId="1" xfId="0" applyNumberFormat="1" applyFont="1" applyFill="1" applyBorder="1" applyAlignment="1">
      <x:alignment vertical="center" wrapText="1"/>
    </x:xf>
    <x:xf numFmtId="0" fontId="14" fillId="27" borderId="1" xfId="0" applyNumberFormat="1" applyFont="1" applyFill="1" applyBorder="1" applyAlignment="1">
      <x:alignment vertical="center" wrapText="1"/>
    </x:xf>
    <x:xf numFmtId="0" fontId="15" fillId="28" borderId="0" xfId="0" applyNumberFormat="1" applyFont="1" applyFill="1" applyBorder="1"/>
    <x:xf numFmtId="0" fontId="14" fillId="29" borderId="0" xfId="0" applyNumberFormat="1" applyFont="1" applyFill="1" applyBorder="1" applyAlignment="1">
      <x:alignment wrapText="1"/>
    </x:xf>
    <x:xf numFmtId="0" fontId="5" fillId="30" borderId="1" xfId="0" applyNumberFormat="1" applyFont="1" applyFill="1" applyBorder="1" applyAlignment="1">
      <x:alignment vertical="center" wrapText="1"/>
    </x:xf>
    <x:xf numFmtId="164" fontId="14" fillId="31" borderId="1" xfId="0" applyNumberFormat="1" applyFont="1" applyFill="1" applyBorder="1" applyAlignment="1">
      <x:alignment vertical="center" wrapText="1"/>
    </x:xf>
    <x:xf numFmtId="167" fontId="14" fillId="31" borderId="1" xfId="0" applyNumberFormat="1" applyFont="1" applyFill="1" applyBorder="1" applyAlignment="1">
      <x:alignment vertical="center" wrapText="1"/>
    </x:xf>
    <x:xf numFmtId="165" fontId="14" fillId="31" borderId="1" xfId="0" applyNumberFormat="1" applyFont="1" applyFill="1" applyBorder="1" applyAlignment="1">
      <x:alignment vertical="center" wrapText="1"/>
    </x:xf>
    <x:xf numFmtId="164" fontId="0" fillId="26" borderId="1" xfId="0" applyNumberFormat="1" applyFont="1" applyFill="1" applyBorder="1" applyAlignment="1">
      <x:alignment vertical="center" wrapText="1"/>
    </x:xf>
    <x:xf numFmtId="166" fontId="0" fillId="7" borderId="1" xfId="0" applyNumberFormat="1" applyFont="1" applyFill="1" applyBorder="1" applyAlignment="1">
      <x:alignment vertical="center" wrapText="1"/>
    </x:xf>
    <x:xf numFmtId="0" fontId="0" fillId="32" borderId="1" xfId="0" applyNumberFormat="1" applyFont="1" applyFill="1" applyBorder="1" applyAlignment="1">
      <x:alignment vertical="center" wrapText="1"/>
    </x:xf>
    <x:xf numFmtId="164" fontId="0" fillId="32" borderId="1" xfId="0" applyNumberFormat="1" applyFont="1" applyFill="1" applyBorder="1" applyAlignment="1">
      <x:alignment vertical="center" wrapText="1"/>
    </x:xf>
    <x:xf numFmtId="165" fontId="0" fillId="32" borderId="1" xfId="0" applyNumberFormat="1" applyFont="1" applyFill="1" applyBorder="1" applyAlignment="1">
      <x:alignment vertical="center" wrapText="1"/>
    </x:xf>
    <x:xf numFmtId="0" fontId="14" fillId="32" borderId="1" xfId="0" applyNumberFormat="1" applyFont="1" applyFill="1" applyBorder="1" applyAlignment="1">
      <x:alignment vertical="center" wrapText="1"/>
    </x:xf>
    <x:xf numFmtId="164" fontId="14" fillId="32" borderId="1" xfId="0" applyNumberFormat="1" applyFont="1" applyFill="1" applyBorder="1" applyAlignment="1">
      <x:alignment vertical="center" wrapText="1"/>
    </x:xf>
    <x:xf numFmtId="165" fontId="14" fillId="32" borderId="1" xfId="0" applyNumberFormat="1" applyFont="1" applyFill="1" applyBorder="1" applyAlignment="1">
      <x:alignment vertical="center" wrapText="1"/>
    </x:xf>
    <x:xf numFmtId="164" fontId="14" fillId="33" borderId="1" xfId="0" applyNumberFormat="1" applyFont="1" applyFill="1" applyBorder="1" applyAlignment="1">
      <x:alignment vertical="center" wrapText="1"/>
    </x:xf>
    <x:xf numFmtId="0" fontId="14" fillId="33" borderId="1" xfId="0" applyNumberFormat="1" applyFont="1" applyFill="1" applyBorder="1" applyAlignment="1">
      <x:alignment vertical="center" wrapText="1"/>
    </x:xf>
    <x:xf numFmtId="165" fontId="14" fillId="33" borderId="1" xfId="0" applyNumberFormat="1" applyFont="1" applyFill="1" applyBorder="1" applyAlignment="1">
      <x:alignment vertical="center" wrapText="1"/>
    </x:xf>
    <x:xf numFmtId="0" fontId="14" fillId="34" borderId="1" xfId="0" applyNumberFormat="1" applyFont="1" applyFill="1" applyBorder="1" applyAlignment="1">
      <x:alignment vertical="center" wrapText="1"/>
    </x:xf>
    <x:xf numFmtId="0" fontId="15" fillId="35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5" fillId="37" borderId="1" xfId="0" applyNumberFormat="1" applyFont="1" applyFill="1" applyBorder="1" applyAlignment="1">
      <x:alignment vertical="center" wrapText="1"/>
    </x:xf>
    <x:xf numFmtId="164" fontId="14" fillId="38" borderId="1" xfId="0" applyNumberFormat="1" applyFont="1" applyFill="1" applyBorder="1" applyAlignment="1">
      <x:alignment vertical="center" wrapText="1"/>
    </x:xf>
    <x:xf numFmtId="167" fontId="14" fillId="38" borderId="1" xfId="0" applyNumberFormat="1" applyFont="1" applyFill="1" applyBorder="1" applyAlignment="1">
      <x:alignment vertical="center" wrapText="1"/>
    </x:xf>
    <x:xf numFmtId="165" fontId="14" fillId="38" borderId="1" xfId="0" applyNumberFormat="1" applyFont="1" applyFill="1" applyBorder="1" applyAlignment="1">
      <x:alignment vertical="center" wrapText="1"/>
    </x:xf>
    <x:xf numFmtId="164" fontId="0" fillId="33" borderId="1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0" fillId="39" borderId="1" xfId="0" applyNumberFormat="1" applyFont="1" applyFill="1" applyBorder="1" applyAlignment="1">
      <x:alignment vertical="center" wrapText="1"/>
    </x:xf>
    <x:xf numFmtId="164" fontId="0" fillId="39" borderId="1" xfId="0" applyNumberFormat="1" applyFont="1" applyFill="1" applyBorder="1" applyAlignment="1">
      <x:alignment vertical="center" wrapText="1"/>
    </x:xf>
    <x:xf numFmtId="165" fontId="0" fillId="39" borderId="1" xfId="0" applyNumberFormat="1" applyFont="1" applyFill="1" applyBorder="1" applyAlignment="1">
      <x:alignment vertical="center" wrapText="1"/>
    </x:xf>
    <x:xf numFmtId="0" fontId="14" fillId="39" borderId="1" xfId="0" applyNumberFormat="1" applyFont="1" applyFill="1" applyBorder="1" applyAlignment="1">
      <x:alignment vertical="center" wrapText="1"/>
    </x:xf>
    <x:xf numFmtId="164" fontId="14" fillId="39" borderId="1" xfId="0" applyNumberFormat="1" applyFont="1" applyFill="1" applyBorder="1" applyAlignment="1">
      <x:alignment vertical="center" wrapText="1"/>
    </x:xf>
    <x:xf numFmtId="165" fontId="14" fillId="39" borderId="1" xfId="0" applyNumberFormat="1" applyFont="1" applyFill="1" applyBorder="1" applyAlignment="1">
      <x:alignment vertical="center" wrapText="1"/>
    </x:xf>
    <x:xf numFmtId="164" fontId="14" fillId="40" borderId="1" xfId="0" applyNumberFormat="1" applyFont="1" applyFill="1" applyBorder="1" applyAlignment="1">
      <x:alignment vertical="center" wrapText="1"/>
    </x:xf>
    <x:xf numFmtId="0" fontId="14" fillId="40" borderId="1" xfId="0" applyNumberFormat="1" applyFont="1" applyFill="1" applyBorder="1" applyAlignment="1">
      <x:alignment vertical="center" wrapText="1"/>
    </x:xf>
    <x:xf numFmtId="165" fontId="14" fillId="40" borderId="1" xfId="0" applyNumberFormat="1" applyFont="1" applyFill="1" applyBorder="1" applyAlignment="1">
      <x:alignment vertical="center" wrapText="1"/>
    </x:xf>
    <x:xf numFmtId="0" fontId="14" fillId="41" borderId="1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/>
    <x:xf numFmtId="0" fontId="14" fillId="43" borderId="0" xfId="0" applyNumberFormat="1" applyFont="1" applyFill="1" applyBorder="1" applyAlignment="1">
      <x:alignment wrapText="1"/>
    </x:xf>
    <x:xf numFmtId="0" fontId="5" fillId="44" borderId="1" xfId="0" applyNumberFormat="1" applyFont="1" applyFill="1" applyBorder="1" applyAlignment="1">
      <x:alignment vertical="center" wrapText="1"/>
    </x:xf>
    <x:xf numFmtId="164" fontId="14" fillId="45" borderId="1" xfId="0" applyNumberFormat="1" applyFont="1" applyFill="1" applyBorder="1" applyAlignment="1">
      <x:alignment vertical="center" wrapText="1"/>
    </x:xf>
    <x:xf numFmtId="167" fontId="14" fillId="45" borderId="1" xfId="0" applyNumberFormat="1" applyFont="1" applyFill="1" applyBorder="1" applyAlignment="1">
      <x:alignment vertical="center" wrapText="1"/>
    </x:xf>
    <x:xf numFmtId="165" fontId="14" fillId="45" borderId="1" xfId="0" applyNumberFormat="1" applyFont="1" applyFill="1" applyBorder="1" applyAlignment="1">
      <x:alignment vertical="center" wrapText="1"/>
    </x:xf>
    <x:xf numFmtId="164" fontId="0" fillId="4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c16a9afac4c06" /><Relationship Type="http://schemas.openxmlformats.org/officeDocument/2006/relationships/theme" Target="/xl/theme/theme1.xml" Id="R6dde093908f74511" /><Relationship Type="http://schemas.openxmlformats.org/officeDocument/2006/relationships/sharedStrings" Target="/xl/sharedStrings.xml" Id="R8292dd54feb04db5" /><Relationship Type="http://schemas.openxmlformats.org/officeDocument/2006/relationships/worksheet" Target="/xl/worksheets/sheet1.xml" Id="R1ad4885203454615" /><Relationship Type="http://schemas.openxmlformats.org/officeDocument/2006/relationships/worksheet" Target="/xl/worksheets/sheet2.xml" Id="Rd653915775984c40" /><Relationship Type="http://schemas.openxmlformats.org/officeDocument/2006/relationships/worksheet" Target="/xl/worksheets/sheet3.xml" Id="R58c4eb960d8d46b1" /><Relationship Type="http://schemas.openxmlformats.org/officeDocument/2006/relationships/worksheet" Target="/xl/worksheets/sheet4.xml" Id="R5c99636da05844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baseColWidth="10" defaultColWidth="8.83203125" defaultRowHeight="15"/>
  <cols>
    <col min="1" max="1" width="4" customWidth="1"/>
    <col min="2" max="2" width="26" customWidth="1"/>
    <col min="3" max="3" width="34" customWidth="1"/>
    <col min="4" max="4" width="24" customWidth="1"/>
    <col min="5" max="5" width="30" customWidth="1"/>
    <col min="6" max="6" width="26" customWidth="1"/>
  </cols>
  <sheetData>
    <row r="1" ht="34" customHeight="1">
      <c r="A1" s="55" t="s">
        <v>0</v>
      </c>
      <c r="B1" s="56"/>
      <c r="C1" s="56"/>
      <c r="D1" s="56"/>
      <c r="E1" s="56"/>
      <c r="F1" s="56"/>
    </row>
    <row r="2">
      <c r="A2" s="1"/>
      <c r="B2" s="1"/>
      <c r="C2" s="1"/>
      <c r="D2" s="1"/>
      <c r="E2" s="1"/>
      <c r="F2" s="1"/>
    </row>
    <row r="3" ht="24" customHeight="1">
      <c r="A3" s="51" t="s">
        <v>1</v>
      </c>
      <c r="B3" s="52"/>
      <c r="C3" s="52"/>
      <c r="D3" s="52"/>
      <c r="E3" s="52"/>
      <c r="F3" s="52"/>
    </row>
    <row r="4" ht="32">
      <c r="A4" s="1"/>
      <c r="B4" s="2" t="s">
        <v>2</v>
      </c>
      <c r="C4" s="3" t="s">
        <v>3</v>
      </c>
      <c r="D4" s="1"/>
      <c r="E4" s="1"/>
      <c r="F4" s="1"/>
    </row>
    <row r="5" ht="16">
      <c r="A5" s="1"/>
      <c r="B5" s="2" t="s">
        <v>4</v>
      </c>
      <c r="C5" s="3" t="s">
        <v>5</v>
      </c>
      <c r="D5" s="1"/>
      <c r="E5" s="1"/>
      <c r="F5" s="1"/>
    </row>
    <row r="6" ht="32">
      <c r="A6" s="1"/>
      <c r="B6" s="2" t="s">
        <v>6</v>
      </c>
      <c r="C6" s="3" t="s">
        <v>7</v>
      </c>
      <c r="D6" s="1"/>
      <c r="E6" s="1"/>
      <c r="F6" s="1"/>
    </row>
    <row r="7" ht="32">
      <c r="A7" s="1"/>
      <c r="B7" s="2" t="s">
        <v>8</v>
      </c>
      <c r="C7" s="3" t="s">
        <v>9</v>
      </c>
      <c r="D7" s="1"/>
      <c r="E7" s="1"/>
      <c r="F7" s="1"/>
    </row>
    <row r="8" ht="64">
      <c r="A8" s="1"/>
      <c r="B8" s="2" t="s">
        <v>10</v>
      </c>
      <c r="C8" s="3" t="str">
        <v>Start with slide 7: Version A in rows 8-11, then Version B in rows 17-20. Continue downward: sales tax on slide 9 (rows 24-28), two taxes on slide 14 (rows 29-31), and property tax on slide 18 (rows 32-34).</v>
      </c>
      <c r="D8" s="1"/>
      <c r="E8" s="1"/>
      <c r="F8" s="1"/>
    </row>
    <row r="9" ht="48" customHeight="1">
      <c r="A9" s="1"/>
      <c r="B9" s="2" t="s">
        <v>11</v>
      </c>
      <c r="C9" s="3" t="str">
        <v>In pairs, audit R01-R03 and one of R04-R06. Complete all six and reconcile for homework.</v>
      </c>
      <c r="D9" s="1"/>
      <c r="E9" s="1"/>
      <c r="F9" s="1"/>
    </row>
    <row r="10" ht="48">
      <c r="A10" s="1"/>
      <c r="B10" s="2" t="s">
        <v>12</v>
      </c>
      <c r="C10" s="3" t="s">
        <v>13</v>
      </c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 ht="24" customHeight="1">
      <c r="A13" s="53" t="s">
        <v>14</v>
      </c>
      <c r="B13" s="54"/>
      <c r="C13" s="54"/>
      <c r="D13" s="54"/>
      <c r="E13" s="54"/>
      <c r="F13" s="54"/>
    </row>
    <row r="14" ht="32">
      <c r="A14" s="1"/>
      <c r="B14" s="3" t="s">
        <v>15</v>
      </c>
      <c r="C14" s="3" t="str">
        <v>Yellow input cells and answer cells are blank for student work.</v>
      </c>
      <c r="D14" s="1"/>
      <c r="E14" s="1"/>
      <c r="F14" s="1"/>
    </row>
    <row r="15" ht="48">
      <c r="A15" s="1"/>
      <c r="B15" s="3" t="s">
        <v>16</v>
      </c>
      <c r="C15" s="3" t="str">
        <v>Feedback checks baseline values and required references; explain your logic and test changing inputs.</v>
      </c>
      <c r="D15" s="1"/>
      <c r="E15" s="1"/>
      <c r="F15" s="1"/>
    </row>
    <row r="16" ht="38" customHeight="1">
      <c r="A16" s="1"/>
      <c r="B16" s="3" t="s">
        <v>17</v>
      </c>
      <c r="C16" s="3" t="s">
        <v>18</v>
      </c>
      <c r="D16" s="1"/>
      <c r="E16" s="1"/>
      <c r="F16" s="1"/>
    </row>
  </sheetData>
  <mergeCells>
    <mergeCell ref="A3:F3"/>
    <mergeCell ref="A13:F13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baseColWidth="10" defaultColWidth="8.83203125" defaultRowHeight="15"/>
  <cols>
    <col min="1" max="1" width="7" customWidth="1"/>
    <col min="2" max="2" width="16" customWidth="1"/>
    <col min="3" max="3" width="58" customWidth="1"/>
    <col min="4" max="4" width="16" customWidth="1"/>
    <col min="5" max="5" width="16" customWidth="1"/>
    <col min="6" max="6" width="22" customWidth="1"/>
    <col min="7" max="7" width="34" customWidth="1"/>
    <col min="8" max="8" width="34" customWidth="1"/>
    <col min="9" max="9" width="14" customWidth="1"/>
  </cols>
  <sheetData>
    <row r="1" ht="34" customHeight="1">
      <c r="A1" s="55" t="s">
        <v>19</v>
      </c>
      <c r="B1" s="56"/>
      <c r="C1" s="56"/>
      <c r="D1" s="56"/>
      <c r="E1" s="56"/>
      <c r="F1" s="56"/>
      <c r="G1" s="56"/>
      <c r="H1" s="56"/>
      <c r="I1" s="56"/>
    </row>
    <row r="2">
      <c r="A2" s="1"/>
      <c r="B2" s="1"/>
      <c r="C2" s="1"/>
      <c r="D2" s="1"/>
      <c r="E2" s="1"/>
      <c r="F2" s="1"/>
      <c r="G2" s="1"/>
      <c r="H2" s="1"/>
      <c r="I2" s="1"/>
    </row>
    <row r="3" ht="42" customHeight="1">
      <c r="A3" s="57" t="str">
        <v>Enter inputs and formulas in F. Feedback checks baseline values and required references. Attempt first, then compare with the slide reveal. Restore inputs after Predict → Change → Explain.</v>
      </c>
      <c r="B3" s="58"/>
      <c r="C3" s="58"/>
      <c r="D3" s="58"/>
      <c r="E3" s="58"/>
      <c r="F3" s="58"/>
      <c r="G3" s="58"/>
      <c r="H3" s="58"/>
      <c r="I3" s="58"/>
    </row>
    <row r="4">
      <c r="A4" s="1"/>
      <c r="B4" s="1"/>
      <c r="C4" s="1"/>
      <c r="D4" s="1"/>
      <c r="E4" s="1"/>
      <c r="F4" s="1"/>
      <c r="G4" s="1"/>
      <c r="H4" s="1"/>
      <c r="I4" s="1"/>
    </row>
    <row r="5" ht="30" customHeight="1">
      <c r="A5" s="132" t="str">
        <v>Slide 7 - Reverse sales tax - Version A (follow along)</v>
      </c>
      <c r="B5" s="132"/>
      <c r="C5" s="132"/>
      <c r="D5" s="132"/>
      <c r="E5" s="132"/>
      <c r="F5" s="132"/>
      <c r="G5" s="132"/>
      <c r="H5" s="132"/>
      <c r="I5" s="132"/>
    </row>
    <row r="6" ht="36" customHeight="1">
      <c r="A6" s="133" t="str">
        <v>Tidal register receipts of $52,000 include 6.5% sales tax. Enter the givens, calculate pre-tax sales and tax held, and explain why they add back to receipts.</v>
      </c>
      <c r="B6" s="133"/>
      <c r="C6" s="133"/>
      <c r="D6" s="133"/>
      <c r="E6" s="133"/>
      <c r="F6" s="133"/>
      <c r="G6" s="133"/>
      <c r="H6" s="133"/>
      <c r="I6" s="133"/>
    </row>
    <row r="7" ht="28" customHeight="1">
      <c r="A7" s="134" t="s">
        <v>20</v>
      </c>
      <c r="B7" s="134" t="s">
        <v>6</v>
      </c>
      <c r="C7" s="134" t="s">
        <v>21</v>
      </c>
      <c r="D7" s="134" t="s">
        <v>22</v>
      </c>
      <c r="E7" s="134" t="s">
        <v>23</v>
      </c>
      <c r="F7" s="134" t="s">
        <v>24</v>
      </c>
      <c r="G7" s="134" t="s">
        <v>25</v>
      </c>
      <c r="H7" s="134" t="s">
        <v>26</v>
      </c>
      <c r="I7" s="134" t="s">
        <v>27</v>
      </c>
    </row>
    <row r="8" ht="42" customHeight="1">
      <c r="A8" s="125" t="str">
        <v>A1</v>
      </c>
      <c r="B8" s="125" t="str">
        <v>Receipts</v>
      </c>
      <c r="C8" s="125" t="str">
        <v>Enter tax-inclusive receipts 52,000 in D8.</v>
      </c>
      <c r="D8" s="136"/>
      <c r="E8" s="128"/>
      <c r="F8" s="128"/>
      <c r="G8" s="131"/>
      <c r="H8" s="125"/>
      <c r="I8" s="125" t="str">
        <v>slide 7</v>
      </c>
    </row>
    <row r="9" ht="42" customHeight="1">
      <c r="A9" s="125" t="str">
        <v>A2</v>
      </c>
      <c r="B9" s="125" t="str">
        <v>Tax rate</v>
      </c>
      <c r="C9" s="125" t="str">
        <v>Enter sales-tax rate 6.5% in E9.</v>
      </c>
      <c r="D9" s="129"/>
      <c r="E9" s="137"/>
      <c r="F9" s="128"/>
      <c r="G9" s="131"/>
      <c r="H9" s="125"/>
      <c r="I9" s="125" t="str">
        <v>slide 7</v>
      </c>
    </row>
    <row r="10" ht="42" customHeight="1">
      <c r="A10" s="125" t="str">
        <v>A3</v>
      </c>
      <c r="B10" s="125" t="str">
        <v>Pre-tax sales</v>
      </c>
      <c r="C10" s="125" t="str">
        <v>Calculate sales before tax in F10 using the two inputs above.</v>
      </c>
      <c r="D10" s="128"/>
      <c r="E10" s="129"/>
      <c r="F10" s="136"/>
      <c r="G10" s="131" t="str">
        <f>IF(COUNT(D8,E9,F10)&lt;3,"Enter inputs and a formula first",IF(NOT(_xlfn.ISFORMULA(F10)),"Use a formula, not a typed answer",IF(NOT(IFERROR(AND(ISNUMBER(SEARCH("D8",SUBSTITUTE(UPPER(_xlfn.FORMULATEXT(F10)),"$",""))),ISNUMBER(SEARCH("E9",SUBSTITUTE(UPPER(_xlfn.FORMULATEXT(F10)),"$","")))),FALSE)),"Use the required input/result references",IF(ABS(F10-48826.29107981221)&lt;=0.01,"Correct - explain your revenue/tax split","Check the inputs and reverse-tax calculation"))))</f>
        <v>Enter inputs and a formula first</v>
      </c>
      <c r="H10" s="125" t="str">
        <v>Explain why the divisor includes 1 plus the tax rate.</v>
      </c>
      <c r="I10" s="125" t="str">
        <v>slide 7</v>
      </c>
    </row>
    <row r="11" ht="42" customHeight="1">
      <c r="A11" s="125" t="str">
        <v>A4</v>
      </c>
      <c r="B11" s="125" t="str">
        <v>Tax held</v>
      </c>
      <c r="C11" s="125" t="str">
        <v>Calculate tax held in F11 using receipts and your pre-tax sales result.</v>
      </c>
      <c r="D11" s="128"/>
      <c r="E11" s="130"/>
      <c r="F11" s="136"/>
      <c r="G11" s="131" t="str">
        <f>IF(COUNT(D8,F10,F11)&lt;3,"Enter inputs and a formula first",IF(NOT(_xlfn.ISFORMULA(F11)),"Use a formula, not a typed answer",IF(NOT(IFERROR(AND(ISNUMBER(SEARCH("D8",SUBSTITUTE(UPPER(_xlfn.FORMULATEXT(F11)),"$",""))),ISNUMBER(SEARCH("F10",SUBSTITUTE(UPPER(_xlfn.FORMULATEXT(F11)),"$","")))),FALSE)),"Use the required input/result references",IF(ABS(F11-3173.7089201877898)&lt;=0.01,"Correct - explain your revenue/tax split","Check the inputs and reverse-tax calculation"))))</f>
        <v>Enter inputs and a formula first</v>
      </c>
      <c r="H11" s="125" t="str">
        <v>Sales plus tax held must equal receipts.</v>
      </c>
      <c r="I11" s="125" t="str">
        <v>slide 7</v>
      </c>
    </row>
    <row r="14" ht="30" customHeight="1">
      <c r="A14" s="132" t="str">
        <v>Slide 7 - Reverse sales tax - Version B (try independently)</v>
      </c>
      <c r="B14" s="132"/>
      <c r="C14" s="132"/>
      <c r="D14" s="132"/>
      <c r="E14" s="132"/>
      <c r="F14" s="132"/>
      <c r="G14" s="132"/>
      <c r="H14" s="132"/>
      <c r="I14" s="132"/>
    </row>
    <row r="15" ht="36" customHeight="1">
      <c r="A15" s="133" t="str">
        <v>Tidal register receipts of $43,200 include 8% sales tax. Enter the givens, calculate pre-tax sales and tax held, and explain why they add back to receipts.</v>
      </c>
      <c r="B15" s="133"/>
      <c r="C15" s="133"/>
      <c r="D15" s="133"/>
      <c r="E15" s="133"/>
      <c r="F15" s="133"/>
      <c r="G15" s="133"/>
      <c r="H15" s="133"/>
      <c r="I15" s="133"/>
    </row>
    <row r="16" ht="28" customHeight="1">
      <c r="A16" s="134" t="s">
        <v>20</v>
      </c>
      <c r="B16" s="134" t="s">
        <v>6</v>
      </c>
      <c r="C16" s="134" t="s">
        <v>21</v>
      </c>
      <c r="D16" s="134" t="s">
        <v>22</v>
      </c>
      <c r="E16" s="134" t="s">
        <v>23</v>
      </c>
      <c r="F16" s="134" t="s">
        <v>24</v>
      </c>
      <c r="G16" s="134" t="s">
        <v>25</v>
      </c>
      <c r="H16" s="134" t="s">
        <v>26</v>
      </c>
      <c r="I16" s="134" t="s">
        <v>27</v>
      </c>
    </row>
    <row r="17" ht="42" customHeight="1">
      <c r="A17" s="125" t="str">
        <v>B1</v>
      </c>
      <c r="B17" s="125" t="str">
        <v>Receipts</v>
      </c>
      <c r="C17" s="125" t="str">
        <v>Enter tax-inclusive receipts 43,200 in D17.</v>
      </c>
      <c r="D17" s="136"/>
      <c r="E17" s="128"/>
      <c r="F17" s="128"/>
      <c r="G17" s="131"/>
      <c r="H17" s="125"/>
      <c r="I17" s="125" t="str">
        <v>slide 7</v>
      </c>
    </row>
    <row r="18" ht="42" customHeight="1">
      <c r="A18" s="125" t="str">
        <v>B2</v>
      </c>
      <c r="B18" s="125" t="str">
        <v>Tax rate</v>
      </c>
      <c r="C18" s="125" t="str">
        <v>Enter sales-tax rate 8% in E18.</v>
      </c>
      <c r="D18" s="129"/>
      <c r="E18" s="137"/>
      <c r="F18" s="128"/>
      <c r="G18" s="131"/>
      <c r="H18" s="125"/>
      <c r="I18" s="125" t="str">
        <v>slide 7</v>
      </c>
    </row>
    <row r="19" ht="42" customHeight="1">
      <c r="A19" s="125" t="str">
        <v>B3</v>
      </c>
      <c r="B19" s="125" t="str">
        <v>Pre-tax sales</v>
      </c>
      <c r="C19" s="125" t="str">
        <v>Calculate sales before tax in F19 using the two inputs above.</v>
      </c>
      <c r="D19" s="128"/>
      <c r="E19" s="129"/>
      <c r="F19" s="136"/>
      <c r="G19" s="131" t="str">
        <f>IF(COUNT(D17,E18,F19)&lt;3,"Enter inputs and a formula first",IF(NOT(_xlfn.ISFORMULA(F19)),"Use a formula, not a typed answer",IF(NOT(IFERROR(AND(ISNUMBER(SEARCH("D17",SUBSTITUTE(UPPER(_xlfn.FORMULATEXT(F19)),"$",""))),ISNUMBER(SEARCH("E18",SUBSTITUTE(UPPER(_xlfn.FORMULATEXT(F19)),"$","")))),FALSE)),"Use the required input/result references",IF(ABS(F19-40000)&lt;=0.01,"Correct - explain your revenue/tax split","Check the inputs and reverse-tax calculation"))))</f>
        <v>Enter inputs and a formula first</v>
      </c>
      <c r="H19" s="125" t="str">
        <v>Explain why the divisor includes 1 plus the tax rate.</v>
      </c>
      <c r="I19" s="125" t="str">
        <v>slide 7</v>
      </c>
    </row>
    <row r="20" ht="42" customHeight="1">
      <c r="A20" s="125" t="str">
        <v>B4</v>
      </c>
      <c r="B20" s="125" t="str">
        <v>Tax held</v>
      </c>
      <c r="C20" s="125" t="str">
        <v>Calculate tax held in F20 using receipts and your pre-tax sales result.</v>
      </c>
      <c r="D20" s="128"/>
      <c r="E20" s="130"/>
      <c r="F20" s="136"/>
      <c r="G20" s="131" t="str">
        <f>IF(COUNT(D17,F19,F20)&lt;3,"Enter inputs and a formula first",IF(NOT(_xlfn.ISFORMULA(F20)),"Use a formula, not a typed answer",IF(NOT(IFERROR(AND(ISNUMBER(SEARCH("D17",SUBSTITUTE(UPPER(_xlfn.FORMULATEXT(F20)),"$",""))),ISNUMBER(SEARCH("F19",SUBSTITUTE(UPPER(_xlfn.FORMULATEXT(F20)),"$","")))),FALSE)),"Use the required input/result references",IF(ABS(F20-3200)&lt;=0.01,"Correct - explain your revenue/tax split","Check the inputs and reverse-tax calculation"))))</f>
        <v>Enter inputs and a formula first</v>
      </c>
      <c r="H20" s="125" t="str">
        <v>Sales plus tax held must equal receipts.</v>
      </c>
      <c r="I20" s="125" t="str">
        <v>slide 7</v>
      </c>
    </row>
    <row r="22" ht="30" customHeight="1">
      <c r="A22" s="132" t="str">
        <v>Continue: sales tax (slide 9), two taxes (slide 14), then property tax (slide 18)</v>
      </c>
      <c r="B22" s="132"/>
      <c r="C22" s="132"/>
      <c r="D22" s="132"/>
      <c r="E22" s="132"/>
      <c r="F22" s="132"/>
      <c r="G22" s="132"/>
      <c r="H22" s="132"/>
      <c r="I22" s="132"/>
    </row>
    <row r="23" ht="16">
      <c r="A23" s="4" t="s">
        <v>20</v>
      </c>
      <c r="B23" s="4" t="s">
        <v>6</v>
      </c>
      <c r="C23" s="4" t="s">
        <v>21</v>
      </c>
      <c r="D23" s="4" t="s">
        <v>22</v>
      </c>
      <c r="E23" s="4" t="s">
        <v>23</v>
      </c>
      <c r="F23" s="4" t="s">
        <v>24</v>
      </c>
      <c r="G23" s="4" t="s">
        <v>25</v>
      </c>
      <c r="H23" s="4" t="s">
        <v>26</v>
      </c>
      <c r="I23" s="4" t="s">
        <v>27</v>
      </c>
    </row>
    <row r="24" ht="32">
      <c r="A24" s="3">
        <v>1</v>
      </c>
      <c r="B24" s="3" t="s">
        <v>28</v>
      </c>
      <c r="C24" s="3" t="s">
        <v>29</v>
      </c>
      <c r="D24" s="5"/>
      <c r="E24" s="5"/>
      <c r="F24" s="5"/>
      <c r="G24" s="7" t="str">
        <f ca="1">IF(COUNT(D24,E24,F24)&lt;3,"Enter inputs and a formula first",IF(NOT(_xlfn.ISFORMULA(F24)),"Use a formula, not a typed answer",IF(NOT(IFERROR(AND(ISNUMBER(SEARCH("D24",SUBSTITUTE(UPPER(_xlfn.FORMULATEXT(F24)),"$",""))),ISNUMBER(SEARCH("E24",SUBSTITUTE(UPPER(_xlfn.FORMULATEXT(F24)),"$","")))),FALSE)),"Use the required input/result references",IF(AND(ABS(D24-735)&lt;=0.01,ABS(E24-95)&lt;=0.01,ABS(F24-640)&lt;=0.01),"Correct - explain and test your model","Check the baseline inputs and calculation"))))</f>
        <v>Enter inputs and a formula first</v>
      </c>
      <c r="H24" s="3" t="s">
        <v>30</v>
      </c>
      <c r="I24" s="3" t="str">
        <v>slide 9</v>
      </c>
    </row>
    <row r="25" ht="32">
      <c r="A25" s="3">
        <v>2</v>
      </c>
      <c r="B25" s="3" t="s">
        <v>28</v>
      </c>
      <c r="C25" s="3" t="str">
        <v>E: tax rate 5.75%; F: sales tax using subtotal F24.</v>
      </c>
      <c r="D25" s="6"/>
      <c r="E25" s="8"/>
      <c r="F25" s="5"/>
      <c r="G25" s="7" t="str">
        <f ca="1">IF(COUNT(F24,E25,F25)&lt;3,"Enter inputs and a formula first",IF(NOT(_xlfn.ISFORMULA(F25)),"Use a formula, not a typed answer",IF(NOT(IFERROR(AND(ISNUMBER(SEARCH("F24",SUBSTITUTE(UPPER(_xlfn.FORMULATEXT(F25)),"$",""))),ISNUMBER(SEARCH("E25",SUBSTITUTE(UPPER(_xlfn.FORMULATEXT(F25)),"$","")))),FALSE)),"Use the required input/result references",IF(AND(ABS(E25-0.0575)&lt;=0.0000001,ABS(F25-36.8)&lt;=0.01),"Correct - explain and test your model","Check the baseline inputs and calculation"))))</f>
        <v>Enter inputs and a formula first</v>
      </c>
      <c r="H25" s="3" t="s">
        <v>31</v>
      </c>
      <c r="I25" s="3" t="str">
        <v>slide 9</v>
      </c>
    </row>
    <row r="26" ht="32">
      <c r="A26" s="3">
        <v>3</v>
      </c>
      <c r="B26" s="3" t="s">
        <v>28</v>
      </c>
      <c r="C26" s="3" t="str">
        <v>D: shipping 22; F: total price using F24, F25 and D26.</v>
      </c>
      <c r="D26" s="5"/>
      <c r="E26" s="6"/>
      <c r="F26" s="5"/>
      <c r="G26" s="7" t="str">
        <f ca="1">IF(COUNT(F24,F25,D26,F26)&lt;4,"Enter inputs and a formula first",IF(NOT(_xlfn.ISFORMULA(F26)),"Use a formula, not a typed answer",IF(NOT(IFERROR(AND(ISNUMBER(SEARCH("F24",SUBSTITUTE(UPPER(_xlfn.FORMULATEXT(F26)),"$",""))),ISNUMBER(SEARCH("F25",SUBSTITUTE(UPPER(_xlfn.FORMULATEXT(F26)),"$",""))),ISNUMBER(SEARCH("D26",SUBSTITUTE(UPPER(_xlfn.FORMULATEXT(F26)),"$","")))),FALSE)),"Use the required input/result references",IF(AND(ABS(D26-22)&lt;=0.01,ABS(F26-698.8)&lt;=0.01),"Correct - explain and test your model","Check the baseline inputs and calculation"))))</f>
        <v>Enter inputs and a formula first</v>
      </c>
      <c r="H26" s="3" t="s">
        <v>32</v>
      </c>
      <c r="I26" s="3" t="str">
        <v>slide 9</v>
      </c>
    </row>
    <row r="27" ht="16">
      <c r="A27" s="3">
        <v>4</v>
      </c>
      <c r="B27" s="3" t="s">
        <v>33</v>
      </c>
      <c r="C27" s="3" t="s">
        <v>34</v>
      </c>
      <c r="D27" s="5"/>
      <c r="E27" s="8"/>
      <c r="F27" s="5"/>
      <c r="G27" s="7" t="str">
        <f ca="1">IF(COUNT(D27,E27,F27)&lt;3,"Enter inputs and a formula first",IF(NOT(_xlfn.ISFORMULA(F27)),"Use a formula, not a typed answer",IF(NOT(IFERROR(AND(ISNUMBER(SEARCH("D27",SUBSTITUTE(UPPER(_xlfn.FORMULATEXT(F27)),"$",""))),ISNUMBER(SEARCH("E27",SUBSTITUTE(UPPER(_xlfn.FORMULATEXT(F27)),"$","")))),FALSE)),"Use the required input/result references",IF(AND(ABS(D27-64200)&lt;=0.01,ABS(E27-0.07)&lt;=0.0000001,ABS(F27-60000)&lt;=0.01),"Correct - explain and test your model","Check the baseline inputs and calculation"))))</f>
        <v>Enter inputs and a formula first</v>
      </c>
      <c r="H27" s="3" t="s">
        <v>35</v>
      </c>
      <c r="I27" s="3" t="str">
        <v>slide 9</v>
      </c>
    </row>
    <row r="28" ht="16">
      <c r="A28" s="3">
        <v>5</v>
      </c>
      <c r="B28" s="3" t="s">
        <v>33</v>
      </c>
      <c r="C28" s="3" t="str">
        <v>F: tax held using receipts D27 and pre-tax sales F27.</v>
      </c>
      <c r="D28" s="6"/>
      <c r="E28" s="6"/>
      <c r="F28" s="5"/>
      <c r="G28" s="7" t="str">
        <f ca="1">IF(COUNT(D27,F27,F28)&lt;3,"Enter inputs and a formula first",IF(NOT(_xlfn.ISFORMULA(F28)),"Use a formula, not a typed answer",IF(NOT(IFERROR(AND(ISNUMBER(SEARCH("D27",SUBSTITUTE(UPPER(_xlfn.FORMULATEXT(F28)),"$",""))),ISNUMBER(SEARCH("F27",SUBSTITUTE(UPPER(_xlfn.FORMULATEXT(F28)),"$","")))),FALSE)),"Use the required input/result references",IF(AND(ABS(F28-4200)&lt;=0.01),"Correct - explain and test your model","Check the baseline inputs and calculation"))))</f>
        <v>Enter inputs and a formula first</v>
      </c>
      <c r="H28" s="3" t="s">
        <v>36</v>
      </c>
      <c r="I28" s="3" t="str">
        <v>slide 9</v>
      </c>
    </row>
    <row r="29" ht="32">
      <c r="A29" s="3">
        <v>6</v>
      </c>
      <c r="B29" s="3" t="s">
        <v>37</v>
      </c>
      <c r="C29" s="3" t="s">
        <v>38</v>
      </c>
      <c r="D29" s="5"/>
      <c r="E29" s="8"/>
      <c r="F29" s="5"/>
      <c r="G29" s="7" t="str">
        <f ca="1">IF(COUNT(D29,E29,F29)&lt;3,"Enter inputs and a formula first",IF(NOT(_xlfn.ISFORMULA(F29)),"Use a formula, not a typed answer",IF(NOT(IFERROR(AND(ISNUMBER(SEARCH("D29",SUBSTITUTE(UPPER(_xlfn.FORMULATEXT(F29)),"$",""))),ISNUMBER(SEARCH("E29",SUBSTITUTE(UPPER(_xlfn.FORMULATEXT(F29)),"$","")))),FALSE)),"Use the required input/result references",IF(AND(ABS(D29-7250)&lt;=0.01,ABS(E29-0.06)&lt;=0.0000001,ABS(F29-435)&lt;=0.01),"Correct - explain and test your model","Check the baseline inputs and calculation"))))</f>
        <v>Enter inputs and a formula first</v>
      </c>
      <c r="H29" s="3" t="s">
        <v>39</v>
      </c>
      <c r="I29" s="3" t="str">
        <v>slide 14</v>
      </c>
    </row>
    <row r="30" ht="32">
      <c r="A30" s="3">
        <v>7</v>
      </c>
      <c r="B30" s="3" t="s">
        <v>37</v>
      </c>
      <c r="C30" s="3" t="str">
        <v>E: excise rate 4.5%; F: excise tax using the original base in D29.</v>
      </c>
      <c r="D30" s="138"/>
      <c r="E30" s="8"/>
      <c r="F30" s="5"/>
      <c r="G30" s="7" t="str">
        <f ca="1">IF(COUNT(D29,E30,F30)&lt;3,"Enter inputs and a formula first",IF(NOT(_xlfn.ISFORMULA(F30)),"Use a formula, not a typed answer",IF(NOT(IFERROR(AND(ISNUMBER(SEARCH("D29",SUBSTITUTE(UPPER(_xlfn.FORMULATEXT(F30)),"$",""))),ISNUMBER(SEARCH("E30",SUBSTITUTE(UPPER(_xlfn.FORMULATEXT(F30)),"$","")))),FALSE)),"Use the required input/result references",IF(AND(ABS(E30-0.045)&lt;=0.0000001,ABS(F30-326.25)&lt;=0.01),"Correct - explain and test your model","Check the baseline inputs and calculation"))))</f>
        <v>Enter inputs and a formula first</v>
      </c>
      <c r="H30" s="3" t="str">
        <v>Reference the same original base cell used for sales tax: D29.</v>
      </c>
      <c r="I30" s="3" t="str">
        <v>slide 14</v>
      </c>
    </row>
    <row r="31" ht="32">
      <c r="A31" s="3">
        <v>8</v>
      </c>
      <c r="B31" s="3" t="s">
        <v>37</v>
      </c>
      <c r="C31" s="3" t="str">
        <v>F: total cost using original base D29 and tax results F29 and F30.</v>
      </c>
      <c r="D31" s="138"/>
      <c r="E31" s="6"/>
      <c r="F31" s="5"/>
      <c r="G31" s="7" t="str">
        <f ca="1">IF(COUNT(D29,F29,F30,F31)&lt;4,"Enter inputs and a formula first",IF(NOT(_xlfn.ISFORMULA(F31)),"Use a formula, not a typed answer",IF(NOT(IFERROR(AND(ISNUMBER(SEARCH("D29",SUBSTITUTE(UPPER(_xlfn.FORMULATEXT(F31)),"$",""))),ISNUMBER(SEARCH("F29",SUBSTITUTE(UPPER(_xlfn.FORMULATEXT(F31)),"$",""))),ISNUMBER(SEARCH("F30",SUBSTITUTE(UPPER(_xlfn.FORMULATEXT(F31)),"$","")))),FALSE)),"Use the required input/result references",IF(AND(ABS(F31-8011.25)&lt;=0.01),"Correct - explain and test your model","Check the baseline inputs and calculation"))))</f>
        <v>Enter inputs and a formula first</v>
      </c>
      <c r="H31" s="3" t="str">
        <v>Add the original base and both separate tax results.</v>
      </c>
      <c r="I31" s="3" t="str">
        <v>slide 14</v>
      </c>
    </row>
    <row r="32" ht="32">
      <c r="A32" s="3">
        <v>9</v>
      </c>
      <c r="B32" s="3" t="s">
        <v>40</v>
      </c>
      <c r="C32" s="3" t="s">
        <v>41</v>
      </c>
      <c r="D32" s="5"/>
      <c r="E32" s="8"/>
      <c r="F32" s="5"/>
      <c r="G32" s="7" t="str">
        <f ca="1">IF(COUNT(D32,E32,F32)&lt;3,"Enter inputs and a formula first",IF(NOT(_xlfn.ISFORMULA(F32)),"Use a formula, not a typed answer",IF(NOT(IFERROR(AND(ISNUMBER(SEARCH("D32",SUBSTITUTE(UPPER(_xlfn.FORMULATEXT(F32)),"$",""))),ISNUMBER(SEARCH("E32",SUBSTITUTE(UPPER(_xlfn.FORMULATEXT(F32)),"$","")))),FALSE)),"Use the required input/result references",IF(AND(ABS(D32-540000)&lt;=0.01,ABS(E32-0.32)&lt;=0.0000001,ABS(F32-172800)&lt;=0.01),"Correct - explain and test your model","Check the baseline inputs and calculation"))))</f>
        <v>Enter inputs and a formula first</v>
      </c>
      <c r="H32" s="3" t="s">
        <v>42</v>
      </c>
      <c r="I32" s="3" t="str">
        <v>slide 18</v>
      </c>
    </row>
    <row r="33" ht="32">
      <c r="A33" s="3">
        <v>10</v>
      </c>
      <c r="B33" s="3" t="s">
        <v>40</v>
      </c>
      <c r="C33" s="3" t="s">
        <v>43</v>
      </c>
      <c r="D33" s="5"/>
      <c r="E33" s="5"/>
      <c r="F33" s="103"/>
      <c r="G33" s="7" t="str">
        <f ca="1">IF(COUNT(D33,E33,F33)&lt;3,"Enter inputs and a formula first",IF(NOT(_xlfn.ISFORMULA(F33)),"Use a formula, not a typed answer",IF(NOT(IFERROR(AND(ISNUMBER(SEARCH("D33",SUBSTITUTE(UPPER(_xlfn.FORMULATEXT(F33)),"$",""))),ISNUMBER(SEARCH("E33",SUBSTITUTE(UPPER(_xlfn.FORMULATEXT(F33)),"$","")))),FALSE)),"Use the required input/result references",IF(AND(ABS(D33-234500)&lt;=0.01,ABS(E33-3450000)&lt;=0.01,ABS(F33-0.068)&lt;=0.0000001),"Correct - explain and test your model","Check the baseline inputs and calculation"))))</f>
        <v>Enter inputs and a formula first</v>
      </c>
      <c r="H33" s="3" t="s">
        <v>44</v>
      </c>
      <c r="I33" s="3" t="str">
        <v>slide 18</v>
      </c>
    </row>
    <row r="34" ht="32">
      <c r="A34" s="3">
        <v>11</v>
      </c>
      <c r="B34" s="3" t="s">
        <v>40</v>
      </c>
      <c r="C34" s="3" t="str">
        <v>F: annual tax due using assessed value F32 and rounded rate F33.</v>
      </c>
      <c r="D34" s="6"/>
      <c r="E34" s="6"/>
      <c r="F34" s="5"/>
      <c r="G34" s="7" t="str">
        <f ca="1">IF(COUNT(F32,F33,F34)&lt;3,"Enter inputs and a formula first",IF(NOT(_xlfn.ISFORMULA(F34)),"Use a formula, not a typed answer",IF(NOT(IFERROR(AND(ISNUMBER(SEARCH("F32",SUBSTITUTE(UPPER(_xlfn.FORMULATEXT(F34)),"$",""))),ISNUMBER(SEARCH("F33",SUBSTITUTE(UPPER(_xlfn.FORMULATEXT(F34)),"$","")))),FALSE)),"Use the required input/result references",IF(AND(ABS(F34-11750.4)&lt;=0.01),"Correct - explain and test your model","Check the baseline inputs and calculation"))))</f>
        <v>Enter inputs and a formula first</v>
      </c>
      <c r="H34" s="3" t="str">
        <v>Reference assessed value F32 and rounded rate F33.</v>
      </c>
      <c r="I34" s="3" t="str">
        <v>slide 18</v>
      </c>
    </row>
  </sheetData>
  <mergeCells>
    <mergeCell ref="A1:I1"/>
    <mergeCell ref="A3:I3"/>
    <mergeCell ref="A22:I22"/>
    <mergeCell ref="A5:I5"/>
    <mergeCell ref="A6:I6"/>
    <mergeCell ref="A14:I14"/>
    <mergeCell ref="A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baseColWidth="10" defaultColWidth="8.83203125" defaultRowHeight="15"/>
  <cols>
    <col min="1" max="1" width="10" customWidth="1"/>
    <col min="2" max="2" width="14" customWidth="1"/>
    <col min="3" max="3" width="37" customWidth="1"/>
    <col min="4" max="4" width="17" customWidth="1"/>
    <col min="5" max="5" width="18" customWidth="1"/>
    <col min="6" max="6" width="17" customWidth="1"/>
    <col min="7" max="7" width="18" customWidth="1"/>
    <col min="8" max="8" width="34" customWidth="1"/>
    <col min="9" max="9" width="17" customWidth="1"/>
    <col min="10" max="10" width="16" customWidth="1"/>
    <col min="11" max="11" width="23" customWidth="1"/>
    <col min="12" max="12" width="18" customWidth="1"/>
  </cols>
  <sheetData>
    <row r="1" ht="36" customHeight="1">
      <c r="A1" s="66" t="s">
        <v>45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ht="42" customHeight="1">
      <c r="A3" s="67" t="str">
        <v>In pairs: audit R01-R03, then one of R04-R06. Finish all six for homework before reconciling to the control total. Enter 0 for OK or 1 for ERROR, repair formulas, and compute adjustments.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ht="32" customHeight="1">
      <c r="A4" s="68" t="s">
        <v>46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>
      <c r="A5" s="69" t="s">
        <v>47</v>
      </c>
      <c r="B5" s="70"/>
      <c r="C5" s="70"/>
      <c r="D5" s="70"/>
      <c r="E5" s="70"/>
      <c r="F5" s="70"/>
      <c r="G5" s="70"/>
      <c r="H5" s="70"/>
      <c r="I5" s="71"/>
      <c r="J5" s="72" t="s">
        <v>48</v>
      </c>
      <c r="K5" s="73"/>
      <c r="L5" s="74"/>
    </row>
    <row r="6" ht="42" customHeight="1">
      <c r="A6" s="15" t="s">
        <v>49</v>
      </c>
      <c r="B6" s="16" t="s">
        <v>50</v>
      </c>
      <c r="C6" s="16" t="s">
        <v>51</v>
      </c>
      <c r="D6" s="16" t="s">
        <v>52</v>
      </c>
      <c r="E6" s="16" t="s">
        <v>53</v>
      </c>
      <c r="F6" s="16" t="s">
        <v>54</v>
      </c>
      <c r="G6" s="16" t="s">
        <v>55</v>
      </c>
      <c r="H6" s="16" t="s">
        <v>56</v>
      </c>
      <c r="I6" s="16" t="s">
        <v>57</v>
      </c>
      <c r="J6" s="16" t="s">
        <v>58</v>
      </c>
      <c r="K6" s="16" t="s">
        <v>59</v>
      </c>
      <c r="L6" s="17" t="s">
        <v>60</v>
      </c>
    </row>
    <row r="7" ht="42" customHeight="1">
      <c r="A7" s="18" t="s">
        <v>61</v>
      </c>
      <c r="B7" s="24" t="s">
        <v>28</v>
      </c>
      <c r="C7" s="24" t="s">
        <v>62</v>
      </c>
      <c r="D7" s="30">
        <v>1200</v>
      </c>
      <c r="E7" s="30">
        <v>180</v>
      </c>
      <c r="F7" s="39">
        <v>6.25E-2</v>
      </c>
      <c r="G7" s="39"/>
      <c r="H7" s="27" t="s">
        <v>63</v>
      </c>
      <c r="I7" s="30" t="n">
        <f>ROUND((D7-E7)*F7,2)</f>
        <v>63.75</v>
      </c>
      <c r="J7" s="19"/>
      <c r="K7" s="33"/>
      <c r="L7" s="34"/>
    </row>
    <row r="8" ht="42" customHeight="1">
      <c r="A8" s="20" t="s">
        <v>64</v>
      </c>
      <c r="B8" s="25" t="s">
        <v>28</v>
      </c>
      <c r="C8" s="25" t="s">
        <v>65</v>
      </c>
      <c r="D8" s="31">
        <v>480</v>
      </c>
      <c r="E8" s="31">
        <v>80</v>
      </c>
      <c r="F8" s="40">
        <v>0.06</v>
      </c>
      <c r="G8" s="40"/>
      <c r="H8" s="28" t="s">
        <v>66</v>
      </c>
      <c r="I8" s="31" t="n">
        <f>ROUND(D8*F8,2)</f>
        <v>28.8</v>
      </c>
      <c r="J8" s="21"/>
      <c r="K8" s="35"/>
      <c r="L8" s="36"/>
    </row>
    <row r="9" ht="42" customHeight="1">
      <c r="A9" s="20" t="s">
        <v>67</v>
      </c>
      <c r="B9" s="25" t="s">
        <v>28</v>
      </c>
      <c r="C9" s="25" t="s">
        <v>68</v>
      </c>
      <c r="D9" s="31">
        <v>78625</v>
      </c>
      <c r="E9" s="40"/>
      <c r="F9" s="40">
        <v>6.25E-2</v>
      </c>
      <c r="G9" s="40"/>
      <c r="H9" s="28" t="s">
        <v>69</v>
      </c>
      <c r="I9" s="31" t="n">
        <f>ROUND(D9-D9/(1+F9),2)</f>
        <v>4625</v>
      </c>
      <c r="J9" s="21"/>
      <c r="K9" s="35"/>
      <c r="L9" s="36"/>
    </row>
    <row r="10" ht="42" customHeight="1">
      <c r="A10" s="20" t="s">
        <v>70</v>
      </c>
      <c r="B10" s="25" t="s">
        <v>37</v>
      </c>
      <c r="C10" s="25" t="s">
        <v>71</v>
      </c>
      <c r="D10" s="31">
        <v>6200</v>
      </c>
      <c r="E10" s="40"/>
      <c r="F10" s="40">
        <v>7.0000000000000007E-2</v>
      </c>
      <c r="G10" s="40">
        <v>0.08</v>
      </c>
      <c r="H10" s="28" t="s">
        <v>72</v>
      </c>
      <c r="I10" s="31" t="n">
        <f>ROUND(D10*(F10+G10),2)</f>
        <v>930</v>
      </c>
      <c r="J10" s="21"/>
      <c r="K10" s="35"/>
      <c r="L10" s="36"/>
    </row>
    <row r="11" ht="42" customHeight="1">
      <c r="A11" s="20" t="s">
        <v>73</v>
      </c>
      <c r="B11" s="25" t="s">
        <v>37</v>
      </c>
      <c r="C11" s="25" t="s">
        <v>74</v>
      </c>
      <c r="D11" s="31">
        <v>8400</v>
      </c>
      <c r="E11" s="40"/>
      <c r="F11" s="40">
        <v>7.0000000000000007E-2</v>
      </c>
      <c r="G11" s="40">
        <v>0.09</v>
      </c>
      <c r="H11" s="28" t="s">
        <v>75</v>
      </c>
      <c r="I11" s="31" t="n">
        <f>ROUND(D11*F11+(D11+D11*F11)*G11,2)</f>
        <v>1396.92</v>
      </c>
      <c r="J11" s="21"/>
      <c r="K11" s="35"/>
      <c r="L11" s="36"/>
    </row>
    <row r="12" ht="42" customHeight="1">
      <c r="A12" s="22" t="s">
        <v>76</v>
      </c>
      <c r="B12" s="26" t="s">
        <v>40</v>
      </c>
      <c r="C12" s="26" t="s">
        <v>77</v>
      </c>
      <c r="D12" s="32">
        <v>820000</v>
      </c>
      <c r="E12" s="41">
        <v>0.4</v>
      </c>
      <c r="F12" s="32">
        <v>310000</v>
      </c>
      <c r="G12" s="32">
        <v>4750000</v>
      </c>
      <c r="H12" s="29" t="s">
        <v>78</v>
      </c>
      <c r="I12" s="32" t="n">
        <f>ROUND(D12*ROUND(F12/G12,4),2)</f>
        <v>53546</v>
      </c>
      <c r="J12" s="23"/>
      <c r="K12" s="37"/>
      <c r="L12" s="38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75" t="s">
        <v>79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>
      <c r="A16" s="82" t="s">
        <v>80</v>
      </c>
      <c r="B16" s="83"/>
      <c r="C16" s="83"/>
      <c r="D16" s="30" t="n">
        <f>SUM(I7:I12)</f>
        <v>60590.47</v>
      </c>
      <c r="E16" s="83" t="s">
        <v>81</v>
      </c>
      <c r="F16" s="83"/>
      <c r="G16" s="83"/>
      <c r="H16" s="30">
        <v>28405.15</v>
      </c>
      <c r="I16" s="84" t="s">
        <v>82</v>
      </c>
      <c r="J16" s="84"/>
      <c r="K16" s="34"/>
      <c r="L16" s="11"/>
    </row>
    <row r="17">
      <c r="A17" s="12"/>
      <c r="B17" s="42"/>
      <c r="C17" s="42"/>
      <c r="D17" s="42"/>
      <c r="E17" s="42"/>
      <c r="F17" s="42"/>
      <c r="G17" s="42"/>
      <c r="H17" s="42"/>
      <c r="I17" s="85" t="s">
        <v>83</v>
      </c>
      <c r="J17" s="85"/>
      <c r="K17" s="36"/>
      <c r="L17" s="11"/>
    </row>
    <row r="18">
      <c r="A18" s="12"/>
      <c r="B18" s="42"/>
      <c r="C18" s="42"/>
      <c r="D18" s="42"/>
      <c r="E18" s="42"/>
      <c r="F18" s="42"/>
      <c r="G18" s="42"/>
      <c r="H18" s="42"/>
      <c r="I18" s="85" t="s">
        <v>84</v>
      </c>
      <c r="J18" s="85"/>
      <c r="K18" s="36"/>
      <c r="L18" s="11"/>
    </row>
    <row r="19">
      <c r="A19" s="13"/>
      <c r="B19" s="14"/>
      <c r="C19" s="14"/>
      <c r="D19" s="14"/>
      <c r="E19" s="14"/>
      <c r="F19" s="14"/>
      <c r="G19" s="14"/>
      <c r="H19" s="14"/>
      <c r="I19" s="61" t="s">
        <v>85</v>
      </c>
      <c r="J19" s="61"/>
      <c r="K19" s="43"/>
      <c r="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ht="32" customHeight="1">
      <c r="A21" s="62" t="s">
        <v>86</v>
      </c>
      <c r="B21" s="63"/>
      <c r="C21" s="63"/>
      <c r="D21" s="78"/>
      <c r="E21" s="78"/>
      <c r="F21" s="78"/>
      <c r="G21" s="78"/>
      <c r="H21" s="78"/>
      <c r="I21" s="78"/>
      <c r="J21" s="78"/>
      <c r="K21" s="78"/>
      <c r="L21" s="79"/>
    </row>
    <row r="22" ht="32" customHeight="1">
      <c r="A22" s="64"/>
      <c r="B22" s="65"/>
      <c r="C22" s="65"/>
      <c r="D22" s="80"/>
      <c r="E22" s="80"/>
      <c r="F22" s="80"/>
      <c r="G22" s="80"/>
      <c r="H22" s="80"/>
      <c r="I22" s="80"/>
      <c r="J22" s="80"/>
      <c r="K22" s="80"/>
      <c r="L22" s="8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</sheetData>
  <mergeCells>
    <mergeCell ref="I19:J19"/>
    <mergeCell ref="A21:C22"/>
    <mergeCell ref="A1:L1"/>
    <mergeCell ref="A3:L3"/>
    <mergeCell ref="A4:L4"/>
    <mergeCell ref="A5:I5"/>
    <mergeCell ref="J5:L5"/>
    <mergeCell ref="A15:L15"/>
    <mergeCell ref="D21:L22"/>
    <mergeCell ref="A16:C16"/>
    <mergeCell ref="E16:G16"/>
    <mergeCell ref="I16:J16"/>
    <mergeCell ref="I17:J17"/>
    <mergeCell ref="I18:J18"/>
  </mergeCells>
  <dataValidations count="1">
    <dataValidation type="list" sqref="J7:J12">
      <formula1>"0,1"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baseColWidth="10" defaultColWidth="8.83203125" defaultRowHeight="15"/>
  <cols>
    <col min="1" max="1" width="28" customWidth="1"/>
    <col min="2" max="2" width="36" customWidth="1"/>
    <col min="3" max="3" width="44" customWidth="1"/>
    <col min="4" max="4" width="38" customWidth="1"/>
  </cols>
  <sheetData>
    <row r="1" ht="34" customHeight="1">
      <c r="A1" s="55" t="s">
        <v>87</v>
      </c>
      <c r="B1" s="56"/>
      <c r="C1" s="56"/>
      <c r="D1" s="56"/>
    </row>
    <row r="2">
      <c r="A2" s="1"/>
      <c r="B2" s="1"/>
      <c r="C2" s="1"/>
      <c r="D2" s="1"/>
    </row>
    <row r="3" ht="16">
      <c r="A3" s="4" t="s">
        <v>88</v>
      </c>
      <c r="B3" s="4" t="s">
        <v>89</v>
      </c>
      <c r="C3" s="4" t="s">
        <v>90</v>
      </c>
      <c r="D3" s="4" t="s">
        <v>91</v>
      </c>
    </row>
    <row r="4" ht="32">
      <c r="A4" s="3" t="s">
        <v>92</v>
      </c>
      <c r="B4" s="10" t="s">
        <v>93</v>
      </c>
      <c r="C4" s="3" t="s">
        <v>94</v>
      </c>
      <c r="D4" s="3" t="s">
        <v>95</v>
      </c>
    </row>
    <row r="5" ht="32">
      <c r="A5" s="3" t="s">
        <v>96</v>
      </c>
      <c r="B5" s="10" t="s">
        <v>97</v>
      </c>
      <c r="C5" s="3" t="s">
        <v>98</v>
      </c>
      <c r="D5" s="3" t="s">
        <v>99</v>
      </c>
    </row>
    <row r="6" ht="16">
      <c r="A6" s="3" t="s">
        <v>100</v>
      </c>
      <c r="B6" s="10" t="s">
        <v>101</v>
      </c>
      <c r="C6" s="3" t="s">
        <v>102</v>
      </c>
      <c r="D6" s="3" t="s">
        <v>103</v>
      </c>
    </row>
    <row r="7" ht="16">
      <c r="A7" s="3" t="s">
        <v>104</v>
      </c>
      <c r="B7" s="10" t="s">
        <v>105</v>
      </c>
      <c r="C7" s="3" t="s">
        <v>106</v>
      </c>
      <c r="D7" s="3" t="s">
        <v>107</v>
      </c>
    </row>
    <row r="8" ht="16">
      <c r="A8" s="3" t="s">
        <v>108</v>
      </c>
      <c r="B8" s="10" t="s">
        <v>109</v>
      </c>
      <c r="C8" s="3" t="s">
        <v>110</v>
      </c>
      <c r="D8" s="3" t="s">
        <v>111</v>
      </c>
    </row>
    <row r="9" ht="32">
      <c r="A9" s="3" t="s">
        <v>112</v>
      </c>
      <c r="B9" s="10" t="s">
        <v>113</v>
      </c>
      <c r="C9" s="3" t="s">
        <v>114</v>
      </c>
      <c r="D9" s="3" t="s">
        <v>115</v>
      </c>
    </row>
    <row r="10" ht="32">
      <c r="A10" s="3" t="s">
        <v>116</v>
      </c>
      <c r="B10" s="10" t="s">
        <v>117</v>
      </c>
      <c r="C10" s="3" t="s">
        <v>118</v>
      </c>
      <c r="D10" s="3" t="s">
        <v>119</v>
      </c>
    </row>
    <row r="11" ht="32">
      <c r="A11" s="3" t="s">
        <v>120</v>
      </c>
      <c r="B11" s="10" t="s">
        <v>121</v>
      </c>
      <c r="C11" s="3" t="s">
        <v>122</v>
      </c>
      <c r="D11" s="3" t="s">
        <v>123</v>
      </c>
    </row>
    <row r="12" ht="32">
      <c r="A12" s="3" t="s">
        <v>124</v>
      </c>
      <c r="B12" s="10" t="s">
        <v>125</v>
      </c>
      <c r="C12" s="3" t="s">
        <v>126</v>
      </c>
      <c r="D12" s="3" t="s">
        <v>127</v>
      </c>
    </row>
    <row r="13" ht="16">
      <c r="A13" s="3" t="s">
        <v>128</v>
      </c>
      <c r="B13" s="10" t="s">
        <v>129</v>
      </c>
      <c r="C13" s="3" t="s">
        <v>130</v>
      </c>
      <c r="D13" s="3" t="s">
        <v>131</v>
      </c>
    </row>
    <row r="14" ht="32">
      <c r="A14" s="3" t="s">
        <v>132</v>
      </c>
      <c r="B14" s="10" t="s">
        <v>133</v>
      </c>
      <c r="C14" s="3" t="s">
        <v>134</v>
      </c>
      <c r="D14" s="3" t="s">
        <v>135</v>
      </c>
    </row>
  </sheetData>
  <mergeCells>
    <mergeCell ref="A1:D1"/>
  </mergeCells>
  <pageMargins left="0.7" right="0.7" top="0.75" bottom="0.75" header="0.3" footer="0.3"/>
</worksheet>
</file>