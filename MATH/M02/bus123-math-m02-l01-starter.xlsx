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2/"/>
    </mc:Choice>
  </mc:AlternateContent>
  <xr:revisionPtr revIDLastSave="0" documentId="13_ncr:1_{C554C527-0EAF-3A4D-8C97-5D1DCE8DF95D}" xr6:coauthVersionLast="47" xr6:coauthVersionMax="47" xr10:uidLastSave="{00000000-0000-0000-0000-000000000000}"/>
  <bookViews>
    <workbookView xWindow="0" yWindow="780" windowWidth="23840" windowHeight="15060" tabRatio="500" xr2:uid="{00000000-000D-0000-FFFF-FFFF00000000}"/>
  </bookViews>
  <sheets>
    <sheet name="START HERE" sheetId="1" r:id="rId1"/>
    <sheet name="Solving Equations" sheetId="2" r:id="rId2"/>
    <sheet name="Challenge" sheetId="3" r:id="rId3"/>
    <sheet name="FormulaReferenceC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" i="3" l="1"/>
  <c r="F9" i="3"/>
  <c r="F7" i="3"/>
  <c r="F6" i="3"/>
  <c r="D29" i="2"/>
  <c r="E29" i="2" s="1"/>
  <c r="F27" i="2"/>
  <c r="F26" i="2"/>
  <c r="F25" i="2"/>
  <c r="F21" i="2"/>
  <c r="F20" i="2"/>
  <c r="F19" i="2"/>
  <c r="F15" i="2"/>
  <c r="F14" i="2"/>
  <c r="F13" i="2"/>
  <c r="F9" i="2"/>
  <c r="F8" i="2"/>
  <c r="F7" i="2"/>
</calcChain>
</file>

<file path=xl/sharedStrings.xml><?xml version="1.0" encoding="utf-8"?>
<sst xmlns="http://schemas.openxmlformats.org/spreadsheetml/2006/main" count="103" uniqueCount="83">
  <si>
    <t>BUS123 · Math Track · M02 · L01 — Solving Equations</t>
  </si>
  <si>
    <t>Anchor &amp; Oak Events  |  Student Workbook</t>
  </si>
  <si>
    <t>Learning Objectives</t>
  </si>
  <si>
    <t xml:space="preserve">  ✓  Solve one-step equations using inverse operations</t>
  </si>
  <si>
    <t xml:space="preserve">  ✓  Solve two-step equations by reversing the order of operations</t>
  </si>
  <si>
    <t xml:space="preserve">  ✓  Collect variable terms to solve equations with variables on both sides</t>
  </si>
  <si>
    <t xml:space="preserve">  ✓  Rearrange multi-variable formulas to isolate any target variable</t>
  </si>
  <si>
    <t>How to Use This Workbook</t>
  </si>
  <si>
    <t>Yellow cells</t>
  </si>
  <si>
    <t>Input cells — type your answers here. Never leave them with pre-filled values.</t>
  </si>
  <si>
    <t>Green/Red cells</t>
  </si>
  <si>
    <t>Auto-feedback cells — green means correct, red means try again.</t>
  </si>
  <si>
    <t>Main Activity tab</t>
  </si>
  <si>
    <t>Primary exercise — work through all four equation types.</t>
  </si>
  <si>
    <t>Challenge tab</t>
  </si>
  <si>
    <t>Stretch problems — tackle these if you finish early or want extra practice.</t>
  </si>
  <si>
    <t>FormulaReferenceCard</t>
  </si>
  <si>
    <t>Quick-reference for all equation types and rules in this module.</t>
  </si>
  <si>
    <t>TIP: An equation is a balanced scale. Whatever operation you apply to one side, you MUST apply to the other. Write your equation setup before solving — this is the skill that transfers to every financial formula in the course.</t>
  </si>
  <si>
    <t>M02 · L01 — Solving Equations  |  Anchor &amp; Oak Events</t>
  </si>
  <si>
    <t>Set up and solve each equation. Show your work in the Work column. Enter the final value in the Answer column.</t>
  </si>
  <si>
    <t>SECTION 1 — One-Step Equations</t>
  </si>
  <si>
    <t>#</t>
  </si>
  <si>
    <t>Scenario</t>
  </si>
  <si>
    <t>Equation Setup</t>
  </si>
  <si>
    <t>Answer</t>
  </si>
  <si>
    <t>Check</t>
  </si>
  <si>
    <t>Anchor &amp; Oak budgeted $4,200 for floral arrangements. After three weddings, $1,650 remains. How much did the three weddings cost?
→ x + 1650 = 4200</t>
  </si>
  <si>
    <t>A 60-person event totaled $4,080 in catering charges. What is the per-person rate?
→ 60x = 4080</t>
  </si>
  <si>
    <t>A vendor invoice showed $2,940 after applying a $360 discount. What was the original amount?
→ x – 360 = 2940</t>
  </si>
  <si>
    <t>SECTION 2 — Two-Step Equations</t>
  </si>
  <si>
    <t>A coordinator earned $1,240 total: $120 base pay plus 8 overtime hours. What is the overtime hourly rate?
→ 8x + 120 = 1240</t>
  </si>
  <si>
    <t>Anchor &amp; Oak collected $3,900 for a wedding. After paying a $450 venue deposit, the rest was split equally among 3 vendors. How much did each vendor receive?
→ 3x + 450 = 3900</t>
  </si>
  <si>
    <t>A rental company charged $650 total: $200 setup fee plus daily charges for 5 days. What is the daily rate?
→ 5x + 200 = 650</t>
  </si>
  <si>
    <t>SECTION 3 — Variables on Both Sides</t>
  </si>
  <si>
    <t>Vendor A: $500 flat + $25/guest. Vendor B: $200 flat + $40/guest. At how many guests do both cost the same?
→ 500 + 25g = 200 + 40g</t>
  </si>
  <si>
    <t>Caterer A: $800 base + $35/plate. Caterer B: $500 base + $50/plate. At how many plates do they charge the same?
→ 800 + 35p = 500 + 50p</t>
  </si>
  <si>
    <t>Photographer A: $300 flat + $75/hour. Photographer B: $150 flat + $100/hour. At how many hours do they cost the same?
→ 300 + 75h = 150 + 100h</t>
  </si>
  <si>
    <t>SECTION 4 — Literal Equations &amp; Formula Rearrangement</t>
  </si>
  <si>
    <t>Using FC = R – VC: Revenue = $18,500; Variable Costs = $11,200. What is the maximum fixed cost to break even?
→ FC = R – VC</t>
  </si>
  <si>
    <t>Using P = R – C: Profit = $4,200; Total Costs = $11,800. What was total Revenue?
→ R = P + C</t>
  </si>
  <si>
    <t>Using R = P × Q: Revenue target = $52,800; Quantity sold = 480 units. What price per unit achieves this?
→ P = R ÷ Q</t>
  </si>
  <si>
    <t>Score</t>
  </si>
  <si>
    <t>M02 · L01 — Challenge Problems  |  Anchor &amp; Oak Events</t>
  </si>
  <si>
    <t>Optional stretch problems — multi-step and combined equation types. Setup + solve in the columns provided.</t>
  </si>
  <si>
    <t>C1</t>
  </si>
  <si>
    <t>Anchor &amp; Oak is planning a gala. Total revenue: $32,000. Variable costs: $18,500. The remaining amount is split equally among 5 fixed-cost categories. What is the maximum spend per category?
→ (32000 – 18500) / 5 = x</t>
  </si>
  <si>
    <t>C2</t>
  </si>
  <si>
    <t>Three florists are bidding for the season contract. Florist A: $2,400 flat + $180/event. Florist B: $1,200 flat + $300/event. Florist C: $600 flat + $360/event. At how many events do A and B cost the same? At how many events do A and C cost the same?
→ A=B: solve for events; A=C: solve for events</t>
  </si>
  <si>
    <t>C3</t>
  </si>
  <si>
    <t>Using the formula: Total Labor Cost = (Hourly Rate × Regular Hours) + (Overtime Rate × Overtime Hours). Regular rate: $22/hr, overtime rate: $33/hr, regular hours: 40. Total labor cost was $1,518. How many overtime hours were worked?
→ 22(40) + 33x = 1518</t>
  </si>
  <si>
    <t>C4</t>
  </si>
  <si>
    <t>Rearrange the break-even formula R = VC + FC to solve for Variable Cost per unit. If FC = $6,400, Quantity = 800 units, and Revenue per unit = $24, what is the variable cost per unit?
→ VC/unit = (R – FC) / Q</t>
  </si>
  <si>
    <t>Formula Reference Card — M02 · L01 · Solving Equations</t>
  </si>
  <si>
    <t>Equation Type</t>
  </si>
  <si>
    <t>Standard Form</t>
  </si>
  <si>
    <t>Solving Steps</t>
  </si>
  <si>
    <t>Business Example</t>
  </si>
  <si>
    <t>One-Step (add/sub)</t>
  </si>
  <si>
    <t>x + a = b
or x – a = b</t>
  </si>
  <si>
    <t>1. Move constant to right side
2. Add or subtract both sides
3. Answer: x = b – a</t>
  </si>
  <si>
    <t>x + 1650 = 4200
x = 4200 – 1650 = 2550</t>
  </si>
  <si>
    <t>One-Step (mult/div)</t>
  </si>
  <si>
    <t>ax = b
or x/a = b</t>
  </si>
  <si>
    <t>1. Divide (or multiply) both sides by a
2. Answer: x = b / a</t>
  </si>
  <si>
    <t>60x = 4080
x = 4080/60 = 68</t>
  </si>
  <si>
    <t>Two-Step</t>
  </si>
  <si>
    <t>ax + b = c</t>
  </si>
  <si>
    <t>1. Subtract b from both sides
2. Divide both sides by a
3. Answer: x = (c – b) / a</t>
  </si>
  <si>
    <t>8x + 120 = 1240
8x = 1120 → x = 140</t>
  </si>
  <si>
    <t>Variables Both Sides</t>
  </si>
  <si>
    <t>ax + b = cx + d</t>
  </si>
  <si>
    <t>1. Subtract smaller variable term from both sides
2. Collect constants
3. Divide by coefficient</t>
  </si>
  <si>
    <t>500+25g = 200+40g
300 = 15g → g = 20</t>
  </si>
  <si>
    <t>Literal Equation</t>
  </si>
  <si>
    <t>F(a, b, c) = result
Solve for one variable</t>
  </si>
  <si>
    <t>1. Treat all other variables as constants
2. Apply inverse operations
3. Isolate target variable</t>
  </si>
  <si>
    <t>FC = R – VC
FC = 18500–11200 = 7300</t>
  </si>
  <si>
    <t>Golden Rules</t>
  </si>
  <si>
    <t>RULE 1: Whatever you do to one side of an equation, you MUST do to the other side.</t>
  </si>
  <si>
    <t>RULE 2: For two-step equations — undo addition/subtraction BEFORE multiplication/division.</t>
  </si>
  <si>
    <t>RULE 3: When variables appear on both sides — subtract the smaller coefficient first to keep it positive.</t>
  </si>
  <si>
    <t>RULE 4: In literal equations — treat every other variable as a constant and apply inverse operations normally.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</si>
</sst>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6"/>
      <color rgb="FFFFFFFF"/>
      <name val="Calibri"/>
      <family val="2"/>
    </font>
    <font>
      <i/>
      <sz val="12"/>
      <color rgb="FFD4A052"/>
      <name val="Calibri"/>
      <family val="2"/>
    </font>
    <font>
      <b/>
      <sz val="13"/>
      <color rgb="FF0C1A2E"/>
      <name val="Calibri"/>
      <family val="2"/>
    </font>
    <font>
      <sz val="11"/>
      <color rgb="FF1A1A2E"/>
      <name val="Calibri"/>
      <family val="2"/>
    </font>
    <font>
      <b/>
      <sz val="10"/>
      <color rgb="FF1B2E48"/>
      <name val="Calibri"/>
      <family val="2"/>
    </font>
    <font>
      <sz val="10"/>
      <color rgb="FF1A1A2E"/>
      <name val="Calibri"/>
      <family val="2"/>
    </font>
    <font>
      <i/>
      <sz val="10"/>
      <color rgb="FF1B4D35"/>
      <name val="Calibri"/>
      <family val="2"/>
    </font>
    <font>
      <b/>
      <sz val="15"/>
      <color rgb="FFFFFFFF"/>
      <name val="Calibri"/>
      <family val="2"/>
    </font>
    <font>
      <i/>
      <sz val="10"/>
      <color rgb="FF1B2E48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1B6B3A"/>
      <name val="Calibri"/>
      <family val="2"/>
    </font>
    <font>
      <b/>
      <sz val="14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C1A2E"/>
        <bgColor rgb="FF1A1A2E"/>
      </patternFill>
    </fill>
    <fill>
      <patternFill patternType="solid">
        <fgColor rgb="FF1B2E48"/>
        <bgColor rgb="FF1A1A2E"/>
      </patternFill>
    </fill>
    <fill>
      <patternFill patternType="solid">
        <fgColor rgb="FFF0F7F4"/>
        <bgColor rgb="FFEEF4FF"/>
      </patternFill>
    </fill>
    <fill>
      <patternFill patternType="solid">
        <fgColor rgb="FFFFFFFF"/>
        <bgColor rgb="FFF0F7F4"/>
      </patternFill>
    </fill>
    <fill>
      <patternFill patternType="solid">
        <fgColor rgb="FFD6F0E4"/>
        <bgColor rgb="FFE8F5E9"/>
      </patternFill>
    </fill>
    <fill>
      <patternFill patternType="solid">
        <fgColor rgb="FFD4A052"/>
        <bgColor rgb="FFFF8080"/>
      </patternFill>
    </fill>
    <fill>
      <patternFill patternType="solid">
        <fgColor rgb="FFFFD966"/>
        <bgColor rgb="FFFFFF99"/>
      </patternFill>
    </fill>
    <fill>
      <patternFill patternType="solid">
        <fgColor rgb="FFE8F5E9"/>
        <bgColor rgb="FFF0F7F4"/>
      </patternFill>
    </fill>
    <fill>
      <patternFill patternType="solid">
        <fgColor rgb="FFEEF4FF"/>
        <bgColor rgb="FFF0F7F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6" fillId="10" borderId="2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left" vertical="top" wrapText="1"/>
    </xf>
    <xf numFmtId="0" fontId="4" fillId="5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left" vertical="center" wrapText="1"/>
    </xf>
    <xf numFmtId="0" fontId="0" fillId="8" borderId="1" xfId="0" applyFill="1" applyBorder="1" applyAlignment="1">
      <alignment horizontal="left" vertical="center"/>
    </xf>
    <xf numFmtId="4" fontId="0" fillId="8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6B3A"/>
      <rgbColor rgb="FF000080"/>
      <rgbColor rgb="FF808000"/>
      <rgbColor rgb="FF800080"/>
      <rgbColor rgb="FF008080"/>
      <rgbColor rgb="FFC0C0C0"/>
      <rgbColor rgb="FFBE6B4A"/>
      <rgbColor rgb="FF9999FF"/>
      <rgbColor rgb="FF993366"/>
      <rgbColor rgb="FFF0F7F4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D6F0E4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D4A052"/>
      <rgbColor rgb="FFFF6600"/>
      <rgbColor rgb="FF666699"/>
      <rgbColor rgb="FF7AAB8C"/>
      <rgbColor rgb="FF1B4D35"/>
      <rgbColor rgb="FF339966"/>
      <rgbColor rgb="FF0C1A2E"/>
      <rgbColor rgb="FF1A1A2E"/>
      <rgbColor rgb="FF993300"/>
      <rgbColor rgb="FF993366"/>
      <rgbColor rgb="FF333399"/>
      <rgbColor rgb="FF1B2E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107801-6166-6640-BA5A-CB28CA39FF90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7c2f28be-0025-4d7d-a3fe-c9d5d7f7aa2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C1A2E"/>
  </sheetPr>
  <dimension ref="A1:D20"/>
  <sheetViews>
    <sheetView showGridLines="0" tabSelected="1" zoomScaleNormal="100" workbookViewId="0">
      <selection sqref="A1:D2"/>
    </sheetView>
  </sheetViews>
  <sheetFormatPr baseColWidth="10" defaultColWidth="8.6640625" defaultRowHeight="15" x14ac:dyDescent="0.2"/>
  <cols>
    <col min="1" max="1" width="3" customWidth="1"/>
    <col min="2" max="2" width="22" customWidth="1"/>
    <col min="3" max="3" width="60" customWidth="1"/>
    <col min="4" max="4" width="3" customWidth="1"/>
  </cols>
  <sheetData>
    <row r="1" spans="1:4" ht="13.5" customHeight="1" x14ac:dyDescent="0.2">
      <c r="A1" s="14" t="s">
        <v>0</v>
      </c>
      <c r="B1" s="14"/>
      <c r="C1" s="14"/>
      <c r="D1" s="14"/>
    </row>
    <row r="2" spans="1:4" ht="27.75" customHeight="1" x14ac:dyDescent="0.2">
      <c r="A2" s="14"/>
      <c r="B2" s="14"/>
      <c r="C2" s="14"/>
      <c r="D2" s="14"/>
    </row>
    <row r="3" spans="1:4" ht="21.75" customHeight="1" x14ac:dyDescent="0.2">
      <c r="A3" s="13" t="s">
        <v>1</v>
      </c>
      <c r="B3" s="13"/>
      <c r="C3" s="13"/>
      <c r="D3" s="13"/>
    </row>
    <row r="4" spans="1:4" ht="9.75" customHeight="1" x14ac:dyDescent="0.2"/>
    <row r="5" spans="1:4" ht="21.75" customHeight="1" x14ac:dyDescent="0.2">
      <c r="B5" s="12" t="s">
        <v>2</v>
      </c>
      <c r="C5" s="12"/>
    </row>
    <row r="6" spans="1:4" ht="19.5" customHeight="1" x14ac:dyDescent="0.2">
      <c r="B6" s="11" t="s">
        <v>3</v>
      </c>
      <c r="C6" s="11"/>
    </row>
    <row r="7" spans="1:4" ht="19.5" customHeight="1" x14ac:dyDescent="0.2">
      <c r="B7" s="10" t="s">
        <v>4</v>
      </c>
      <c r="C7" s="10"/>
    </row>
    <row r="8" spans="1:4" ht="19.5" customHeight="1" x14ac:dyDescent="0.2">
      <c r="B8" s="11" t="s">
        <v>5</v>
      </c>
      <c r="C8" s="11"/>
    </row>
    <row r="9" spans="1:4" ht="19.5" customHeight="1" x14ac:dyDescent="0.2">
      <c r="B9" s="10" t="s">
        <v>6</v>
      </c>
      <c r="C9" s="10"/>
    </row>
    <row r="10" spans="1:4" ht="9.75" customHeight="1" x14ac:dyDescent="0.2"/>
    <row r="11" spans="1:4" ht="21.75" customHeight="1" x14ac:dyDescent="0.2">
      <c r="B11" s="12" t="s">
        <v>7</v>
      </c>
      <c r="C11" s="12"/>
    </row>
    <row r="12" spans="1:4" ht="19.5" customHeight="1" x14ac:dyDescent="0.2">
      <c r="B12" s="15" t="s">
        <v>8</v>
      </c>
      <c r="C12" s="16" t="s">
        <v>9</v>
      </c>
    </row>
    <row r="13" spans="1:4" ht="19.5" customHeight="1" x14ac:dyDescent="0.2">
      <c r="B13" s="15" t="s">
        <v>10</v>
      </c>
      <c r="C13" s="16" t="s">
        <v>11</v>
      </c>
    </row>
    <row r="14" spans="1:4" ht="19.5" customHeight="1" x14ac:dyDescent="0.2">
      <c r="B14" s="15" t="s">
        <v>12</v>
      </c>
      <c r="C14" s="16" t="s">
        <v>13</v>
      </c>
    </row>
    <row r="15" spans="1:4" ht="19.5" customHeight="1" x14ac:dyDescent="0.2">
      <c r="B15" s="15" t="s">
        <v>14</v>
      </c>
      <c r="C15" s="16" t="s">
        <v>15</v>
      </c>
    </row>
    <row r="16" spans="1:4" ht="19.5" customHeight="1" x14ac:dyDescent="0.2">
      <c r="B16" s="15" t="s">
        <v>16</v>
      </c>
      <c r="C16" s="16" t="s">
        <v>17</v>
      </c>
    </row>
    <row r="17" spans="2:3" ht="9.75" customHeight="1" x14ac:dyDescent="0.2"/>
    <row r="18" spans="2:3" ht="18" customHeight="1" x14ac:dyDescent="0.2">
      <c r="B18" s="9" t="s">
        <v>18</v>
      </c>
      <c r="C18" s="9"/>
    </row>
    <row r="19" spans="2:3" ht="18" customHeight="1" x14ac:dyDescent="0.2">
      <c r="B19" s="9"/>
      <c r="C19" s="9"/>
    </row>
    <row r="20" spans="2:3" ht="18" customHeight="1" x14ac:dyDescent="0.2">
      <c r="B20" s="9"/>
      <c r="C20" s="9"/>
    </row>
  </sheetData>
  <mergeCells count="9">
    <mergeCell ref="B8:C8"/>
    <mergeCell ref="B9:C9"/>
    <mergeCell ref="B11:C11"/>
    <mergeCell ref="B18:C20"/>
    <mergeCell ref="A1:D2"/>
    <mergeCell ref="A3:D3"/>
    <mergeCell ref="B5:C5"/>
    <mergeCell ref="B6:C6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AAB8C"/>
  </sheetPr>
  <dimension ref="A1:G29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6" customWidth="1"/>
    <col min="3" max="3" width="38" customWidth="1"/>
    <col min="4" max="4" width="24" customWidth="1"/>
    <col min="5" max="5" width="18" customWidth="1"/>
    <col min="6" max="6" width="20" customWidth="1"/>
    <col min="7" max="7" width="3" customWidth="1"/>
  </cols>
  <sheetData>
    <row r="1" spans="1:7" ht="13.5" customHeight="1" x14ac:dyDescent="0.2">
      <c r="A1" s="8" t="s">
        <v>19</v>
      </c>
      <c r="B1" s="8"/>
      <c r="C1" s="8"/>
      <c r="D1" s="8"/>
      <c r="E1" s="8"/>
      <c r="F1" s="8"/>
      <c r="G1" s="8"/>
    </row>
    <row r="2" spans="1:7" ht="27.75" customHeight="1" x14ac:dyDescent="0.2">
      <c r="A2" s="8"/>
      <c r="B2" s="8"/>
      <c r="C2" s="8"/>
      <c r="D2" s="8"/>
      <c r="E2" s="8"/>
      <c r="F2" s="8"/>
      <c r="G2" s="8"/>
    </row>
    <row r="3" spans="1:7" ht="18" customHeight="1" x14ac:dyDescent="0.2">
      <c r="B3" s="7" t="s">
        <v>20</v>
      </c>
      <c r="C3" s="7"/>
      <c r="D3" s="7"/>
      <c r="E3" s="7"/>
      <c r="F3" s="7"/>
    </row>
    <row r="4" spans="1:7" ht="7.5" customHeight="1" x14ac:dyDescent="0.2"/>
    <row r="5" spans="1:7" ht="21.75" customHeight="1" x14ac:dyDescent="0.2">
      <c r="B5" s="6" t="s">
        <v>21</v>
      </c>
      <c r="C5" s="6"/>
      <c r="D5" s="6"/>
      <c r="E5" s="6"/>
      <c r="F5" s="6"/>
    </row>
    <row r="6" spans="1:7" ht="18" customHeight="1" x14ac:dyDescent="0.2">
      <c r="B6" s="17" t="s">
        <v>22</v>
      </c>
      <c r="C6" s="17" t="s">
        <v>23</v>
      </c>
      <c r="D6" s="17" t="s">
        <v>24</v>
      </c>
      <c r="E6" s="17" t="s">
        <v>25</v>
      </c>
      <c r="F6" s="17" t="s">
        <v>26</v>
      </c>
    </row>
    <row r="7" spans="1:7" ht="43.5" customHeight="1" x14ac:dyDescent="0.2">
      <c r="B7" s="18">
        <v>1</v>
      </c>
      <c r="C7" s="19" t="s">
        <v>27</v>
      </c>
      <c r="D7" s="20"/>
      <c r="E7" s="21"/>
      <c r="F7" s="22" t="str">
        <f>IF(E7="","",IF(ROUND(E7,2)=ROUND(2550,2),"✓ Correct","✗ Try Again"))</f>
        <v/>
      </c>
    </row>
    <row r="8" spans="1:7" ht="43.5" customHeight="1" x14ac:dyDescent="0.2">
      <c r="B8" s="18">
        <v>2</v>
      </c>
      <c r="C8" s="19" t="s">
        <v>28</v>
      </c>
      <c r="D8" s="20"/>
      <c r="E8" s="21"/>
      <c r="F8" s="22" t="str">
        <f>IF(E8="","",IF(ROUND(E8,2)=ROUND(68,2),"✓ Correct","✗ Try Again"))</f>
        <v/>
      </c>
    </row>
    <row r="9" spans="1:7" ht="43.5" customHeight="1" x14ac:dyDescent="0.2">
      <c r="B9" s="18">
        <v>3</v>
      </c>
      <c r="C9" s="19" t="s">
        <v>29</v>
      </c>
      <c r="D9" s="20"/>
      <c r="E9" s="21"/>
      <c r="F9" s="22" t="str">
        <f>IF(E9="","",IF(ROUND(E9,2)=ROUND(3300,2),"✓ Correct","✗ Try Again"))</f>
        <v/>
      </c>
    </row>
    <row r="10" spans="1:7" ht="7.5" customHeight="1" x14ac:dyDescent="0.2"/>
    <row r="11" spans="1:7" ht="21.75" customHeight="1" x14ac:dyDescent="0.2">
      <c r="B11" s="6" t="s">
        <v>30</v>
      </c>
      <c r="C11" s="6"/>
      <c r="D11" s="6"/>
      <c r="E11" s="6"/>
      <c r="F11" s="6"/>
    </row>
    <row r="12" spans="1:7" ht="18" customHeight="1" x14ac:dyDescent="0.2">
      <c r="B12" s="17" t="s">
        <v>22</v>
      </c>
      <c r="C12" s="17" t="s">
        <v>23</v>
      </c>
      <c r="D12" s="17" t="s">
        <v>24</v>
      </c>
      <c r="E12" s="17" t="s">
        <v>25</v>
      </c>
      <c r="F12" s="17" t="s">
        <v>26</v>
      </c>
    </row>
    <row r="13" spans="1:7" ht="43.5" customHeight="1" x14ac:dyDescent="0.2">
      <c r="B13" s="18">
        <v>4</v>
      </c>
      <c r="C13" s="19" t="s">
        <v>31</v>
      </c>
      <c r="D13" s="20"/>
      <c r="E13" s="21"/>
      <c r="F13" s="22" t="str">
        <f>IF(E13="","",IF(ROUND(E13,2)=ROUND(140,2),"✓ Correct","✗ Try Again"))</f>
        <v/>
      </c>
    </row>
    <row r="14" spans="1:7" ht="43.5" customHeight="1" x14ac:dyDescent="0.2">
      <c r="B14" s="18">
        <v>5</v>
      </c>
      <c r="C14" s="19" t="s">
        <v>32</v>
      </c>
      <c r="D14" s="20"/>
      <c r="E14" s="21"/>
      <c r="F14" s="22" t="str">
        <f>IF(E14="","",IF(ROUND(E14,2)=ROUND(1150,2),"✓ Correct","✗ Try Again"))</f>
        <v/>
      </c>
    </row>
    <row r="15" spans="1:7" ht="43.5" customHeight="1" x14ac:dyDescent="0.2">
      <c r="B15" s="18">
        <v>6</v>
      </c>
      <c r="C15" s="19" t="s">
        <v>33</v>
      </c>
      <c r="D15" s="20"/>
      <c r="E15" s="21"/>
      <c r="F15" s="22" t="str">
        <f>IF(E15="","",IF(ROUND(E15,2)=ROUND(90,2),"✓ Correct","✗ Try Again"))</f>
        <v/>
      </c>
    </row>
    <row r="16" spans="1:7" ht="7.5" customHeight="1" x14ac:dyDescent="0.2"/>
    <row r="17" spans="2:6" ht="21.75" customHeight="1" x14ac:dyDescent="0.2">
      <c r="B17" s="6" t="s">
        <v>34</v>
      </c>
      <c r="C17" s="6"/>
      <c r="D17" s="6"/>
      <c r="E17" s="6"/>
      <c r="F17" s="6"/>
    </row>
    <row r="18" spans="2:6" ht="18" customHeight="1" x14ac:dyDescent="0.2">
      <c r="B18" s="17" t="s">
        <v>22</v>
      </c>
      <c r="C18" s="17" t="s">
        <v>23</v>
      </c>
      <c r="D18" s="17" t="s">
        <v>24</v>
      </c>
      <c r="E18" s="17" t="s">
        <v>25</v>
      </c>
      <c r="F18" s="17" t="s">
        <v>26</v>
      </c>
    </row>
    <row r="19" spans="2:6" ht="43.5" customHeight="1" x14ac:dyDescent="0.2">
      <c r="B19" s="18">
        <v>7</v>
      </c>
      <c r="C19" s="19" t="s">
        <v>35</v>
      </c>
      <c r="D19" s="20"/>
      <c r="E19" s="21"/>
      <c r="F19" s="22" t="str">
        <f>IF(E19="","",IF(ROUND(E19,2)=ROUND(20,2),"✓ Correct","✗ Try Again"))</f>
        <v/>
      </c>
    </row>
    <row r="20" spans="2:6" ht="43.5" customHeight="1" x14ac:dyDescent="0.2">
      <c r="B20" s="18">
        <v>8</v>
      </c>
      <c r="C20" s="19" t="s">
        <v>36</v>
      </c>
      <c r="D20" s="20"/>
      <c r="E20" s="21"/>
      <c r="F20" s="22" t="str">
        <f>IF(E20="","",IF(ROUND(E20,2)=ROUND(20,2),"✓ Correct","✗ Try Again"))</f>
        <v/>
      </c>
    </row>
    <row r="21" spans="2:6" ht="43.5" customHeight="1" x14ac:dyDescent="0.2">
      <c r="B21" s="18">
        <v>9</v>
      </c>
      <c r="C21" s="19" t="s">
        <v>37</v>
      </c>
      <c r="D21" s="20"/>
      <c r="E21" s="21"/>
      <c r="F21" s="22" t="str">
        <f>IF(E21="","",IF(ROUND(E21,2)=ROUND(6,2),"✓ Correct","✗ Try Again"))</f>
        <v/>
      </c>
    </row>
    <row r="22" spans="2:6" ht="7.5" customHeight="1" x14ac:dyDescent="0.2"/>
    <row r="23" spans="2:6" ht="21.75" customHeight="1" x14ac:dyDescent="0.2">
      <c r="B23" s="6" t="s">
        <v>38</v>
      </c>
      <c r="C23" s="6"/>
      <c r="D23" s="6"/>
      <c r="E23" s="6"/>
      <c r="F23" s="6"/>
    </row>
    <row r="24" spans="2:6" ht="18" customHeight="1" x14ac:dyDescent="0.2">
      <c r="B24" s="17" t="s">
        <v>22</v>
      </c>
      <c r="C24" s="17" t="s">
        <v>23</v>
      </c>
      <c r="D24" s="17" t="s">
        <v>24</v>
      </c>
      <c r="E24" s="17" t="s">
        <v>25</v>
      </c>
      <c r="F24" s="17" t="s">
        <v>26</v>
      </c>
    </row>
    <row r="25" spans="2:6" ht="43.5" customHeight="1" x14ac:dyDescent="0.2">
      <c r="B25" s="18">
        <v>10</v>
      </c>
      <c r="C25" s="19" t="s">
        <v>39</v>
      </c>
      <c r="D25" s="20"/>
      <c r="E25" s="21"/>
      <c r="F25" s="22" t="str">
        <f>IF(E25="","",IF(ROUND(E25,2)=ROUND(7300,2),"✓ Correct","✗ Try Again"))</f>
        <v/>
      </c>
    </row>
    <row r="26" spans="2:6" ht="43.5" customHeight="1" x14ac:dyDescent="0.2">
      <c r="B26" s="18">
        <v>11</v>
      </c>
      <c r="C26" s="19" t="s">
        <v>40</v>
      </c>
      <c r="D26" s="20"/>
      <c r="E26" s="21"/>
      <c r="F26" s="22" t="str">
        <f>IF(E26="","",IF(ROUND(E26,2)=ROUND(16000,2),"✓ Correct","✗ Try Again"))</f>
        <v/>
      </c>
    </row>
    <row r="27" spans="2:6" ht="43.5" customHeight="1" x14ac:dyDescent="0.2">
      <c r="B27" s="18">
        <v>12</v>
      </c>
      <c r="C27" s="19" t="s">
        <v>41</v>
      </c>
      <c r="D27" s="20"/>
      <c r="E27" s="21"/>
      <c r="F27" s="22" t="str">
        <f>IF(E27="","",IF(ROUND(E27,2)=ROUND(110,2),"✓ Correct","✗ Try Again"))</f>
        <v/>
      </c>
    </row>
    <row r="28" spans="2:6" ht="7.5" customHeight="1" x14ac:dyDescent="0.2"/>
    <row r="29" spans="2:6" ht="21.75" customHeight="1" x14ac:dyDescent="0.2">
      <c r="B29" s="5" t="s">
        <v>42</v>
      </c>
      <c r="C29" s="5"/>
      <c r="D29" s="23">
        <f>COUNTIF(F7:F27,"✓ Correct")</f>
        <v>0</v>
      </c>
      <c r="E29" s="4" t="str">
        <f>D29&amp;" of 12 correct"</f>
        <v>0 of 12 correct</v>
      </c>
      <c r="F29" s="4"/>
    </row>
  </sheetData>
  <mergeCells count="8">
    <mergeCell ref="B23:F23"/>
    <mergeCell ref="B29:C29"/>
    <mergeCell ref="E29:F29"/>
    <mergeCell ref="A1:G2"/>
    <mergeCell ref="B3:F3"/>
    <mergeCell ref="B5:F5"/>
    <mergeCell ref="B11:F11"/>
    <mergeCell ref="B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4A052"/>
  </sheetPr>
  <dimension ref="A1:G9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6" customWidth="1"/>
    <col min="3" max="3" width="42" customWidth="1"/>
    <col min="4" max="4" width="24" customWidth="1"/>
    <col min="5" max="5" width="18" customWidth="1"/>
    <col min="6" max="6" width="20" customWidth="1"/>
    <col min="7" max="7" width="3" customWidth="1"/>
  </cols>
  <sheetData>
    <row r="1" spans="1:7" ht="13.5" customHeight="1" x14ac:dyDescent="0.2">
      <c r="A1" s="3" t="s">
        <v>43</v>
      </c>
      <c r="B1" s="3"/>
      <c r="C1" s="3"/>
      <c r="D1" s="3"/>
      <c r="E1" s="3"/>
      <c r="F1" s="3"/>
      <c r="G1" s="3"/>
    </row>
    <row r="2" spans="1:7" ht="27.75" customHeight="1" x14ac:dyDescent="0.2">
      <c r="A2" s="3"/>
      <c r="B2" s="3"/>
      <c r="C2" s="3"/>
      <c r="D2" s="3"/>
      <c r="E2" s="3"/>
      <c r="F2" s="3"/>
      <c r="G2" s="3"/>
    </row>
    <row r="3" spans="1:7" ht="18" customHeight="1" x14ac:dyDescent="0.2">
      <c r="B3" s="7" t="s">
        <v>44</v>
      </c>
      <c r="C3" s="7"/>
      <c r="D3" s="7"/>
      <c r="E3" s="7"/>
      <c r="F3" s="7"/>
    </row>
    <row r="4" spans="1:7" ht="7.5" customHeight="1" x14ac:dyDescent="0.2"/>
    <row r="5" spans="1:7" ht="18" customHeight="1" x14ac:dyDescent="0.2">
      <c r="B5" s="17" t="s">
        <v>22</v>
      </c>
      <c r="C5" s="17" t="s">
        <v>23</v>
      </c>
      <c r="D5" s="17" t="s">
        <v>24</v>
      </c>
      <c r="E5" s="17" t="s">
        <v>25</v>
      </c>
      <c r="F5" s="17" t="s">
        <v>26</v>
      </c>
    </row>
    <row r="6" spans="1:7" ht="43.5" customHeight="1" x14ac:dyDescent="0.2">
      <c r="B6" s="18" t="s">
        <v>45</v>
      </c>
      <c r="C6" s="19" t="s">
        <v>46</v>
      </c>
      <c r="D6" s="20"/>
      <c r="E6" s="21"/>
      <c r="F6" s="22" t="str">
        <f>IF(E6="","",IF(ROUND(E6,2)=ROUND(2700,2),"✓ Correct","✗ Try Again"))</f>
        <v/>
      </c>
    </row>
    <row r="7" spans="1:7" ht="43.5" customHeight="1" x14ac:dyDescent="0.2">
      <c r="B7" s="18" t="s">
        <v>47</v>
      </c>
      <c r="C7" s="19" t="s">
        <v>48</v>
      </c>
      <c r="D7" s="20"/>
      <c r="E7" s="21"/>
      <c r="F7" s="22" t="str">
        <f>IF(E7="","",IF(ROUND(E7,2)=ROUND(10,2),"✓ Correct","✗ Try Again"))</f>
        <v/>
      </c>
    </row>
    <row r="8" spans="1:7" ht="43.5" customHeight="1" x14ac:dyDescent="0.2">
      <c r="B8" s="18" t="s">
        <v>49</v>
      </c>
      <c r="C8" s="19" t="s">
        <v>50</v>
      </c>
      <c r="D8" s="20"/>
      <c r="E8" s="21"/>
      <c r="F8" s="22" t="str">
        <f>IF(E8="","",IF(ROUND(E8,2)=ROUND(19.39,2),"✓ Correct","✗ Try Again"))</f>
        <v/>
      </c>
    </row>
    <row r="9" spans="1:7" ht="43.5" customHeight="1" x14ac:dyDescent="0.2">
      <c r="B9" s="18" t="s">
        <v>51</v>
      </c>
      <c r="C9" s="19" t="s">
        <v>52</v>
      </c>
      <c r="D9" s="20"/>
      <c r="E9" s="21"/>
      <c r="F9" s="22" t="str">
        <f>IF(E9="","",IF(ROUND(E9,2)=ROUND(16,2),"✓ Correct","✗ Try Again"))</f>
        <v/>
      </c>
    </row>
  </sheetData>
  <mergeCells count="2">
    <mergeCell ref="A1:G2"/>
    <mergeCell ref="B3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E6B4A"/>
  </sheetPr>
  <dimension ref="A1:F15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22" customWidth="1"/>
    <col min="3" max="3" width="30" customWidth="1"/>
    <col min="4" max="4" width="32" customWidth="1"/>
    <col min="5" max="5" width="28" customWidth="1"/>
    <col min="6" max="6" width="3" customWidth="1"/>
  </cols>
  <sheetData>
    <row r="1" spans="1:6" ht="13.5" customHeight="1" x14ac:dyDescent="0.2">
      <c r="A1" s="2" t="s">
        <v>53</v>
      </c>
      <c r="B1" s="2"/>
      <c r="C1" s="2"/>
      <c r="D1" s="2"/>
      <c r="E1" s="2"/>
      <c r="F1" s="2"/>
    </row>
    <row r="2" spans="1:6" ht="25.5" customHeight="1" x14ac:dyDescent="0.2">
      <c r="A2" s="2"/>
      <c r="B2" s="2"/>
      <c r="C2" s="2"/>
      <c r="D2" s="2"/>
      <c r="E2" s="2"/>
      <c r="F2" s="2"/>
    </row>
    <row r="3" spans="1:6" ht="7.5" customHeight="1" x14ac:dyDescent="0.2"/>
    <row r="4" spans="1:6" ht="19.5" customHeight="1" x14ac:dyDescent="0.2">
      <c r="B4" s="24" t="s">
        <v>54</v>
      </c>
      <c r="C4" s="24" t="s">
        <v>55</v>
      </c>
      <c r="D4" s="24" t="s">
        <v>56</v>
      </c>
      <c r="E4" s="24" t="s">
        <v>57</v>
      </c>
    </row>
    <row r="5" spans="1:6" ht="63.75" customHeight="1" x14ac:dyDescent="0.2">
      <c r="B5" s="25" t="s">
        <v>58</v>
      </c>
      <c r="C5" s="25" t="s">
        <v>59</v>
      </c>
      <c r="D5" s="25" t="s">
        <v>60</v>
      </c>
      <c r="E5" s="25" t="s">
        <v>61</v>
      </c>
    </row>
    <row r="6" spans="1:6" ht="63.75" customHeight="1" x14ac:dyDescent="0.2">
      <c r="B6" s="26" t="s">
        <v>62</v>
      </c>
      <c r="C6" s="26" t="s">
        <v>63</v>
      </c>
      <c r="D6" s="26" t="s">
        <v>64</v>
      </c>
      <c r="E6" s="26" t="s">
        <v>65</v>
      </c>
    </row>
    <row r="7" spans="1:6" ht="63.75" customHeight="1" x14ac:dyDescent="0.2">
      <c r="B7" s="25" t="s">
        <v>66</v>
      </c>
      <c r="C7" s="25" t="s">
        <v>67</v>
      </c>
      <c r="D7" s="25" t="s">
        <v>68</v>
      </c>
      <c r="E7" s="25" t="s">
        <v>69</v>
      </c>
    </row>
    <row r="8" spans="1:6" ht="63.75" customHeight="1" x14ac:dyDescent="0.2">
      <c r="B8" s="26" t="s">
        <v>70</v>
      </c>
      <c r="C8" s="26" t="s">
        <v>71</v>
      </c>
      <c r="D8" s="26" t="s">
        <v>72</v>
      </c>
      <c r="E8" s="26" t="s">
        <v>73</v>
      </c>
    </row>
    <row r="9" spans="1:6" ht="63.75" customHeight="1" x14ac:dyDescent="0.2">
      <c r="B9" s="25" t="s">
        <v>74</v>
      </c>
      <c r="C9" s="25" t="s">
        <v>75</v>
      </c>
      <c r="D9" s="25" t="s">
        <v>76</v>
      </c>
      <c r="E9" s="25" t="s">
        <v>77</v>
      </c>
    </row>
    <row r="10" spans="1:6" ht="9.75" customHeight="1" x14ac:dyDescent="0.2"/>
    <row r="11" spans="1:6" ht="21.75" customHeight="1" x14ac:dyDescent="0.2">
      <c r="B11" s="6" t="s">
        <v>78</v>
      </c>
      <c r="C11" s="6"/>
      <c r="D11" s="6"/>
      <c r="E11" s="6"/>
    </row>
    <row r="12" spans="1:6" ht="24" customHeight="1" x14ac:dyDescent="0.2">
      <c r="B12" s="1" t="s">
        <v>79</v>
      </c>
      <c r="C12" s="1"/>
      <c r="D12" s="1"/>
      <c r="E12" s="1"/>
    </row>
    <row r="13" spans="1:6" ht="24" customHeight="1" x14ac:dyDescent="0.2">
      <c r="B13" s="27" t="s">
        <v>80</v>
      </c>
      <c r="C13" s="27"/>
      <c r="D13" s="27"/>
      <c r="E13" s="27"/>
    </row>
    <row r="14" spans="1:6" ht="24" customHeight="1" x14ac:dyDescent="0.2">
      <c r="B14" s="1" t="s">
        <v>81</v>
      </c>
      <c r="C14" s="1"/>
      <c r="D14" s="1"/>
      <c r="E14" s="1"/>
    </row>
    <row r="15" spans="1:6" ht="24" customHeight="1" x14ac:dyDescent="0.2">
      <c r="B15" s="27" t="s">
        <v>82</v>
      </c>
      <c r="C15" s="27"/>
      <c r="D15" s="27"/>
      <c r="E15" s="27"/>
    </row>
  </sheetData>
  <mergeCells count="6">
    <mergeCell ref="B15:E15"/>
    <mergeCell ref="A1:F2"/>
    <mergeCell ref="B11:E11"/>
    <mergeCell ref="B12:E12"/>
    <mergeCell ref="B13:E13"/>
    <mergeCell ref="B14:E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Solving Equations</vt:lpstr>
      <vt:lpstr>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2026-05-25T23:49:22Z</dcterms:created>
  <dcterms:modified xsi:type="dcterms:W3CDTF">2026-06-09T01:14:16Z</dcterms:modified>
  <dc:language>en-US</dc:language>
</cp:coreProperties>
</file>