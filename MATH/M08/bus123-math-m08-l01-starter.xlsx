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8/"/>
    </mc:Choice>
  </mc:AlternateContent>
  <xr:revisionPtr revIDLastSave="0" documentId="13_ncr:1_{F3B84333-1952-E545-B70B-AE3FEF823F3F}" xr6:coauthVersionLast="47" xr6:coauthVersionMax="47" xr10:uidLastSave="{00000000-0000-0000-0000-000000000000}"/>
  <bookViews>
    <workbookView xWindow="0" yWindow="600" windowWidth="38400" windowHeight="20040" activeTab="1" xr2:uid="{00000000-000D-0000-FFFF-FFFF00000000}"/>
  </bookViews>
  <sheets>
    <sheet name="START HERE" sheetId="1" r:id="rId1"/>
    <sheet name="Live You Try It" sheetId="2" r:id="rId2"/>
    <sheet name="Class Challenge" sheetId="3" r:id="rId3"/>
    <sheet name="FormulaReferenceC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H10" i="2"/>
  <c r="H9" i="2"/>
  <c r="H7" i="2"/>
  <c r="F7" i="2"/>
  <c r="D16" i="3"/>
  <c r="D15" i="3"/>
  <c r="D14" i="3"/>
  <c r="D13" i="3"/>
  <c r="D12" i="3"/>
  <c r="H18" i="2"/>
  <c r="D18" i="2"/>
  <c r="H17" i="2"/>
  <c r="H16" i="2"/>
  <c r="H14" i="2"/>
  <c r="F14" i="2"/>
  <c r="H13" i="2"/>
  <c r="F13" i="2"/>
  <c r="H12" i="2"/>
  <c r="E10" i="2"/>
  <c r="D10" i="2"/>
  <c r="H8" i="2" l="1"/>
  <c r="H6" i="2"/>
  <c r="B20" i="2" s="1"/>
</calcChain>
</file>

<file path=xl/sharedStrings.xml><?xml version="1.0" encoding="utf-8"?>
<sst xmlns="http://schemas.openxmlformats.org/spreadsheetml/2006/main" count="292" uniqueCount="174">
  <si>
    <t>BUS123 · MATH-M08-L01 · Simple Interest, Discounting &amp; Present Value</t>
  </si>
  <si>
    <t>Meridian Advisory Group — retrieval, Excel practice, decision, and independent transfer</t>
  </si>
  <si>
    <t>How This Workbook Fits the 75-Minute Lesson</t>
  </si>
  <si>
    <t>Keep this workbook open during the deck. Use the exact tab and cell ranges named on each activity slide.</t>
  </si>
  <si>
    <t>Live You Try It is self-graded practice. Build formulas in yellow cells from the blue inputs and read the feedback text.</t>
  </si>
  <si>
    <t>Class Challenge is pair work: complete the round-trip audit, discount each future payment with one compound-periodic model, and reconcile the total.</t>
  </si>
  <si>
    <t>Your decision is incomplete until you choose an offer, write a two-sentence defense, and state the model and rate assumption.</t>
  </si>
  <si>
    <t>FormulaReferenceCard is a syntax reference. It is not a substitute for deciding which model answers the business question.</t>
  </si>
  <si>
    <t>Tabs and Required Deliverables</t>
  </si>
  <si>
    <t>Tab</t>
  </si>
  <si>
    <t>Purpose</t>
  </si>
  <si>
    <t>Live You Try It</t>
  </si>
  <si>
    <t>Pause A: G6:G10. Pause B: G12:G14. Optional transfer after slide 15: G16:G18.</t>
  </si>
  <si>
    <t>Class Challenge</t>
  </si>
  <si>
    <t>Build E6 and E12:E18; choose in B19; defend in B20:E21; disclose the model in B22:E23.</t>
  </si>
  <si>
    <t>FormulaReferenceCard</t>
  </si>
  <si>
    <t>Selected syntax and model-boundary reminders for time, simple interest, manual PV, and Excel PV/FV.</t>
  </si>
  <si>
    <t>Color and Evidence Key</t>
  </si>
  <si>
    <t>Blue cells</t>
  </si>
  <si>
    <t>Given inputs. Reference these cells rather than typing numbers inside formulas.</t>
  </si>
  <si>
    <t>Yellow cells</t>
  </si>
  <si>
    <t>Student formula or response cells.</t>
  </si>
  <si>
    <t>Green feedback</t>
  </si>
  <si>
    <t>Correct-value feedback. Also inspect the formula bar to confirm cell references.</t>
  </si>
  <si>
    <t>Text evidence</t>
  </si>
  <si>
    <t>Feedback words, formula precedents, reconciliation, and written reasoning carry the meaning; color is secondary.</t>
  </si>
  <si>
    <t>Live You Try It · Build, Read Feedback, Explain</t>
  </si>
  <si>
    <t>Blue cells contain transfer inputs. Build formulas in yellow cells; feedback uses words as well as color.</t>
  </si>
  <si>
    <t>Pause</t>
  </si>
  <si>
    <t>Slide</t>
  </si>
  <si>
    <t>What to model</t>
  </si>
  <si>
    <t>Input 1</t>
  </si>
  <si>
    <t>Input 2</t>
  </si>
  <si>
    <t>Input 3</t>
  </si>
  <si>
    <t>Your formula / result</t>
  </si>
  <si>
    <t>Feedback</t>
  </si>
  <si>
    <t>Hint</t>
  </si>
  <si>
    <t>A1</t>
  </si>
  <si>
    <t>Exact-interest time in years</t>
  </si>
  <si>
    <t>Use the specified 365-day basis.</t>
  </si>
  <si>
    <t>A2</t>
  </si>
  <si>
    <t>Exact interest on the Meridian note</t>
  </si>
  <si>
    <t>Reference A1's time result.</t>
  </si>
  <si>
    <t>A3</t>
  </si>
  <si>
    <t>Ordinary-interest time in years</t>
  </si>
  <si>
    <t>Use the specified 360-day basis.</t>
  </si>
  <si>
    <t>A4</t>
  </si>
  <si>
    <t>Ordinary interest on the same note</t>
  </si>
  <si>
    <t>Reference A3's time result.</t>
  </si>
  <si>
    <t>A5</t>
  </si>
  <si>
    <t>Extra interest from the 360-day basis</t>
  </si>
  <si>
    <t>Ordinary interest minus exact interest.</t>
  </si>
  <si>
    <t>Pause B · Simple Interest Transfer</t>
  </si>
  <si>
    <t>B1</t>
  </si>
  <si>
    <t>Convert the 8-month term to years</t>
  </si>
  <si>
    <t>Months divided by 12.</t>
  </si>
  <si>
    <t>B2</t>
  </si>
  <si>
    <t>Calculate simple interest</t>
  </si>
  <si>
    <t>Principal × rate × B1 time.</t>
  </si>
  <si>
    <t>B3</t>
  </si>
  <si>
    <t>Calculate simple future value</t>
  </si>
  <si>
    <t>Principal × (1 + rate × time).</t>
  </si>
  <si>
    <t>Optional Transfer · Manual PV vs Excel PV</t>
  </si>
  <si>
    <t>C1</t>
  </si>
  <si>
    <t>Manual simple-interest PV</t>
  </si>
  <si>
    <t>Future value divided by the simple discount factor.</t>
  </si>
  <si>
    <t>C2</t>
  </si>
  <si>
    <t>Excel compound-periodic PV</t>
  </si>
  <si>
    <t>Use PV; keep Excel's cash-flow sign.</t>
  </si>
  <si>
    <t>C3</t>
  </si>
  <si>
    <t>Round trip the Excel PV result with FV</t>
  </si>
  <si>
    <t>Reference C2's negative PV result.</t>
  </si>
  <si>
    <t>Self-check score</t>
  </si>
  <si>
    <t>Class Challenge · Discount, Reconcile, Recommend</t>
  </si>
  <si>
    <t>Pair deliverable: one compound-periodic model, a reconciled offer comparison, and a written defense.</t>
  </si>
  <si>
    <t>Model Audit Before the Decision</t>
  </si>
  <si>
    <t>#</t>
  </si>
  <si>
    <t>Skill</t>
  </si>
  <si>
    <t>Scenario</t>
  </si>
  <si>
    <t>Input A</t>
  </si>
  <si>
    <t>Formula / Answer</t>
  </si>
  <si>
    <t>Input B</t>
  </si>
  <si>
    <t>Input C</t>
  </si>
  <si>
    <t>Build Hint</t>
  </si>
  <si>
    <t>C9</t>
  </si>
  <si>
    <t>Round trip</t>
  </si>
  <si>
    <t>Use FV() to audit a compound-periodic PV result</t>
  </si>
  <si>
    <t>The result should reproduce a $31,000 future value.</t>
  </si>
  <si>
    <t>Meridian Offer Decision Inputs</t>
  </si>
  <si>
    <t>Cash offer today</t>
  </si>
  <si>
    <t>Annual discount rate</t>
  </si>
  <si>
    <t>Model</t>
  </si>
  <si>
    <t>Compound-periodic annual PV</t>
  </si>
  <si>
    <t>Valuation date</t>
  </si>
  <si>
    <t>Today</t>
  </si>
  <si>
    <t>Year</t>
  </si>
  <si>
    <t>Future payment</t>
  </si>
  <si>
    <t>Rate per period</t>
  </si>
  <si>
    <t>Evidence</t>
  </si>
  <si>
    <t>C10</t>
  </si>
  <si>
    <t>Use one rate cell</t>
  </si>
  <si>
    <t>Compound-periodic PV</t>
  </si>
  <si>
    <t>=-PV(rate, year, 0, future payment)</t>
  </si>
  <si>
    <t>C11</t>
  </si>
  <si>
    <t>C12</t>
  </si>
  <si>
    <t>C13</t>
  </si>
  <si>
    <t>C14</t>
  </si>
  <si>
    <t>C15</t>
  </si>
  <si>
    <t>Reconcile to five rows</t>
  </si>
  <si>
    <t>Total PV</t>
  </si>
  <si>
    <t>Sum E12:E16</t>
  </si>
  <si>
    <t>C16</t>
  </si>
  <si>
    <t>Positive favors stream</t>
  </si>
  <si>
    <t>Spread vs cash offer</t>
  </si>
  <si>
    <t>Total PV minus B9</t>
  </si>
  <si>
    <t>C17 · Choose</t>
  </si>
  <si>
    <t>Select: Payment stream or Cash offer</t>
  </si>
  <si>
    <t>Use the sign of C16, then consider the model assumption.</t>
  </si>
  <si>
    <t>C18 · Defend</t>
  </si>
  <si>
    <t>Write two sentences: recommend an offer and cite total PV plus the dollar spread.</t>
  </si>
  <si>
    <t>A number without a recommendation is incomplete.</t>
  </si>
  <si>
    <t>C19 · Disclose</t>
  </si>
  <si>
    <t>State the compound-periodic model, 6% annual rate, annual periods, today's valuation date, and one condition that could reverse the decision.</t>
  </si>
  <si>
    <t>The recommendation is conditional on the model and rate assumptions.</t>
  </si>
  <si>
    <t>FormulaReferenceCard · MATH-M08-L01</t>
  </si>
  <si>
    <t>Use after you identify the business question and model. Rate and period units must match.</t>
  </si>
  <si>
    <t>Concept</t>
  </si>
  <si>
    <t>Excel Pattern</t>
  </si>
  <si>
    <t>Plain-English Meaning</t>
  </si>
  <si>
    <t>Watch Out For</t>
  </si>
  <si>
    <t>Months to years</t>
  </si>
  <si>
    <t>=Months/12</t>
  </si>
  <si>
    <t>Converts months to a year fraction for an annual rate.</t>
  </si>
  <si>
    <t>Do not use months directly as T.</t>
  </si>
  <si>
    <t>Exact-interest days</t>
  </si>
  <si>
    <t>=Days/365</t>
  </si>
  <si>
    <t>Uses the stated 365-day basis.</t>
  </si>
  <si>
    <t>Use only when the problem or contract specifies it.</t>
  </si>
  <si>
    <t>Ordinary-interest days</t>
  </si>
  <si>
    <t>=Days/360</t>
  </si>
  <si>
    <t>Uses the stated 360-day basis.</t>
  </si>
  <si>
    <t>The smaller denominator creates more interest for positive inputs.</t>
  </si>
  <si>
    <t>Simple interest</t>
  </si>
  <si>
    <t>=Principal*Rate*Time</t>
  </si>
  <si>
    <t>Calculates interest only on original principal.</t>
  </si>
  <si>
    <t>Time must already be in years.</t>
  </si>
  <si>
    <t>Simple future value</t>
  </si>
  <si>
    <t>=Principal*(1+Rate*Time)</t>
  </si>
  <si>
    <t>Moves one principal forward with simple interest.</t>
  </si>
  <si>
    <t>Do not substitute FV() for this simple model.</t>
  </si>
  <si>
    <t>Solve for principal</t>
  </si>
  <si>
    <t>=Interest/(Rate*Time)</t>
  </si>
  <si>
    <t>Back-solves the original amount.</t>
  </si>
  <si>
    <t>Identify the unknown before rearranging.</t>
  </si>
  <si>
    <t>Manual simple PV</t>
  </si>
  <si>
    <t>=FV/(1+Rate*Time)</t>
  </si>
  <si>
    <t>Reverses a simple-interest promise.</t>
  </si>
  <si>
    <t>Do not label it compound-periodic PV.</t>
  </si>
  <si>
    <t>Excel PV raw sign</t>
  </si>
  <si>
    <t>=PV(Rate,Nper,0,FV)</t>
  </si>
  <si>
    <t>Discounts one future lump sum with a compound-periodic model.</t>
  </si>
  <si>
    <t>Rate is per period; a positive FV returns a negative PV.</t>
  </si>
  <si>
    <t>Positive PV for comparison</t>
  </si>
  <si>
    <t>=-PV(Rate,Nper,0,FV)</t>
  </si>
  <si>
    <t>Returns the positive magnitude for an offer table.</t>
  </si>
  <si>
    <t>Keep sign logic explicit rather than hiding it.</t>
  </si>
  <si>
    <t>Excel FV round trip</t>
  </si>
  <si>
    <t>=FV(Rate,Nper,0,PV_Result)</t>
  </si>
  <si>
    <t>Checks that the compound PV grows back to the original FV.</t>
  </si>
  <si>
    <t>Use the negative raw PV result.</t>
  </si>
  <si>
    <t>Payment-stream total</t>
  </si>
  <si>
    <t>=SUM(PV_Range)</t>
  </si>
  <si>
    <t>Adds present values already moved to the same date.</t>
  </si>
  <si>
    <t>Discount each payment before summing.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</si>
</sst>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%"/>
    <numFmt numFmtId="166" formatCode="0.0000"/>
  </numFmts>
  <fonts count="14">
    <font>
      <sz val="11"/>
      <name val="Carlito"/>
    </font>
    <font>
      <b/>
      <sz val="16"/>
      <color rgb="FFFFFFFF"/>
      <name val="Carlito"/>
    </font>
    <font>
      <i/>
      <sz val="11"/>
      <color rgb="FF4A5567"/>
      <name val="Carlito"/>
    </font>
    <font>
      <sz val="10"/>
      <color rgb="FF1A1F2C"/>
      <name val="Carlito"/>
    </font>
    <font>
      <b/>
      <sz val="10"/>
      <color rgb="FFFFFFFF"/>
      <name val="Carlito"/>
    </font>
    <font>
      <b/>
      <sz val="10"/>
      <color rgb="FF355773"/>
      <name val="Carlito"/>
    </font>
    <font>
      <b/>
      <sz val="18"/>
      <color rgb="FFFFFFFF"/>
      <name val="Carlito"/>
    </font>
    <font>
      <sz val="18"/>
      <name val="Carlito"/>
    </font>
    <font>
      <i/>
      <sz val="18"/>
      <color rgb="FF4A5567"/>
      <name val="Carlito"/>
    </font>
    <font>
      <b/>
      <sz val="18"/>
      <color rgb="FF1A1F2C"/>
      <name val="Carlito"/>
    </font>
    <font>
      <sz val="18"/>
      <color rgb="FF1A1F2C"/>
      <name val="Carlito"/>
    </font>
    <font>
      <sz val="18"/>
      <color rgb="FF355773"/>
      <name val="Carlito"/>
    </font>
    <font>
      <sz val="18"/>
      <color rgb="FF0000FF"/>
      <name val="Carlito"/>
    </font>
    <font>
      <sz val="18"/>
      <color rgb="FF4A5567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0E1116"/>
      </patternFill>
    </fill>
    <fill>
      <patternFill patternType="solid">
        <fgColor rgb="FFFAF8F3"/>
      </patternFill>
    </fill>
    <fill>
      <patternFill patternType="solid">
        <fgColor rgb="FFF2EEE5"/>
      </patternFill>
    </fill>
    <fill>
      <patternFill patternType="solid">
        <fgColor rgb="FFFFFFFF"/>
      </patternFill>
    </fill>
    <fill>
      <patternFill patternType="solid">
        <fgColor rgb="FF355773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EAF3EC"/>
      </patternFill>
    </fill>
  </fills>
  <borders count="5">
    <border>
      <left/>
      <right/>
      <top/>
      <bottom/>
      <diagonal/>
    </border>
    <border>
      <left style="medium">
        <color rgb="FF4A7C5E"/>
      </left>
      <right/>
      <top style="thin">
        <color rgb="FFE5E1D6"/>
      </top>
      <bottom style="thin">
        <color rgb="FFE5E1D6"/>
      </bottom>
      <diagonal/>
    </border>
    <border>
      <left/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/>
      <right/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5" borderId="3" xfId="0" applyFont="1" applyFill="1" applyBorder="1" applyAlignment="1">
      <alignment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vertical="center" wrapText="1"/>
    </xf>
    <xf numFmtId="0" fontId="7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vertical="center" wrapText="1"/>
    </xf>
    <xf numFmtId="0" fontId="10" fillId="8" borderId="3" xfId="0" applyFont="1" applyFill="1" applyBorder="1" applyAlignment="1">
      <alignment vertical="center" wrapText="1"/>
    </xf>
    <xf numFmtId="0" fontId="10" fillId="9" borderId="3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right" vertical="center" wrapText="1"/>
    </xf>
    <xf numFmtId="166" fontId="12" fillId="8" borderId="3" xfId="0" applyNumberFormat="1" applyFont="1" applyFill="1" applyBorder="1" applyAlignment="1">
      <alignment horizontal="right" vertical="center" wrapText="1"/>
    </xf>
    <xf numFmtId="0" fontId="13" fillId="4" borderId="3" xfId="0" applyFont="1" applyFill="1" applyBorder="1" applyAlignment="1">
      <alignment vertical="center" wrapText="1"/>
    </xf>
    <xf numFmtId="164" fontId="11" fillId="7" borderId="3" xfId="0" applyNumberFormat="1" applyFont="1" applyFill="1" applyBorder="1" applyAlignment="1">
      <alignment horizontal="right" vertical="center" wrapText="1"/>
    </xf>
    <xf numFmtId="165" fontId="11" fillId="7" borderId="3" xfId="0" applyNumberFormat="1" applyFont="1" applyFill="1" applyBorder="1" applyAlignment="1">
      <alignment horizontal="right" vertical="center" wrapText="1"/>
    </xf>
    <xf numFmtId="164" fontId="12" fillId="8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 wrapText="1"/>
    </xf>
    <xf numFmtId="2" fontId="11" fillId="7" borderId="3" xfId="0" applyNumberFormat="1" applyFont="1" applyFill="1" applyBorder="1" applyAlignment="1">
      <alignment horizontal="right" vertical="center" wrapText="1"/>
    </xf>
    <xf numFmtId="164" fontId="10" fillId="5" borderId="3" xfId="0" applyNumberFormat="1" applyFont="1" applyFill="1" applyBorder="1" applyAlignment="1">
      <alignment vertical="center" wrapText="1"/>
    </xf>
    <xf numFmtId="0" fontId="6" fillId="2" borderId="0" xfId="0" applyFont="1" applyFill="1"/>
    <xf numFmtId="0" fontId="8" fillId="3" borderId="0" xfId="0" applyFont="1" applyFill="1" applyAlignment="1">
      <alignment wrapText="1"/>
    </xf>
    <xf numFmtId="0" fontId="9" fillId="4" borderId="1" xfId="0" applyFont="1" applyFill="1" applyBorder="1"/>
    <xf numFmtId="0" fontId="9" fillId="4" borderId="4" xfId="0" applyFont="1" applyFill="1" applyBorder="1"/>
    <xf numFmtId="0" fontId="9" fillId="4" borderId="2" xfId="0" applyFont="1" applyFill="1" applyBorder="1"/>
    <xf numFmtId="0" fontId="10" fillId="5" borderId="3" xfId="0" applyFont="1" applyFill="1" applyBorder="1" applyAlignment="1">
      <alignment vertical="center" wrapText="1"/>
    </xf>
    <xf numFmtId="0" fontId="12" fillId="8" borderId="3" xfId="0" applyFont="1" applyFill="1" applyBorder="1" applyAlignment="1">
      <alignment horizontal="right" vertical="center" wrapText="1"/>
    </xf>
    <xf numFmtId="0" fontId="13" fillId="4" borderId="3" xfId="0" applyFont="1" applyFill="1" applyBorder="1" applyAlignment="1">
      <alignment vertical="center" wrapText="1"/>
    </xf>
    <xf numFmtId="0" fontId="1" fillId="2" borderId="0" xfId="0" applyFont="1" applyFill="1"/>
    <xf numFmtId="0" fontId="2" fillId="3" borderId="0" xfId="0" applyFont="1" applyFill="1" applyAlignment="1">
      <alignment wrapText="1"/>
    </xf>
  </cellXfs>
  <cellStyles count="1">
    <cellStyle name="Normal" xfId="0" builtinId="0"/>
  </cellStyles>
  <dxfs count="3">
    <dxf>
      <font>
        <b/>
        <color rgb="FF9C4A2B"/>
      </font>
      <fill>
        <patternFill patternType="solid">
          <bgColor rgb="FFFCE8E3"/>
        </patternFill>
      </fill>
    </dxf>
    <dxf>
      <font>
        <b/>
        <color rgb="FF9C4A2B"/>
      </font>
      <fill>
        <patternFill patternType="solid">
          <bgColor rgb="FFF9EEDC"/>
        </patternFill>
      </fill>
    </dxf>
    <dxf>
      <font>
        <b/>
        <color rgb="FF4A7C5E"/>
      </font>
      <fill>
        <patternFill patternType="solid">
          <bgColor rgb="FFEAF3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showGridLines="0" workbookViewId="0">
      <pane ySplit="2" topLeftCell="A3" activePane="bottomLeft" state="frozen"/>
      <selection pane="bottomLeft" sqref="A1:XFD1048576"/>
    </sheetView>
  </sheetViews>
  <sheetFormatPr baseColWidth="10" defaultColWidth="8.83203125" defaultRowHeight="23"/>
  <cols>
    <col min="1" max="1" width="22.83203125" style="4" customWidth="1"/>
    <col min="2" max="2" width="189.6640625" style="4" bestFit="1" customWidth="1"/>
    <col min="3" max="16384" width="8.83203125" style="4"/>
  </cols>
  <sheetData>
    <row r="1" spans="1:2" ht="24" customHeight="1">
      <c r="A1" s="20" t="s">
        <v>0</v>
      </c>
      <c r="B1" s="20" t="s">
        <v>0</v>
      </c>
    </row>
    <row r="2" spans="1:2" ht="34" customHeight="1">
      <c r="A2" s="21" t="s">
        <v>1</v>
      </c>
      <c r="B2" s="21" t="s">
        <v>1</v>
      </c>
    </row>
    <row r="3" spans="1:2" ht="24" customHeight="1"/>
    <row r="4" spans="1:2" ht="24" customHeight="1"/>
    <row r="5" spans="1:2" ht="24" customHeight="1">
      <c r="A5" s="22" t="s">
        <v>2</v>
      </c>
      <c r="B5" s="24" t="s">
        <v>2</v>
      </c>
    </row>
    <row r="6" spans="1:2" ht="24" customHeight="1"/>
    <row r="7" spans="1:2" ht="42" customHeight="1">
      <c r="A7" s="5">
        <v>1</v>
      </c>
      <c r="B7" s="6" t="s">
        <v>3</v>
      </c>
    </row>
    <row r="8" spans="1:2" ht="42" customHeight="1">
      <c r="A8" s="5">
        <v>2</v>
      </c>
      <c r="B8" s="6" t="s">
        <v>4</v>
      </c>
    </row>
    <row r="9" spans="1:2" ht="42" customHeight="1">
      <c r="A9" s="5">
        <v>3</v>
      </c>
      <c r="B9" s="6" t="s">
        <v>5</v>
      </c>
    </row>
    <row r="10" spans="1:2" ht="42" customHeight="1">
      <c r="A10" s="5">
        <v>4</v>
      </c>
      <c r="B10" s="6" t="s">
        <v>6</v>
      </c>
    </row>
    <row r="11" spans="1:2" ht="42" customHeight="1">
      <c r="A11" s="5">
        <v>5</v>
      </c>
      <c r="B11" s="6" t="s">
        <v>7</v>
      </c>
    </row>
    <row r="12" spans="1:2" ht="24" customHeight="1"/>
    <row r="13" spans="1:2" ht="24" customHeight="1"/>
    <row r="14" spans="1:2" ht="24" customHeight="1">
      <c r="A14" s="22" t="s">
        <v>8</v>
      </c>
      <c r="B14" s="24" t="s">
        <v>8</v>
      </c>
    </row>
    <row r="15" spans="1:2" ht="24" customHeight="1"/>
    <row r="16" spans="1:2" ht="24" customHeight="1">
      <c r="A16" s="7" t="s">
        <v>9</v>
      </c>
      <c r="B16" s="7" t="s">
        <v>10</v>
      </c>
    </row>
    <row r="17" spans="1:2" ht="48" customHeight="1">
      <c r="A17" s="6" t="s">
        <v>11</v>
      </c>
      <c r="B17" s="6" t="s">
        <v>12</v>
      </c>
    </row>
    <row r="18" spans="1:2" ht="48" customHeight="1">
      <c r="A18" s="6" t="s">
        <v>13</v>
      </c>
      <c r="B18" s="6" t="s">
        <v>14</v>
      </c>
    </row>
    <row r="19" spans="1:2" ht="48" customHeight="1">
      <c r="A19" s="6" t="s">
        <v>15</v>
      </c>
      <c r="B19" s="6" t="s">
        <v>16</v>
      </c>
    </row>
    <row r="20" spans="1:2" ht="24" customHeight="1"/>
    <row r="21" spans="1:2" ht="24" customHeight="1"/>
    <row r="22" spans="1:2" ht="24" customHeight="1">
      <c r="A22" s="22" t="s">
        <v>17</v>
      </c>
      <c r="B22" s="24" t="s">
        <v>17</v>
      </c>
    </row>
    <row r="23" spans="1:2" ht="24" customHeight="1"/>
    <row r="24" spans="1:2" ht="38" customHeight="1">
      <c r="A24" s="8" t="s">
        <v>18</v>
      </c>
      <c r="B24" s="6" t="s">
        <v>19</v>
      </c>
    </row>
    <row r="25" spans="1:2" ht="38" customHeight="1">
      <c r="A25" s="9" t="s">
        <v>20</v>
      </c>
      <c r="B25" s="6" t="s">
        <v>21</v>
      </c>
    </row>
    <row r="26" spans="1:2" ht="38" customHeight="1">
      <c r="A26" s="10" t="s">
        <v>22</v>
      </c>
      <c r="B26" s="6" t="s">
        <v>23</v>
      </c>
    </row>
    <row r="27" spans="1:2" ht="38" customHeight="1">
      <c r="A27" s="6" t="s">
        <v>24</v>
      </c>
      <c r="B27" s="6" t="s">
        <v>25</v>
      </c>
    </row>
  </sheetData>
  <mergeCells count="5">
    <mergeCell ref="A1:B1"/>
    <mergeCell ref="A2:B2"/>
    <mergeCell ref="A5:B5"/>
    <mergeCell ref="A14:B14"/>
    <mergeCell ref="A22:B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showGridLines="0" tabSelected="1" workbookViewId="0">
      <pane ySplit="5" topLeftCell="A6" activePane="bottomLeft" state="frozen"/>
      <selection pane="bottomLeft" activeCell="G6" sqref="G6:G8"/>
    </sheetView>
  </sheetViews>
  <sheetFormatPr baseColWidth="10" defaultColWidth="8.83203125" defaultRowHeight="23"/>
  <cols>
    <col min="1" max="1" width="14" style="4" customWidth="1"/>
    <col min="2" max="2" width="13.5" style="4" customWidth="1"/>
    <col min="3" max="3" width="26.1640625" style="4" customWidth="1"/>
    <col min="4" max="4" width="15.1640625" style="4" bestFit="1" customWidth="1"/>
    <col min="5" max="6" width="11.33203125" style="4" bestFit="1" customWidth="1"/>
    <col min="7" max="7" width="31.33203125" style="4" bestFit="1" customWidth="1"/>
    <col min="8" max="8" width="47.1640625" style="4" bestFit="1" customWidth="1"/>
    <col min="9" max="9" width="65" style="4" bestFit="1" customWidth="1"/>
    <col min="10" max="16384" width="8.83203125" style="4"/>
  </cols>
  <sheetData>
    <row r="1" spans="1:9" ht="30" customHeight="1">
      <c r="A1" s="20" t="s">
        <v>26</v>
      </c>
      <c r="B1" s="20" t="s">
        <v>26</v>
      </c>
      <c r="C1" s="20" t="s">
        <v>26</v>
      </c>
      <c r="D1" s="20" t="s">
        <v>26</v>
      </c>
      <c r="E1" s="20" t="s">
        <v>26</v>
      </c>
      <c r="F1" s="20" t="s">
        <v>26</v>
      </c>
      <c r="G1" s="20" t="s">
        <v>26</v>
      </c>
      <c r="H1" s="20" t="s">
        <v>26</v>
      </c>
      <c r="I1" s="20" t="s">
        <v>26</v>
      </c>
    </row>
    <row r="2" spans="1:9" ht="34" customHeight="1">
      <c r="A2" s="21" t="s">
        <v>27</v>
      </c>
      <c r="B2" s="21" t="s">
        <v>27</v>
      </c>
      <c r="C2" s="21" t="s">
        <v>27</v>
      </c>
      <c r="D2" s="21" t="s">
        <v>27</v>
      </c>
      <c r="E2" s="21" t="s">
        <v>27</v>
      </c>
      <c r="F2" s="21" t="s">
        <v>27</v>
      </c>
      <c r="G2" s="21" t="s">
        <v>27</v>
      </c>
      <c r="H2" s="21" t="s">
        <v>27</v>
      </c>
      <c r="I2" s="21" t="s">
        <v>27</v>
      </c>
    </row>
    <row r="3" spans="1:9" ht="30" customHeight="1"/>
    <row r="4" spans="1:9" ht="30" customHeight="1"/>
    <row r="5" spans="1:9" ht="30" customHeight="1">
      <c r="A5" s="7" t="s">
        <v>28</v>
      </c>
      <c r="B5" s="7" t="s">
        <v>29</v>
      </c>
      <c r="C5" s="7" t="s">
        <v>30</v>
      </c>
      <c r="D5" s="7" t="s">
        <v>31</v>
      </c>
      <c r="E5" s="7" t="s">
        <v>32</v>
      </c>
      <c r="F5" s="7" t="s">
        <v>33</v>
      </c>
      <c r="G5" s="7" t="s">
        <v>34</v>
      </c>
      <c r="H5" s="7" t="s">
        <v>35</v>
      </c>
      <c r="I5" s="7" t="s">
        <v>36</v>
      </c>
    </row>
    <row r="6" spans="1:9" ht="44" customHeight="1">
      <c r="A6" s="6" t="s">
        <v>37</v>
      </c>
      <c r="B6" s="6">
        <v>8</v>
      </c>
      <c r="C6" s="6" t="s">
        <v>38</v>
      </c>
      <c r="D6" s="11">
        <v>75</v>
      </c>
      <c r="E6" s="11">
        <v>365</v>
      </c>
      <c r="F6" s="11"/>
      <c r="G6" s="12"/>
      <c r="H6" s="10" t="str">
        <f>IF(G6="","Enter a formula using cell references",IF(ABS(G6-(D6/E6))&lt;0.0001,"Correct value - confirm formula bar uses references","Try again - check the time basis"))</f>
        <v>Enter a formula using cell references</v>
      </c>
      <c r="I6" s="13" t="s">
        <v>39</v>
      </c>
    </row>
    <row r="7" spans="1:9" ht="44" customHeight="1">
      <c r="A7" s="6" t="s">
        <v>40</v>
      </c>
      <c r="B7" s="6">
        <v>8</v>
      </c>
      <c r="C7" s="6" t="s">
        <v>41</v>
      </c>
      <c r="D7" s="14">
        <v>42000</v>
      </c>
      <c r="E7" s="15">
        <v>4.8000000000000001E-2</v>
      </c>
      <c r="F7" s="11" t="str">
        <f>IF(G6="","",G6)</f>
        <v/>
      </c>
      <c r="G7" s="16"/>
      <c r="H7" s="10" t="str">
        <f>IF(G7="","Enter a formula using cell references",IF(ABS(G7-(D7*E7*F7))&lt;0.05,"Correct value - confirm formula bar uses references","Try again - reference the exact-time result"))</f>
        <v>Enter a formula using cell references</v>
      </c>
      <c r="I7" s="13" t="s">
        <v>42</v>
      </c>
    </row>
    <row r="8" spans="1:9" ht="44" customHeight="1">
      <c r="A8" s="6" t="s">
        <v>43</v>
      </c>
      <c r="B8" s="6">
        <v>8</v>
      </c>
      <c r="C8" s="6" t="s">
        <v>44</v>
      </c>
      <c r="D8" s="11">
        <v>75</v>
      </c>
      <c r="E8" s="11">
        <v>360</v>
      </c>
      <c r="F8" s="11"/>
      <c r="G8" s="12"/>
      <c r="H8" s="10" t="str">
        <f>IF(G8="","Enter a formula using cell references",IF(ABS(G8-(D8/E8))&lt;0.0001,"Correct value - confirm formula bar uses references","Try again - check the time basis"))</f>
        <v>Enter a formula using cell references</v>
      </c>
      <c r="I8" s="13" t="s">
        <v>45</v>
      </c>
    </row>
    <row r="9" spans="1:9" ht="44" customHeight="1">
      <c r="A9" s="6" t="s">
        <v>46</v>
      </c>
      <c r="B9" s="6">
        <v>8</v>
      </c>
      <c r="C9" s="6" t="s">
        <v>47</v>
      </c>
      <c r="D9" s="14">
        <v>42000</v>
      </c>
      <c r="E9" s="15">
        <v>4.8000000000000001E-2</v>
      </c>
      <c r="F9" s="11"/>
      <c r="G9" s="16"/>
      <c r="H9" s="10" t="str">
        <f>IF(G9="","Enter a formula using cell references",IF(ABS(G9-(D9*E9*F9))&lt;0.05,"Correct value - confirm formula bar uses references","Try again - reference the ordinary-time result"))</f>
        <v>Enter a formula using cell references</v>
      </c>
      <c r="I9" s="13" t="s">
        <v>48</v>
      </c>
    </row>
    <row r="10" spans="1:9" ht="44" customHeight="1">
      <c r="A10" s="6" t="s">
        <v>49</v>
      </c>
      <c r="B10" s="6">
        <v>8</v>
      </c>
      <c r="C10" s="6" t="s">
        <v>50</v>
      </c>
      <c r="D10" s="14" t="str">
        <f>IF(G7="","",G7)</f>
        <v/>
      </c>
      <c r="E10" s="14" t="str">
        <f>IF(G9="","",G9)</f>
        <v/>
      </c>
      <c r="F10" s="11"/>
      <c r="G10" s="16"/>
      <c r="H10" s="10" t="str">
        <f>IF(G10="","Enter a formula using cell references",IF(ABS(G10-(E10-D10))&lt;0.05,"Correct value - explain the denominator difference","Try again - ordinary interest minus exact interest"))</f>
        <v>Enter a formula using cell references</v>
      </c>
      <c r="I10" s="13" t="s">
        <v>51</v>
      </c>
    </row>
    <row r="11" spans="1:9" ht="44" customHeight="1">
      <c r="A11" s="22" t="s">
        <v>52</v>
      </c>
      <c r="B11" s="23" t="s">
        <v>52</v>
      </c>
      <c r="C11" s="23" t="s">
        <v>52</v>
      </c>
      <c r="D11" s="23" t="s">
        <v>52</v>
      </c>
      <c r="E11" s="23" t="s">
        <v>52</v>
      </c>
      <c r="F11" s="23" t="s">
        <v>52</v>
      </c>
      <c r="G11" s="23" t="s">
        <v>52</v>
      </c>
      <c r="H11" s="23" t="s">
        <v>52</v>
      </c>
      <c r="I11" s="24" t="s">
        <v>52</v>
      </c>
    </row>
    <row r="12" spans="1:9" ht="44" customHeight="1">
      <c r="A12" s="6" t="s">
        <v>53</v>
      </c>
      <c r="B12" s="6">
        <v>12</v>
      </c>
      <c r="C12" s="6" t="s">
        <v>54</v>
      </c>
      <c r="D12" s="11">
        <v>8</v>
      </c>
      <c r="E12" s="11">
        <v>12</v>
      </c>
      <c r="F12" s="11"/>
      <c r="G12" s="12"/>
      <c r="H12" s="10" t="str">
        <f>IF(G12="","Enter a formula using cell references",IF(ABS(G12-(D12/E12))&lt;0.0001,"Correct value - confirm formula bar uses references","Try again - months divided by 12"))</f>
        <v>Enter a formula using cell references</v>
      </c>
      <c r="I12" s="13" t="s">
        <v>55</v>
      </c>
    </row>
    <row r="13" spans="1:9" ht="44" customHeight="1">
      <c r="A13" s="6" t="s">
        <v>56</v>
      </c>
      <c r="B13" s="6">
        <v>12</v>
      </c>
      <c r="C13" s="6" t="s">
        <v>57</v>
      </c>
      <c r="D13" s="14">
        <v>18500</v>
      </c>
      <c r="E13" s="15">
        <v>6.2E-2</v>
      </c>
      <c r="F13" s="11" t="str">
        <f>IF(G12="","",G12)</f>
        <v/>
      </c>
      <c r="G13" s="16"/>
      <c r="H13" s="10" t="str">
        <f>IF(G13="","Enter a formula using cell references",IF(ABS(G13-(D13*E13*F13))&lt;0.05,"Correct value - confirm formula bar uses references","Try again - trace principal, rate, and time"))</f>
        <v>Enter a formula using cell references</v>
      </c>
      <c r="I13" s="13" t="s">
        <v>58</v>
      </c>
    </row>
    <row r="14" spans="1:9" ht="44" customHeight="1">
      <c r="A14" s="6" t="s">
        <v>59</v>
      </c>
      <c r="B14" s="6">
        <v>12</v>
      </c>
      <c r="C14" s="6" t="s">
        <v>60</v>
      </c>
      <c r="D14" s="14">
        <v>18500</v>
      </c>
      <c r="E14" s="15">
        <v>6.2E-2</v>
      </c>
      <c r="F14" s="11" t="str">
        <f>IF(G12="","",G12)</f>
        <v/>
      </c>
      <c r="G14" s="16"/>
      <c r="H14" s="10" t="str">
        <f>IF(G14="","Enter a formula using cell references",IF(ABS(G14-(D14*(1+E14*F14)))&lt;0.05,"Correct value - future value exceeds principal","Try again - include principal plus interest"))</f>
        <v>Enter a formula using cell references</v>
      </c>
      <c r="I14" s="13" t="s">
        <v>61</v>
      </c>
    </row>
    <row r="15" spans="1:9" ht="44" customHeight="1">
      <c r="A15" s="22" t="s">
        <v>62</v>
      </c>
      <c r="B15" s="23" t="s">
        <v>62</v>
      </c>
      <c r="C15" s="23" t="s">
        <v>62</v>
      </c>
      <c r="D15" s="23" t="s">
        <v>62</v>
      </c>
      <c r="E15" s="23" t="s">
        <v>62</v>
      </c>
      <c r="F15" s="23" t="s">
        <v>62</v>
      </c>
      <c r="G15" s="23" t="s">
        <v>62</v>
      </c>
      <c r="H15" s="23" t="s">
        <v>62</v>
      </c>
      <c r="I15" s="24" t="s">
        <v>62</v>
      </c>
    </row>
    <row r="16" spans="1:9" ht="44" customHeight="1">
      <c r="A16" s="6" t="s">
        <v>63</v>
      </c>
      <c r="B16" s="6">
        <v>15</v>
      </c>
      <c r="C16" s="6" t="s">
        <v>64</v>
      </c>
      <c r="D16" s="14">
        <v>30000</v>
      </c>
      <c r="E16" s="15">
        <v>6.5000000000000002E-2</v>
      </c>
      <c r="F16" s="11">
        <v>1.5</v>
      </c>
      <c r="G16" s="16"/>
      <c r="H16" s="10" t="str">
        <f>IF(G16="","Enter a formula using cell references",IF(ABS(G16-(D16/(1+E16*F16)))&lt;0.05,"Correct simple-interest PV","Try again - divide by the simple discount factor"))</f>
        <v>Enter a formula using cell references</v>
      </c>
      <c r="I16" s="13" t="s">
        <v>65</v>
      </c>
    </row>
    <row r="17" spans="1:9" ht="44" customHeight="1">
      <c r="A17" s="6" t="s">
        <v>66</v>
      </c>
      <c r="B17" s="6">
        <v>15</v>
      </c>
      <c r="C17" s="6" t="s">
        <v>67</v>
      </c>
      <c r="D17" s="14">
        <v>30000</v>
      </c>
      <c r="E17" s="15">
        <v>6.5000000000000002E-2</v>
      </c>
      <c r="F17" s="11">
        <v>1.5</v>
      </c>
      <c r="G17" s="16"/>
      <c r="H17" s="10" t="str">
        <f>IF(G17="","Enter a formula using cell references",IF(ABS(G17-PV(E17,F17,0,D17))&lt;0.05,"Correct compound-periodic PV and sign","Try again - use PV with a positive future inflow"))</f>
        <v>Enter a formula using cell references</v>
      </c>
      <c r="I17" s="13" t="s">
        <v>68</v>
      </c>
    </row>
    <row r="18" spans="1:9" ht="44" customHeight="1">
      <c r="A18" s="6" t="s">
        <v>69</v>
      </c>
      <c r="B18" s="6">
        <v>15</v>
      </c>
      <c r="C18" s="6" t="s">
        <v>70</v>
      </c>
      <c r="D18" s="14" t="str">
        <f>IF(G17="","",G17)</f>
        <v/>
      </c>
      <c r="E18" s="15">
        <v>6.5000000000000002E-2</v>
      </c>
      <c r="F18" s="11">
        <v>1.5</v>
      </c>
      <c r="G18" s="16"/>
      <c r="H18" s="10" t="str">
        <f>IF(G18="","Enter a formula using cell references",IF(ABS(G18-FV(E18,F18,0,D18))&lt;0.05,"Correct round trip","Try again - reference C2's PV result"))</f>
        <v>Enter a formula using cell references</v>
      </c>
      <c r="I18" s="13" t="s">
        <v>71</v>
      </c>
    </row>
    <row r="19" spans="1:9" ht="30" customHeight="1"/>
    <row r="20" spans="1:9" ht="70" customHeight="1">
      <c r="A20" s="17" t="s">
        <v>72</v>
      </c>
      <c r="B20" s="13" t="str">
        <f>COUNTIF(H6:H18,"Correct*")&amp;" of 11 complete"</f>
        <v>0 of 11 complete</v>
      </c>
    </row>
  </sheetData>
  <mergeCells count="4">
    <mergeCell ref="A1:I1"/>
    <mergeCell ref="A2:I2"/>
    <mergeCell ref="A11:I11"/>
    <mergeCell ref="A15:I15"/>
  </mergeCells>
  <conditionalFormatting sqref="H6:H18">
    <cfRule type="containsText" dxfId="2" priority="1" operator="containsText" text="Correct"/>
    <cfRule type="containsText" dxfId="1" priority="2" operator="containsText" text="Try again"/>
    <cfRule type="containsText" dxfId="0" priority="3" operator="containsText" text="Check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3"/>
  <sheetViews>
    <sheetView showGridLines="0" workbookViewId="0">
      <pane ySplit="11" topLeftCell="A12" activePane="bottomLeft" state="frozen"/>
      <selection pane="bottomLeft" activeCell="F9" sqref="F9"/>
    </sheetView>
  </sheetViews>
  <sheetFormatPr baseColWidth="10" defaultColWidth="8.83203125" defaultRowHeight="23"/>
  <cols>
    <col min="1" max="1" width="8.83203125" style="4" customWidth="1"/>
    <col min="2" max="2" width="16.6640625" style="4" customWidth="1"/>
    <col min="3" max="3" width="46.83203125" style="4" customWidth="1"/>
    <col min="4" max="4" width="27" style="4" customWidth="1"/>
    <col min="5" max="5" width="28" style="4" customWidth="1"/>
    <col min="6" max="6" width="37.33203125" style="4" customWidth="1"/>
    <col min="7" max="7" width="36.6640625" style="4" customWidth="1"/>
    <col min="8" max="8" width="51" style="4" customWidth="1"/>
    <col min="9" max="16384" width="8.83203125" style="4"/>
  </cols>
  <sheetData>
    <row r="1" spans="1:8" ht="30" customHeight="1">
      <c r="A1" s="20" t="s">
        <v>73</v>
      </c>
      <c r="B1" s="20" t="s">
        <v>73</v>
      </c>
      <c r="C1" s="20" t="s">
        <v>73</v>
      </c>
      <c r="D1" s="20" t="s">
        <v>73</v>
      </c>
      <c r="E1" s="20" t="s">
        <v>73</v>
      </c>
      <c r="F1" s="20" t="s">
        <v>73</v>
      </c>
      <c r="G1" s="20" t="s">
        <v>73</v>
      </c>
      <c r="H1" s="20" t="s">
        <v>73</v>
      </c>
    </row>
    <row r="2" spans="1:8" ht="34" customHeight="1">
      <c r="A2" s="21" t="s">
        <v>74</v>
      </c>
      <c r="B2" s="21" t="s">
        <v>74</v>
      </c>
      <c r="C2" s="21" t="s">
        <v>74</v>
      </c>
      <c r="D2" s="21" t="s">
        <v>74</v>
      </c>
      <c r="E2" s="21" t="s">
        <v>74</v>
      </c>
      <c r="F2" s="21" t="s">
        <v>74</v>
      </c>
      <c r="G2" s="21" t="s">
        <v>74</v>
      </c>
      <c r="H2" s="21" t="s">
        <v>74</v>
      </c>
    </row>
    <row r="3" spans="1:8" ht="30" customHeight="1"/>
    <row r="4" spans="1:8" ht="30" customHeight="1">
      <c r="A4" s="22" t="s">
        <v>75</v>
      </c>
      <c r="B4" s="23" t="s">
        <v>75</v>
      </c>
      <c r="C4" s="23" t="s">
        <v>75</v>
      </c>
      <c r="D4" s="23" t="s">
        <v>75</v>
      </c>
      <c r="E4" s="23" t="s">
        <v>75</v>
      </c>
      <c r="F4" s="23" t="s">
        <v>75</v>
      </c>
      <c r="G4" s="23" t="s">
        <v>75</v>
      </c>
      <c r="H4" s="24" t="s">
        <v>75</v>
      </c>
    </row>
    <row r="5" spans="1:8" ht="30" customHeight="1">
      <c r="A5" s="7" t="s">
        <v>76</v>
      </c>
      <c r="B5" s="7" t="s">
        <v>77</v>
      </c>
      <c r="C5" s="7" t="s">
        <v>78</v>
      </c>
      <c r="D5" s="7" t="s">
        <v>79</v>
      </c>
      <c r="E5" s="7" t="s">
        <v>80</v>
      </c>
      <c r="F5" s="7" t="s">
        <v>81</v>
      </c>
      <c r="G5" s="7" t="s">
        <v>82</v>
      </c>
      <c r="H5" s="7" t="s">
        <v>83</v>
      </c>
    </row>
    <row r="6" spans="1:8" ht="48">
      <c r="A6" s="6" t="s">
        <v>84</v>
      </c>
      <c r="B6" s="6" t="s">
        <v>85</v>
      </c>
      <c r="C6" s="6" t="s">
        <v>86</v>
      </c>
      <c r="D6" s="14">
        <v>-27306.68</v>
      </c>
      <c r="E6" s="16">
        <f>FV(F6,G6,0,D6)</f>
        <v>30999.997106159892</v>
      </c>
      <c r="F6" s="15">
        <v>5.8000000000000003E-2</v>
      </c>
      <c r="G6" s="18">
        <v>2.25</v>
      </c>
      <c r="H6" s="13" t="s">
        <v>87</v>
      </c>
    </row>
    <row r="7" spans="1:8" ht="30" customHeight="1"/>
    <row r="8" spans="1:8" ht="30" customHeight="1">
      <c r="A8" s="22" t="s">
        <v>88</v>
      </c>
      <c r="B8" s="23" t="s">
        <v>88</v>
      </c>
      <c r="C8" s="23" t="s">
        <v>88</v>
      </c>
      <c r="D8" s="23" t="s">
        <v>88</v>
      </c>
      <c r="E8" s="23" t="s">
        <v>88</v>
      </c>
      <c r="F8" s="23" t="s">
        <v>88</v>
      </c>
      <c r="G8" s="23" t="s">
        <v>88</v>
      </c>
      <c r="H8" s="24" t="s">
        <v>88</v>
      </c>
    </row>
    <row r="9" spans="1:8" ht="58" customHeight="1">
      <c r="A9" s="6" t="s">
        <v>89</v>
      </c>
      <c r="B9" s="14">
        <v>75000</v>
      </c>
      <c r="C9" s="6" t="s">
        <v>90</v>
      </c>
      <c r="D9" s="15">
        <v>0.06</v>
      </c>
      <c r="E9" s="6" t="s">
        <v>91</v>
      </c>
      <c r="F9" s="11" t="s">
        <v>92</v>
      </c>
      <c r="G9" s="6" t="s">
        <v>93</v>
      </c>
      <c r="H9" s="11" t="s">
        <v>94</v>
      </c>
    </row>
    <row r="10" spans="1:8" ht="30" customHeight="1"/>
    <row r="11" spans="1:8" ht="30" customHeight="1">
      <c r="A11" s="7" t="s">
        <v>76</v>
      </c>
      <c r="B11" s="7" t="s">
        <v>95</v>
      </c>
      <c r="C11" s="7" t="s">
        <v>96</v>
      </c>
      <c r="D11" s="7" t="s">
        <v>97</v>
      </c>
      <c r="E11" s="7" t="s">
        <v>80</v>
      </c>
      <c r="F11" s="7" t="s">
        <v>98</v>
      </c>
      <c r="G11" s="7" t="s">
        <v>91</v>
      </c>
      <c r="H11" s="7" t="s">
        <v>83</v>
      </c>
    </row>
    <row r="12" spans="1:8" ht="42" customHeight="1">
      <c r="A12" s="6" t="s">
        <v>99</v>
      </c>
      <c r="B12" s="6">
        <v>1</v>
      </c>
      <c r="C12" s="19">
        <v>18000</v>
      </c>
      <c r="D12" s="15">
        <f>$D$9</f>
        <v>0.06</v>
      </c>
      <c r="E12" s="16"/>
      <c r="F12" s="13" t="s">
        <v>100</v>
      </c>
      <c r="G12" s="13" t="s">
        <v>101</v>
      </c>
      <c r="H12" s="13" t="s">
        <v>102</v>
      </c>
    </row>
    <row r="13" spans="1:8" ht="42" customHeight="1">
      <c r="A13" s="6" t="s">
        <v>103</v>
      </c>
      <c r="B13" s="6">
        <v>2</v>
      </c>
      <c r="C13" s="19">
        <v>22000</v>
      </c>
      <c r="D13" s="15">
        <f>$D$9</f>
        <v>0.06</v>
      </c>
      <c r="E13" s="16"/>
      <c r="F13" s="13" t="s">
        <v>100</v>
      </c>
      <c r="G13" s="13" t="s">
        <v>101</v>
      </c>
      <c r="H13" s="13" t="s">
        <v>102</v>
      </c>
    </row>
    <row r="14" spans="1:8" ht="42" customHeight="1">
      <c r="A14" s="6" t="s">
        <v>104</v>
      </c>
      <c r="B14" s="6">
        <v>3</v>
      </c>
      <c r="C14" s="19">
        <v>25000</v>
      </c>
      <c r="D14" s="15">
        <f>$D$9</f>
        <v>0.06</v>
      </c>
      <c r="E14" s="16"/>
      <c r="F14" s="13" t="s">
        <v>100</v>
      </c>
      <c r="G14" s="13" t="s">
        <v>101</v>
      </c>
      <c r="H14" s="13" t="s">
        <v>102</v>
      </c>
    </row>
    <row r="15" spans="1:8" ht="42" customHeight="1">
      <c r="A15" s="6" t="s">
        <v>105</v>
      </c>
      <c r="B15" s="6">
        <v>4</v>
      </c>
      <c r="C15" s="19">
        <v>20000</v>
      </c>
      <c r="D15" s="15">
        <f>$D$9</f>
        <v>0.06</v>
      </c>
      <c r="E15" s="16"/>
      <c r="F15" s="13" t="s">
        <v>100</v>
      </c>
      <c r="G15" s="13" t="s">
        <v>101</v>
      </c>
      <c r="H15" s="13" t="s">
        <v>102</v>
      </c>
    </row>
    <row r="16" spans="1:8" ht="42" customHeight="1">
      <c r="A16" s="6" t="s">
        <v>106</v>
      </c>
      <c r="B16" s="6">
        <v>5</v>
      </c>
      <c r="C16" s="19">
        <v>15000</v>
      </c>
      <c r="D16" s="15">
        <f>$D$9</f>
        <v>0.06</v>
      </c>
      <c r="E16" s="16"/>
      <c r="F16" s="13" t="s">
        <v>100</v>
      </c>
      <c r="G16" s="13" t="s">
        <v>101</v>
      </c>
      <c r="H16" s="13" t="s">
        <v>102</v>
      </c>
    </row>
    <row r="17" spans="1:8" ht="42" customHeight="1">
      <c r="A17" s="6" t="s">
        <v>107</v>
      </c>
      <c r="B17" s="6"/>
      <c r="C17" s="6"/>
      <c r="D17" s="6"/>
      <c r="E17" s="16"/>
      <c r="F17" s="13" t="s">
        <v>108</v>
      </c>
      <c r="G17" s="13" t="s">
        <v>109</v>
      </c>
      <c r="H17" s="13" t="s">
        <v>110</v>
      </c>
    </row>
    <row r="18" spans="1:8" ht="42" customHeight="1">
      <c r="A18" s="6" t="s">
        <v>111</v>
      </c>
      <c r="B18" s="6"/>
      <c r="C18" s="6"/>
      <c r="D18" s="6"/>
      <c r="E18" s="16"/>
      <c r="F18" s="13" t="s">
        <v>112</v>
      </c>
      <c r="G18" s="13" t="s">
        <v>113</v>
      </c>
      <c r="H18" s="13" t="s">
        <v>114</v>
      </c>
    </row>
    <row r="19" spans="1:8" ht="44" customHeight="1">
      <c r="A19" s="6" t="s">
        <v>115</v>
      </c>
      <c r="B19" s="26" t="s">
        <v>116</v>
      </c>
      <c r="C19" s="26" t="s">
        <v>116</v>
      </c>
      <c r="D19" s="26" t="s">
        <v>116</v>
      </c>
      <c r="E19" s="26" t="s">
        <v>116</v>
      </c>
      <c r="F19" s="27" t="s">
        <v>117</v>
      </c>
      <c r="G19" s="27" t="s">
        <v>117</v>
      </c>
      <c r="H19" s="27" t="s">
        <v>117</v>
      </c>
    </row>
    <row r="20" spans="1:8" ht="44" customHeight="1">
      <c r="A20" s="25" t="s">
        <v>118</v>
      </c>
      <c r="B20" s="26" t="s">
        <v>119</v>
      </c>
      <c r="C20" s="26" t="s">
        <v>119</v>
      </c>
      <c r="D20" s="26" t="s">
        <v>119</v>
      </c>
      <c r="E20" s="26" t="s">
        <v>119</v>
      </c>
      <c r="F20" s="27" t="s">
        <v>120</v>
      </c>
      <c r="G20" s="27" t="s">
        <v>120</v>
      </c>
      <c r="H20" s="27" t="s">
        <v>120</v>
      </c>
    </row>
    <row r="21" spans="1:8" ht="44" customHeight="1">
      <c r="A21" s="25" t="s">
        <v>118</v>
      </c>
      <c r="B21" s="26" t="s">
        <v>119</v>
      </c>
      <c r="C21" s="26" t="s">
        <v>119</v>
      </c>
      <c r="D21" s="26" t="s">
        <v>119</v>
      </c>
      <c r="E21" s="26" t="s">
        <v>119</v>
      </c>
      <c r="F21" s="27" t="s">
        <v>120</v>
      </c>
      <c r="G21" s="27" t="s">
        <v>120</v>
      </c>
      <c r="H21" s="27" t="s">
        <v>120</v>
      </c>
    </row>
    <row r="22" spans="1:8" ht="44" customHeight="1">
      <c r="A22" s="25" t="s">
        <v>121</v>
      </c>
      <c r="B22" s="26" t="s">
        <v>122</v>
      </c>
      <c r="C22" s="26" t="s">
        <v>122</v>
      </c>
      <c r="D22" s="26" t="s">
        <v>122</v>
      </c>
      <c r="E22" s="26" t="s">
        <v>122</v>
      </c>
      <c r="F22" s="27" t="s">
        <v>123</v>
      </c>
      <c r="G22" s="27" t="s">
        <v>123</v>
      </c>
      <c r="H22" s="27" t="s">
        <v>123</v>
      </c>
    </row>
    <row r="23" spans="1:8" ht="44" customHeight="1">
      <c r="A23" s="25" t="s">
        <v>121</v>
      </c>
      <c r="B23" s="26" t="s">
        <v>122</v>
      </c>
      <c r="C23" s="26" t="s">
        <v>122</v>
      </c>
      <c r="D23" s="26" t="s">
        <v>122</v>
      </c>
      <c r="E23" s="26" t="s">
        <v>122</v>
      </c>
      <c r="F23" s="27" t="s">
        <v>123</v>
      </c>
      <c r="G23" s="27" t="s">
        <v>123</v>
      </c>
      <c r="H23" s="27" t="s">
        <v>123</v>
      </c>
    </row>
  </sheetData>
  <mergeCells count="12">
    <mergeCell ref="A1:H1"/>
    <mergeCell ref="A2:H2"/>
    <mergeCell ref="A4:H4"/>
    <mergeCell ref="A8:H8"/>
    <mergeCell ref="B19:E19"/>
    <mergeCell ref="F19:H19"/>
    <mergeCell ref="A20:A21"/>
    <mergeCell ref="B20:E21"/>
    <mergeCell ref="F20:H21"/>
    <mergeCell ref="A22:A23"/>
    <mergeCell ref="B22:E23"/>
    <mergeCell ref="F22:H23"/>
  </mergeCells>
  <dataValidations count="1">
    <dataValidation type="list" sqref="B19:E19" xr:uid="{00000000-0002-0000-0200-000000000000}">
      <formula1>"Payment stream,Cash offer"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5" topLeftCell="A6" activePane="bottomLeft" state="frozen"/>
      <selection pane="bottomLeft" sqref="A1:D1"/>
    </sheetView>
  </sheetViews>
  <sheetFormatPr baseColWidth="10" defaultColWidth="8.83203125" defaultRowHeight="14"/>
  <cols>
    <col min="1" max="1" width="25.5" customWidth="1"/>
    <col min="2" max="2" width="35.5" customWidth="1"/>
    <col min="3" max="3" width="54.5" customWidth="1"/>
    <col min="4" max="4" width="53.33203125" customWidth="1"/>
  </cols>
  <sheetData>
    <row r="1" spans="1:4" ht="34" customHeight="1">
      <c r="A1" s="28" t="s">
        <v>124</v>
      </c>
      <c r="B1" s="28" t="s">
        <v>124</v>
      </c>
      <c r="C1" s="28" t="s">
        <v>124</v>
      </c>
      <c r="D1" s="28" t="s">
        <v>124</v>
      </c>
    </row>
    <row r="2" spans="1:4" ht="36" customHeight="1">
      <c r="A2" s="29" t="s">
        <v>125</v>
      </c>
      <c r="B2" s="29" t="s">
        <v>125</v>
      </c>
      <c r="C2" s="29" t="s">
        <v>125</v>
      </c>
      <c r="D2" s="29" t="s">
        <v>125</v>
      </c>
    </row>
    <row r="3" spans="1:4" ht="34" customHeight="1"/>
    <row r="4" spans="1:4" ht="34" customHeight="1"/>
    <row r="5" spans="1:4" ht="34" customHeight="1">
      <c r="A5" s="2" t="s">
        <v>126</v>
      </c>
      <c r="B5" s="2" t="s">
        <v>127</v>
      </c>
      <c r="C5" s="2" t="s">
        <v>128</v>
      </c>
      <c r="D5" s="2" t="s">
        <v>129</v>
      </c>
    </row>
    <row r="6" spans="1:4" ht="52" customHeight="1">
      <c r="A6" s="1" t="s">
        <v>130</v>
      </c>
      <c r="B6" s="3" t="s">
        <v>131</v>
      </c>
      <c r="C6" s="1" t="s">
        <v>132</v>
      </c>
      <c r="D6" s="1" t="s">
        <v>133</v>
      </c>
    </row>
    <row r="7" spans="1:4" ht="52" customHeight="1">
      <c r="A7" s="1" t="s">
        <v>134</v>
      </c>
      <c r="B7" s="3" t="s">
        <v>135</v>
      </c>
      <c r="C7" s="1" t="s">
        <v>136</v>
      </c>
      <c r="D7" s="1" t="s">
        <v>137</v>
      </c>
    </row>
    <row r="8" spans="1:4" ht="52" customHeight="1">
      <c r="A8" s="1" t="s">
        <v>138</v>
      </c>
      <c r="B8" s="3" t="s">
        <v>139</v>
      </c>
      <c r="C8" s="1" t="s">
        <v>140</v>
      </c>
      <c r="D8" s="1" t="s">
        <v>141</v>
      </c>
    </row>
    <row r="9" spans="1:4" ht="52" customHeight="1">
      <c r="A9" s="1" t="s">
        <v>142</v>
      </c>
      <c r="B9" s="3" t="s">
        <v>143</v>
      </c>
      <c r="C9" s="1" t="s">
        <v>144</v>
      </c>
      <c r="D9" s="1" t="s">
        <v>145</v>
      </c>
    </row>
    <row r="10" spans="1:4" ht="52" customHeight="1">
      <c r="A10" s="1" t="s">
        <v>146</v>
      </c>
      <c r="B10" s="3" t="s">
        <v>147</v>
      </c>
      <c r="C10" s="1" t="s">
        <v>148</v>
      </c>
      <c r="D10" s="1" t="s">
        <v>149</v>
      </c>
    </row>
    <row r="11" spans="1:4" ht="52" customHeight="1">
      <c r="A11" s="1" t="s">
        <v>150</v>
      </c>
      <c r="B11" s="3" t="s">
        <v>151</v>
      </c>
      <c r="C11" s="1" t="s">
        <v>152</v>
      </c>
      <c r="D11" s="1" t="s">
        <v>153</v>
      </c>
    </row>
    <row r="12" spans="1:4" ht="52" customHeight="1">
      <c r="A12" s="1" t="s">
        <v>154</v>
      </c>
      <c r="B12" s="3" t="s">
        <v>155</v>
      </c>
      <c r="C12" s="1" t="s">
        <v>156</v>
      </c>
      <c r="D12" s="1" t="s">
        <v>157</v>
      </c>
    </row>
    <row r="13" spans="1:4" ht="52" customHeight="1">
      <c r="A13" s="1" t="s">
        <v>158</v>
      </c>
      <c r="B13" s="3" t="s">
        <v>159</v>
      </c>
      <c r="C13" s="1" t="s">
        <v>160</v>
      </c>
      <c r="D13" s="1" t="s">
        <v>161</v>
      </c>
    </row>
    <row r="14" spans="1:4" ht="52" customHeight="1">
      <c r="A14" s="1" t="s">
        <v>162</v>
      </c>
      <c r="B14" s="3" t="s">
        <v>163</v>
      </c>
      <c r="C14" s="1" t="s">
        <v>164</v>
      </c>
      <c r="D14" s="1" t="s">
        <v>165</v>
      </c>
    </row>
    <row r="15" spans="1:4" ht="52" customHeight="1">
      <c r="A15" s="1" t="s">
        <v>166</v>
      </c>
      <c r="B15" s="3" t="s">
        <v>167</v>
      </c>
      <c r="C15" s="1" t="s">
        <v>168</v>
      </c>
      <c r="D15" s="1" t="s">
        <v>169</v>
      </c>
    </row>
    <row r="16" spans="1:4" ht="52" customHeight="1">
      <c r="A16" s="1" t="s">
        <v>170</v>
      </c>
      <c r="B16" s="3" t="s">
        <v>171</v>
      </c>
      <c r="C16" s="1" t="s">
        <v>172</v>
      </c>
      <c r="D16" s="1" t="s">
        <v>173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Live You Try It</vt:lpstr>
      <vt:lpstr>Class 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2026-08-30T17:02:28Z</dcterms:modified>
</cp:coreProperties>
</file>