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3a7d0f61f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4a6c6bccd8a4a94"/>
    <x:sheet xmlns:r="http://schemas.openxmlformats.org/officeDocument/2006/relationships" name="Homework" sheetId="2" r:id="Rfb65c51613f34ec9"/>
    <x:sheet xmlns:r="http://schemas.openxmlformats.org/officeDocument/2006/relationships" name="Raw Data" sheetId="3" r:id="R0859c113030f471c"/>
    <x:sheet xmlns:r="http://schemas.openxmlformats.org/officeDocument/2006/relationships" name="Planner Directory" sheetId="4" r:id="Rdf7733dc5e7046e8"/>
    <x:sheet xmlns:r="http://schemas.openxmlformats.org/officeDocument/2006/relationships" name="Pivot Practice" sheetId="5" r:id="Rafe8e6181fb24e64"/>
    <x:sheet xmlns:r="http://schemas.openxmlformats.org/officeDocument/2006/relationships" name="Error Checking" sheetId="6" r:id="R969dfabbf513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#,##0"/>
    <x:numFmt numFmtId="202" formatCode="mm/dd/yy"/>
    <x:numFmt numFmtId="203" formatCode="0.0"/>
  </x:numFmts>
  <x:fonts count="4">
    <x:font>
      <x:sz val="11"/>
      <x:name val="Carlito"/>
    </x:font>
    <x:font>
      <x:sz val="11"/>
      <x:color rgb="FF1A1F2C"/>
      <x:name val="Arial"/>
    </x:font>
    <x:font>
      <x:b/>
      <x:sz val="15"/>
      <x:color rgb="FF35577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773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843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c9c127ec14d32" /><Relationship Type="http://schemas.openxmlformats.org/officeDocument/2006/relationships/theme" Target="/xl/theme/theme1.xml" Id="R49ef8b0dea7a41ca" /><Relationship Type="http://schemas.openxmlformats.org/officeDocument/2006/relationships/sharedStrings" Target="/xl/sharedStrings.xml" Id="Rd2960ba7319b4e0b" /><Relationship Type="http://schemas.openxmlformats.org/officeDocument/2006/relationships/worksheet" Target="/xl/worksheets/sheet1.xml" Id="Rb4a6c6bccd8a4a94" /><Relationship Type="http://schemas.openxmlformats.org/officeDocument/2006/relationships/worksheet" Target="/xl/worksheets/sheet2.xml" Id="Rfb65c51613f34ec9" /><Relationship Type="http://schemas.openxmlformats.org/officeDocument/2006/relationships/worksheet" Target="/xl/worksheets/sheet3.xml" Id="R0859c113030f471c" /><Relationship Type="http://schemas.openxmlformats.org/officeDocument/2006/relationships/worksheet" Target="/xl/worksheets/sheet4.xml" Id="Rdf7733dc5e7046e8" /><Relationship Type="http://schemas.openxmlformats.org/officeDocument/2006/relationships/worksheet" Target="/xl/worksheets/sheet5.xml" Id="Rafe8e6181fb24e64" /><Relationship Type="http://schemas.openxmlformats.org/officeDocument/2006/relationships/worksheet" Target="/xl/worksheets/sheet6.xml" Id="R969dfabbf513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8" customHeight="1">
      <x:c r="A1" s="4" t="str">
        <x:v>BUS123 Excel M03 — Homework</x:v>
      </x:c>
      <x:c r="B1" s="3"/>
      <x:c r="C1" s="3"/>
      <x:c r="D1" s="3"/>
      <x:c r="E1" s="3"/>
      <x:c r="F1" s="3"/>
    </x:row>
    <x:row r="2" ht="30" customHeight="1">
      <x:c r="A2" s="2"/>
      <x:c r="B2" s="2"/>
      <x:c r="C2" s="2"/>
      <x:c r="D2" s="2"/>
      <x:c r="E2" s="2"/>
      <x:c r="F2" s="2"/>
    </x:row>
    <x:row r="3" ht="38" customHeight="1">
      <x:c r="A3" s="3" t="str">
        <x:v>Use the supplied business data to practice only the functions and tools introduced in class.</x:v>
      </x:c>
      <x:c r="B3" s="3"/>
      <x:c r="C3" s="3"/>
      <x:c r="D3" s="3"/>
      <x:c r="E3" s="3"/>
      <x:c r="F3" s="3"/>
    </x:row>
    <x:row r="4" ht="30" customHeight="1">
      <x:c r="A4" s="2"/>
      <x:c r="B4" s="2"/>
      <x:c r="C4" s="2"/>
      <x:c r="D4" s="2"/>
      <x:c r="E4" s="2"/>
      <x:c r="F4" s="2"/>
    </x:row>
    <x:row r="5" ht="38" customHeight="1">
      <x:c r="A5" s="3" t="str">
        <x:v>1. Create the five named ranges listed on Homework before using the conditional formulas.</x:v>
      </x:c>
      <x:c r="B5" s="3"/>
      <x:c r="C5" s="3"/>
      <x:c r="D5" s="3"/>
      <x:c r="E5" s="3"/>
      <x:c r="F5" s="3"/>
    </x:row>
    <x:row r="6" ht="38" customHeight="1">
      <x:c r="A6" s="3" t="str">
        <x:v>2. Complete the yellow response cells on Homework. Use formulas, not typed answers.</x:v>
      </x:c>
      <x:c r="B6" s="3"/>
      <x:c r="C6" s="3"/>
      <x:c r="D6" s="3"/>
      <x:c r="E6" s="3"/>
      <x:c r="F6" s="3"/>
    </x:row>
    <x:row r="7" ht="38" customHeight="1">
      <x:c r="A7" s="3" t="str">
        <x:v>3. Apply Input style to Homework!F3:F6, Calculation to C4:C15 answer cells, and Output to C16.</x:v>
      </x:c>
      <x:c r="B7" s="3"/>
      <x:c r="C7" s="3"/>
      <x:c r="D7" s="3"/>
      <x:c r="E7" s="3"/>
      <x:c r="F7" s="3"/>
    </x:row>
    <x:row r="8" ht="38" customHeight="1">
      <x:c r="A8" s="3" t="str">
        <x:v>4. Build the two PivotTables on Pivot Practice in the marked areas.</x:v>
      </x:c>
      <x:c r="B8" s="3"/>
      <x:c r="C8" s="3"/>
      <x:c r="D8" s="3"/>
      <x:c r="E8" s="3"/>
      <x:c r="F8" s="3"/>
    </x:row>
    <x:row r="9" ht="38" customHeight="1">
      <x:c r="A9" s="3" t="str">
        <x:v>5. On Error Checking, record the wrong formula and its effects first. Repair it only after completing the inspection steps.</x:v>
      </x:c>
      <x:c r="B9" s="3"/>
      <x:c r="C9" s="3"/>
      <x:c r="D9" s="3"/>
      <x:c r="E9" s="3"/>
      <x:c r="F9" s="3"/>
    </x:row>
    <x:row r="10" ht="38" customHeight="1">
      <x:c r="A10" s="3" t="str">
        <x:v>6. Write a short recommendation using your results and one data limitation.</x:v>
      </x:c>
      <x:c r="B10" s="3"/>
      <x:c r="C10" s="3"/>
      <x:c r="D10" s="3"/>
      <x:c r="E10" s="3"/>
      <x:c r="F10" s="3"/>
    </x:row>
    <x:row r="11" ht="54" customHeight="1">
      <x:c r="A11" s="3" t="str">
        <x:v>Cross-sheet references: start a formula, click Raw Data or Planner Directory, select the needed range, then finish the formula and press Enter. Excel inserts the sheet name automatically.</x:v>
      </x:c>
      <x:c r="B11" s="3"/>
      <x:c r="C11" s="3"/>
      <x:c r="D11" s="3"/>
      <x:c r="E11" s="3"/>
      <x:c r="F11" s="3"/>
    </x:row>
    <x:row r="12" ht="38" customHeight="1">
      <x:c r="A12" s="3" t="str">
        <x:v>Source: hypothetical Anchor &amp; Oak Events bookings and planner directory supplied with this course.</x:v>
      </x:c>
      <x:c r="B12" s="3"/>
      <x:c r="C12" s="3"/>
      <x:c r="D12" s="3"/>
      <x:c r="E12" s="3"/>
      <x:c r="F12" s="3"/>
    </x:row>
    <x:row r="13" ht="30" customHeight="1">
      <x:c r="A13" s="2"/>
      <x:c r="B13" s="2"/>
      <x:c r="C13" s="2"/>
      <x:c r="D13" s="2"/>
      <x:c r="E13" s="2"/>
      <x:c r="F13" s="2"/>
    </x:row>
    <x:row r="14" ht="38" customHeight="1">
      <x:c r="A14" s="3" t="str">
        <x:v>Keep Raw Data and Planner Directory unchanged. Satisfaction blanks are intentional.</x:v>
      </x:c>
      <x:c r="B14" s="3"/>
      <x:c r="C14" s="3"/>
      <x:c r="D14" s="3"/>
      <x:c r="E14" s="3"/>
      <x:c r="F14" s="3"/>
    </x:row>
    <x:row r="15" ht="38" customHeight="1">
      <x:c r="A15" s="3" t="str">
        <x:v>Save a copy with your name and submit the completed workbook as directed in Canvas.</x:v>
      </x:c>
      <x:c r="B15" s="3"/>
      <x:c r="C15" s="3"/>
      <x:c r="D15" s="3"/>
      <x:c r="E15" s="3"/>
      <x:c r="F15" s="3"/>
    </x:row>
    <x:row r="16" ht="30" customHeight="1">
      <x:c r="A16" s="2"/>
      <x:c r="B16" s="2"/>
      <x:c r="C16" s="2"/>
      <x:c r="D16" s="2"/>
      <x:c r="E16" s="2"/>
      <x:c r="F16" s="2"/>
    </x:row>
    <x:row r="17" ht="42" customHeight="1">
      <x:c r="A17" s="3" t="str">
        <x:v>Only assigned Excel functions: COUNT, COUNTA, COUNTBLANK, COUNTIF, COUNTIFS, SUMIF, SUMIFS, XLOOKUP.</x:v>
      </x:c>
      <x:c r="B17" s="3"/>
      <x:c r="C17" s="3"/>
      <x:c r="D17" s="3"/>
      <x:c r="E17" s="3"/>
      <x:c r="F17" s="3"/>
    </x:row>
    <x:row r="18" ht="30" customHeight="1">
      <x:c r="A18" s="2"/>
      <x:c r="B18" s="2"/>
      <x:c r="C18" s="2"/>
      <x:c r="D18" s="2"/>
      <x:c r="E18" s="2"/>
      <x:c r="F18" s="2"/>
    </x:row>
  </x:sheetData>
  <x:mergeCells>
    <x:mergeCell ref="A1:F1"/>
    <x:mergeCell ref="A3:F3"/>
    <x:mergeCell ref="A5:F5"/>
    <x:mergeCell ref="A6:F6"/>
    <x:mergeCell ref="A7:F7"/>
    <x:mergeCell ref="A8:F8"/>
    <x:mergeCell ref="A9:F9"/>
    <x:mergeCell ref="A10:F10"/>
    <x:mergeCell ref="A12:F12"/>
    <x:mergeCell ref="A14:F14"/>
    <x:mergeCell ref="A15:F15"/>
    <x:mergeCell ref="A17:F17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65" hidden="0" customWidth="1"/>
    <x:col min="3" max="3" width="23" hidden="0" customWidth="1"/>
    <x:col min="4" max="4" width="3" hidden="0" customWidth="1"/>
    <x:col min="5" max="5" width="20" hidden="0" customWidth="1"/>
    <x:col min="6" max="6" width="22" hidden="0" customWidth="1"/>
  </x:cols>
  <x:sheetData>
    <x:row r="1" ht="30" customHeight="1">
      <x:c r="A1" s="5" t="str">
        <x:v>Anchor &amp; Oak Events — Homework</x:v>
      </x:c>
      <x:c r="B1" s="2"/>
      <x:c r="C1" s="2"/>
      <x:c r="D1" s="2"/>
      <x:c r="E1" s="2"/>
      <x:c r="F1" s="2"/>
    </x:row>
    <x:row r="2" ht="30" customHeight="1">
      <x:c r="A2" s="2"/>
      <x:c r="B2" s="2"/>
      <x:c r="C2" s="2"/>
      <x:c r="D2" s="2"/>
      <x:c r="E2" s="2"/>
      <x:c r="F2" s="2"/>
    </x:row>
    <x:row r="3" ht="42" customHeight="1">
      <x:c r="A3" s="8" t="str">
        <x:v>Function</x:v>
      </x:c>
      <x:c r="B3" s="8" t="str">
        <x:v>Business question</x:v>
      </x:c>
      <x:c r="C3" s="8" t="str">
        <x:v>Your formula / result</x:v>
      </x:c>
      <x:c r="D3" s="2"/>
      <x:c r="E3" s="2" t="str">
        <x:v>Region</x:v>
      </x:c>
      <x:c r="F3" s="11" t="str">
        <x:v>North</x:v>
      </x:c>
    </x:row>
    <x:row r="4" ht="44" customHeight="1">
      <x:c r="A4" s="2" t="str">
        <x:v>COUNT</x:v>
      </x:c>
      <x:c r="B4" s="3" t="str">
        <x:v>How many bookings have numeric Revenue values?</x:v>
      </x:c>
      <x:c r="C4" s="12"/>
      <x:c r="D4" s="2"/>
      <x:c r="E4" s="2" t="str">
        <x:v>Event Type</x:v>
      </x:c>
      <x:c r="F4" s="11" t="str">
        <x:v>Wedding</x:v>
      </x:c>
    </x:row>
    <x:row r="5" ht="44" customHeight="1">
      <x:c r="A5" s="2" t="str">
        <x:v>COUNTA</x:v>
      </x:c>
      <x:c r="B5" s="3" t="str">
        <x:v>How many Booking IDs are recorded?</x:v>
      </x:c>
      <x:c r="C5" s="12"/>
      <x:c r="D5" s="2"/>
      <x:c r="E5" s="2" t="str">
        <x:v>Status</x:v>
      </x:c>
      <x:c r="F5" s="11" t="str">
        <x:v>Completed</x:v>
      </x:c>
    </x:row>
    <x:row r="6" ht="44" customHeight="1">
      <x:c r="A6" s="2" t="str">
        <x:v>COUNTBLANK</x:v>
      </x:c>
      <x:c r="B6" s="3" t="str">
        <x:v>How many bookings are missing Satisfaction?</x:v>
      </x:c>
      <x:c r="C6" s="12"/>
      <x:c r="D6" s="2"/>
      <x:c r="E6" s="2" t="str">
        <x:v>Planner ID</x:v>
      </x:c>
      <x:c r="F6" s="11" t="str">
        <x:v>P104</x:v>
      </x:c>
    </x:row>
    <x:row r="7" ht="44" customHeight="1">
      <x:c r="A7" s="2" t="str">
        <x:v>COUNTIF</x:v>
      </x:c>
      <x:c r="B7" s="3" t="str">
        <x:v>How many bookings are in the selected Region (F3)?</x:v>
      </x:c>
      <x:c r="C7" s="12"/>
      <x:c r="D7" s="2"/>
      <x:c r="E7" s="2"/>
      <x:c r="F7" s="2"/>
    </x:row>
    <x:row r="8" ht="44" customHeight="1">
      <x:c r="A8" s="2" t="str">
        <x:v>COUNTIFS</x:v>
      </x:c>
      <x:c r="B8" s="3" t="str">
        <x:v>How many bookings match Region (F3) and Status (F5)?</x:v>
      </x:c>
      <x:c r="C8" s="12"/>
      <x:c r="D8" s="2"/>
      <x:c r="E8" s="2"/>
      <x:c r="F8" s="2"/>
    </x:row>
    <x:row r="9" ht="30" customHeight="1">
      <x:c r="A9" s="2"/>
      <x:c r="B9" s="2"/>
      <x:c r="C9" s="2"/>
      <x:c r="D9" s="2"/>
      <x:c r="E9" s="5" t="str">
        <x:v>Create named ranges</x:v>
      </x:c>
      <x:c r="F9" s="2"/>
    </x:row>
    <x:row r="10" ht="44" customHeight="1">
      <x:c r="A10" s="2" t="str">
        <x:v>SUMIF</x:v>
      </x:c>
      <x:c r="B10" s="3" t="str">
        <x:v>Total Revenue for all bookings in Region (F3), regardless of status.</x:v>
      </x:c>
      <x:c r="C10" s="13"/>
      <x:c r="D10" s="2"/>
      <x:c r="E10" s="14" t="str">
        <x:v>Formulas → Name Manager → New. For each Name, set Scope to Workbook and enter the matching Refers to value:
BookingRegion
='Raw Data'!$D$2:$D$73
BookingStatus
='Raw Data'!$F$2:$F$73
BookingRevenue
='Raw Data'!$H$2:$H$73
BookingType
='Raw Data'!$C$2:$C$73
BookingCost
='Raw Data'!$I$2:$I$73</x:v>
      </x:c>
      <x:c r="F10" s="14"/>
    </x:row>
    <x:row r="11" ht="44" customHeight="1">
      <x:c r="A11" s="2" t="str">
        <x:v>SUMIFS</x:v>
      </x:c>
      <x:c r="B11" s="3" t="str">
        <x:v>Total Revenue matching Region (F3), Event Type (F4), and Status (F5).</x:v>
      </x:c>
      <x:c r="C11" s="13"/>
      <x:c r="D11" s="2"/>
      <x:c r="E11" s="14"/>
      <x:c r="F11" s="14"/>
    </x:row>
    <x:row r="12" ht="44" customHeight="1">
      <x:c r="A12" s="2" t="str">
        <x:v>SUMIFS</x:v>
      </x:c>
      <x:c r="B12" s="3" t="str">
        <x:v>Total Direct Cost for the same three criteria as C11.</x:v>
      </x:c>
      <x:c r="C12" s="13"/>
      <x:c r="D12" s="2"/>
      <x:c r="E12" s="14"/>
      <x:c r="F12" s="14"/>
    </x:row>
    <x:row r="13" ht="30" customHeight="1">
      <x:c r="A13" s="2"/>
      <x:c r="B13" s="2"/>
      <x:c r="C13" s="2"/>
      <x:c r="D13" s="2"/>
      <x:c r="E13" s="14"/>
      <x:c r="F13" s="14"/>
    </x:row>
    <x:row r="14" ht="44" customHeight="1">
      <x:c r="A14" s="2" t="str">
        <x:v>XLOOKUP</x:v>
      </x:c>
      <x:c r="B14" s="3" t="str">
        <x:v>Find the Planner Name for Planner ID (F6).</x:v>
      </x:c>
      <x:c r="C14" s="11"/>
      <x:c r="D14" s="2"/>
      <x:c r="E14" s="14"/>
      <x:c r="F14" s="14"/>
    </x:row>
    <x:row r="15" ht="44" customHeight="1">
      <x:c r="A15" s="2" t="str">
        <x:v>XLOOKUP</x:v>
      </x:c>
      <x:c r="B15" s="3" t="str">
        <x:v>Find the Home Region for Planner ID (F6).</x:v>
      </x:c>
      <x:c r="C15" s="11"/>
      <x:c r="D15" s="2"/>
      <x:c r="E15" s="14"/>
      <x:c r="F15" s="14"/>
    </x:row>
    <x:row r="16" ht="44" customHeight="1">
      <x:c r="A16" s="2" t="str">
        <x:v>XLOOKUP</x:v>
      </x:c>
      <x:c r="B16" s="3" t="str">
        <x:v>Find the Monthly Capacity for Planner ID (F6).</x:v>
      </x:c>
      <x:c r="C16" s="12"/>
      <x:c r="D16" s="2"/>
      <x:c r="E16" s="14"/>
      <x:c r="F16" s="14"/>
    </x:row>
    <x:row r="17" ht="30" customHeight="1">
      <x:c r="A17" s="2"/>
      <x:c r="B17" s="2"/>
      <x:c r="C17" s="2"/>
      <x:c r="D17" s="2"/>
      <x:c r="E17" s="14"/>
      <x:c r="F17" s="14"/>
    </x:row>
    <x:row r="18" ht="30" customHeight="1">
      <x:c r="A18" s="2"/>
      <x:c r="B18" s="2"/>
      <x:c r="C18" s="2"/>
      <x:c r="D18" s="2"/>
      <x:c r="E18" s="2"/>
      <x:c r="F18" s="2"/>
    </x:row>
    <x:row r="19" ht="30" customHeight="1">
      <x:c r="A19" s="2"/>
      <x:c r="B19" s="2"/>
      <x:c r="C19" s="2"/>
      <x:c r="D19" s="2"/>
      <x:c r="E19" s="2"/>
      <x:c r="F19" s="2"/>
    </x:row>
    <x:row r="20" ht="30" customHeight="1">
      <x:c r="A20" s="5" t="str">
        <x:v>Business recommendation</x:v>
      </x:c>
      <x:c r="B20" s="2"/>
      <x:c r="C20" s="2"/>
      <x:c r="D20" s="2"/>
      <x:c r="E20" s="2"/>
      <x:c r="F20" s="2"/>
    </x:row>
    <x:row r="21" ht="30" customHeight="1">
      <x:c r="A21" s="3" t="str">
        <x:v>Recommend one action using at least two of your results. Explain one limitation: incomplete Satisfaction, differences in status, or why historical bookings alone do not prove future monthly workload.</x:v>
      </x:c>
      <x:c r="B21" s="3"/>
      <x:c r="C21" s="3"/>
      <x:c r="D21" s="3"/>
      <x:c r="E21" s="3"/>
      <x:c r="F21" s="3"/>
    </x:row>
    <x:row r="22" ht="30" customHeight="1">
      <x:c r="A22" s="3"/>
      <x:c r="B22" s="3"/>
      <x:c r="C22" s="3"/>
      <x:c r="D22" s="3"/>
      <x:c r="E22" s="3"/>
      <x:c r="F22" s="3"/>
    </x:row>
    <x:row r="23" ht="30" customHeight="1">
      <x:c r="A23" s="3" t="str">
        <x:v>Your recommendation</x:v>
      </x:c>
      <x:c r="B23" s="10"/>
      <x:c r="C23" s="10"/>
      <x:c r="D23" s="10"/>
      <x:c r="E23" s="10"/>
      <x:c r="F23" s="10"/>
    </x:row>
    <x:row r="24" ht="30" customHeight="1">
      <x:c r="A24" s="2"/>
      <x:c r="B24" s="10"/>
      <x:c r="C24" s="10"/>
      <x:c r="D24" s="10"/>
      <x:c r="E24" s="10"/>
      <x:c r="F24" s="10"/>
    </x:row>
    <x:row r="25" ht="30" customHeight="1">
      <x:c r="A25" s="2"/>
      <x:c r="B25" s="11"/>
      <x:c r="C25" s="11"/>
      <x:c r="D25" s="11"/>
      <x:c r="E25" s="11"/>
      <x:c r="F25" s="11"/>
    </x:row>
    <x:row r="26" ht="30" customHeight="1">
      <x:c r="A26" s="2"/>
      <x:c r="B26" s="2"/>
      <x:c r="C26" s="2"/>
      <x:c r="D26" s="2"/>
      <x:c r="E26" s="2"/>
      <x:c r="F26" s="2"/>
    </x:row>
    <x:row r="27" ht="30" customHeight="1">
      <x:c r="A27" s="2"/>
      <x:c r="B27" s="2"/>
      <x:c r="C27" s="2"/>
      <x:c r="D27" s="2"/>
      <x:c r="E27" s="2"/>
      <x:c r="F27" s="2"/>
    </x:row>
    <x:row r="28" ht="30" customHeight="1">
      <x:c r="A28" s="2"/>
      <x:c r="B28" s="2"/>
      <x:c r="C28" s="2"/>
      <x:c r="D28" s="2"/>
      <x:c r="E28" s="2"/>
      <x:c r="F28" s="2"/>
    </x:row>
    <x:row r="29" ht="30" customHeight="1">
      <x:c r="A29" s="2"/>
      <x:c r="B29" s="2"/>
      <x:c r="C29" s="2"/>
      <x:c r="D29" s="2"/>
      <x:c r="E29" s="2"/>
      <x:c r="F29" s="2"/>
    </x:row>
    <x:row r="30" ht="30" customHeight="1">
      <x:c r="A30" s="2"/>
      <x:c r="B30" s="2"/>
      <x:c r="C30" s="2"/>
      <x:c r="D30" s="2"/>
      <x:c r="E30" s="2"/>
      <x:c r="F30" s="2"/>
    </x:row>
    <x:row r="31" ht="30" customHeight="1">
      <x:c r="A31" s="2"/>
      <x:c r="B31" s="2"/>
      <x:c r="C31" s="2"/>
      <x:c r="D31" s="2"/>
      <x:c r="E31" s="2"/>
      <x:c r="F31" s="2"/>
    </x:row>
    <x:row r="32" ht="30" customHeight="1">
      <x:c r="A32" s="2"/>
      <x:c r="B32" s="2"/>
      <x:c r="C32" s="2"/>
      <x:c r="D32" s="2"/>
      <x:c r="E32" s="2"/>
      <x:c r="F32" s="2"/>
    </x:row>
  </x:sheetData>
  <x:mergeCells>
    <x:mergeCell ref="E10:F17"/>
    <x:mergeCell ref="A21:F22"/>
    <x:mergeCell ref="B23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</x:cols>
  <x:sheetData>
    <x:row r="1" ht="30" customHeight="1">
      <x:c r="A1" s="7" t="str">
        <x:v>Booking ID</x:v>
      </x:c>
      <x:c r="B1" s="7" t="str">
        <x:v>Event Date</x:v>
      </x:c>
      <x:c r="C1" s="7" t="str">
        <x:v>Event Type</x:v>
      </x:c>
      <x:c r="D1" s="7" t="str">
        <x:v>Region</x:v>
      </x:c>
      <x:c r="E1" s="7" t="str">
        <x:v>Planner ID</x:v>
      </x:c>
      <x:c r="F1" s="7" t="str">
        <x:v>Status</x:v>
      </x:c>
      <x:c r="G1" s="7" t="str">
        <x:v>Guests</x:v>
      </x:c>
      <x:c r="H1" s="7" t="str">
        <x:v>Revenue</x:v>
      </x:c>
      <x:c r="I1" s="7" t="str">
        <x:v>Direct Cost</x:v>
      </x:c>
      <x:c r="J1" s="7" t="str">
        <x:v>Satisfaction</x:v>
      </x:c>
    </x:row>
    <x:row r="2" ht="30" customHeight="1">
      <x:c r="A2" s="2" t="str">
        <x:v>AO-26001</x:v>
      </x:c>
      <x:c r="B2" s="15" t="d">
        <x:v>2026-01-10T00:00:00.000Z</x:v>
      </x:c>
      <x:c r="C2" s="2" t="str">
        <x:v>Wedding</x:v>
      </x:c>
      <x:c r="D2" s="2" t="str">
        <x:v>North</x:v>
      </x:c>
      <x:c r="E2" s="2" t="str">
        <x:v>P101</x:v>
      </x:c>
      <x:c r="F2" s="2" t="str">
        <x:v>Cancelled</x:v>
      </x:c>
      <x:c r="G2" s="2" t="n">
        <x:v>90</x:v>
      </x:c>
      <x:c r="H2" s="16" t="n">
        <x:v>31050</x:v>
      </x:c>
      <x:c r="I2" s="16" t="n">
        <x:v>16150</x:v>
      </x:c>
      <x:c r="J2" s="17"/>
    </x:row>
    <x:row r="3" ht="30" customHeight="1">
      <x:c r="A3" s="2" t="str">
        <x:v>AO-26002</x:v>
      </x:c>
      <x:c r="B3" s="15" t="d">
        <x:v>2026-01-15T00:00:00.000Z</x:v>
      </x:c>
      <x:c r="C3" s="2" t="str">
        <x:v>Wedding</x:v>
      </x:c>
      <x:c r="D3" s="2" t="str">
        <x:v>South</x:v>
      </x:c>
      <x:c r="E3" s="2" t="str">
        <x:v>P104</x:v>
      </x:c>
      <x:c r="F3" s="2" t="str">
        <x:v>Completed</x:v>
      </x:c>
      <x:c r="G3" s="2" t="n">
        <x:v>107</x:v>
      </x:c>
      <x:c r="H3" s="16" t="n">
        <x:v>34350</x:v>
      </x:c>
      <x:c r="I3" s="16" t="n">
        <x:v>19050</x:v>
      </x:c>
      <x:c r="J3" s="17" t="n">
        <x:v>4.1</x:v>
      </x:c>
    </x:row>
    <x:row r="4" ht="30" customHeight="1">
      <x:c r="A4" s="2" t="str">
        <x:v>AO-26003</x:v>
      </x:c>
      <x:c r="B4" s="15" t="d">
        <x:v>2026-01-20T00:00:00.000Z</x:v>
      </x:c>
      <x:c r="C4" s="2" t="str">
        <x:v>Wedding</x:v>
      </x:c>
      <x:c r="D4" s="2" t="str">
        <x:v>East</x:v>
      </x:c>
      <x:c r="E4" s="2" t="str">
        <x:v>P105</x:v>
      </x:c>
      <x:c r="F4" s="2" t="str">
        <x:v>Completed</x:v>
      </x:c>
      <x:c r="G4" s="2" t="n">
        <x:v>124</x:v>
      </x:c>
      <x:c r="H4" s="16" t="n">
        <x:v>37700</x:v>
      </x:c>
      <x:c r="I4" s="16" t="n">
        <x:v>22250</x:v>
      </x:c>
      <x:c r="J4" s="17" t="n">
        <x:v>4.2</x:v>
      </x:c>
    </x:row>
    <x:row r="5" ht="30" customHeight="1">
      <x:c r="A5" s="2" t="str">
        <x:v>AO-26004</x:v>
      </x:c>
      <x:c r="B5" s="15" t="d">
        <x:v>2026-01-25T00:00:00.000Z</x:v>
      </x:c>
      <x:c r="C5" s="2" t="str">
        <x:v>Wedding</x:v>
      </x:c>
      <x:c r="D5" s="2" t="str">
        <x:v>West</x:v>
      </x:c>
      <x:c r="E5" s="2" t="str">
        <x:v>P108</x:v>
      </x:c>
      <x:c r="F5" s="2" t="str">
        <x:v>Completed</x:v>
      </x:c>
      <x:c r="G5" s="2" t="n">
        <x:v>141</x:v>
      </x:c>
      <x:c r="H5" s="16" t="n">
        <x:v>41000</x:v>
      </x:c>
      <x:c r="I5" s="16" t="n">
        <x:v>25650</x:v>
      </x:c>
      <x:c r="J5" s="17" t="n">
        <x:v>4.4</x:v>
      </x:c>
    </x:row>
    <x:row r="6" ht="30" customHeight="1">
      <x:c r="A6" s="2" t="str">
        <x:v>AO-26005</x:v>
      </x:c>
      <x:c r="B6" s="15" t="d">
        <x:v>2026-01-30T00:00:00.000Z</x:v>
      </x:c>
      <x:c r="C6" s="2" t="str">
        <x:v>Corporate</x:v>
      </x:c>
      <x:c r="D6" s="2" t="str">
        <x:v>North</x:v>
      </x:c>
      <x:c r="E6" s="2" t="str">
        <x:v>P102</x:v>
      </x:c>
      <x:c r="F6" s="2" t="str">
        <x:v>Completed</x:v>
      </x:c>
      <x:c r="G6" s="2" t="n">
        <x:v>123</x:v>
      </x:c>
      <x:c r="H6" s="16" t="n">
        <x:v>27650</x:v>
      </x:c>
      <x:c r="I6" s="16" t="n">
        <x:v>14400</x:v>
      </x:c>
      <x:c r="J6" s="17" t="n">
        <x:v>4.5</x:v>
      </x:c>
    </x:row>
    <x:row r="7" ht="30" customHeight="1">
      <x:c r="A7" s="2" t="str">
        <x:v>AO-26006</x:v>
      </x:c>
      <x:c r="B7" s="15" t="d">
        <x:v>2026-02-04T00:00:00.000Z</x:v>
      </x:c>
      <x:c r="C7" s="2" t="str">
        <x:v>Corporate</x:v>
      </x:c>
      <x:c r="D7" s="2" t="str">
        <x:v>South</x:v>
      </x:c>
      <x:c r="E7" s="2" t="str">
        <x:v>P103</x:v>
      </x:c>
      <x:c r="F7" s="2" t="str">
        <x:v>Completed</x:v>
      </x:c>
      <x:c r="G7" s="2" t="n">
        <x:v>140</x:v>
      </x:c>
      <x:c r="H7" s="16" t="n">
        <x:v>26300</x:v>
      </x:c>
      <x:c r="I7" s="16" t="n">
        <x:v>14600</x:v>
      </x:c>
      <x:c r="J7" s="17" t="n">
        <x:v>4.7</x:v>
      </x:c>
    </x:row>
    <x:row r="8" ht="30" customHeight="1">
      <x:c r="A8" s="2" t="str">
        <x:v>AO-26007</x:v>
      </x:c>
      <x:c r="B8" s="15" t="d">
        <x:v>2026-02-09T00:00:00.000Z</x:v>
      </x:c>
      <x:c r="C8" s="2" t="str">
        <x:v>Corporate</x:v>
      </x:c>
      <x:c r="D8" s="2" t="str">
        <x:v>East</x:v>
      </x:c>
      <x:c r="E8" s="2" t="str">
        <x:v>P106</x:v>
      </x:c>
      <x:c r="F8" s="2" t="str">
        <x:v>Booked</x:v>
      </x:c>
      <x:c r="G8" s="2" t="n">
        <x:v>62</x:v>
      </x:c>
      <x:c r="H8" s="16" t="n">
        <x:v>17800</x:v>
      </x:c>
      <x:c r="I8" s="16" t="n">
        <x:v>10500</x:v>
      </x:c>
      <x:c r="J8" s="17"/>
    </x:row>
    <x:row r="9" ht="30" customHeight="1">
      <x:c r="A9" s="2" t="str">
        <x:v>AO-26008</x:v>
      </x:c>
      <x:c r="B9" s="15" t="d">
        <x:v>2026-02-14T00:00:00.000Z</x:v>
      </x:c>
      <x:c r="C9" s="2" t="str">
        <x:v>Corporate</x:v>
      </x:c>
      <x:c r="D9" s="2" t="str">
        <x:v>West</x:v>
      </x:c>
      <x:c r="E9" s="2" t="str">
        <x:v>P107</x:v>
      </x:c>
      <x:c r="F9" s="2" t="str">
        <x:v>Completed</x:v>
      </x:c>
      <x:c r="G9" s="2" t="n">
        <x:v>79</x:v>
      </x:c>
      <x:c r="H9" s="16" t="n">
        <x:v>20700</x:v>
      </x:c>
      <x:c r="I9" s="16" t="n">
        <x:v>12950</x:v>
      </x:c>
      <x:c r="J9" s="17" t="n">
        <x:v>3.9</x:v>
      </x:c>
    </x:row>
    <x:row r="10" ht="30" customHeight="1">
      <x:c r="A10" s="2" t="str">
        <x:v>AO-26009</x:v>
      </x:c>
      <x:c r="B10" s="15" t="d">
        <x:v>2026-02-19T00:00:00.000Z</x:v>
      </x:c>
      <x:c r="C10" s="2" t="str">
        <x:v>Nonprofit Gala</x:v>
      </x:c>
      <x:c r="D10" s="2" t="str">
        <x:v>North</x:v>
      </x:c>
      <x:c r="E10" s="2" t="str">
        <x:v>P101</x:v>
      </x:c>
      <x:c r="F10" s="2" t="str">
        <x:v>Completed</x:v>
      </x:c>
      <x:c r="G10" s="2" t="n">
        <x:v>161</x:v>
      </x:c>
      <x:c r="H10" s="16" t="n">
        <x:v>32850</x:v>
      </x:c>
      <x:c r="I10" s="16" t="n">
        <x:v>17100</x:v>
      </x:c>
      <x:c r="J10" s="17" t="n">
        <x:v>4.1</x:v>
      </x:c>
    </x:row>
    <x:row r="11" ht="30" customHeight="1">
      <x:c r="A11" s="2" t="str">
        <x:v>AO-26010</x:v>
      </x:c>
      <x:c r="B11" s="15" t="d">
        <x:v>2026-02-24T00:00:00.000Z</x:v>
      </x:c>
      <x:c r="C11" s="2" t="str">
        <x:v>Nonprofit Gala</x:v>
      </x:c>
      <x:c r="D11" s="2" t="str">
        <x:v>South</x:v>
      </x:c>
      <x:c r="E11" s="2" t="str">
        <x:v>P104</x:v>
      </x:c>
      <x:c r="F11" s="2" t="str">
        <x:v>Completed</x:v>
      </x:c>
      <x:c r="G11" s="2" t="n">
        <x:v>178</x:v>
      </x:c>
      <x:c r="H11" s="16" t="n">
        <x:v>35300</x:v>
      </x:c>
      <x:c r="I11" s="16" t="n">
        <x:v>19600</x:v>
      </x:c>
      <x:c r="J11" s="17" t="n">
        <x:v>4.2</x:v>
      </x:c>
    </x:row>
    <x:row r="12" ht="30" customHeight="1">
      <x:c r="A12" s="2" t="str">
        <x:v>AO-26011</x:v>
      </x:c>
      <x:c r="B12" s="15" t="d">
        <x:v>2026-03-01T00:00:00.000Z</x:v>
      </x:c>
      <x:c r="C12" s="2" t="str">
        <x:v>Nonprofit Gala</x:v>
      </x:c>
      <x:c r="D12" s="2" t="str">
        <x:v>East</x:v>
      </x:c>
      <x:c r="E12" s="2" t="str">
        <x:v>P105</x:v>
      </x:c>
      <x:c r="F12" s="2" t="str">
        <x:v>Cancelled</x:v>
      </x:c>
      <x:c r="G12" s="2" t="n">
        <x:v>195</x:v>
      </x:c>
      <x:c r="H12" s="16" t="n">
        <x:v>33550</x:v>
      </x:c>
      <x:c r="I12" s="16" t="n">
        <x:v>19800</x:v>
      </x:c>
      <x:c r="J12" s="17"/>
    </x:row>
    <x:row r="13" ht="30" customHeight="1">
      <x:c r="A13" s="2" t="str">
        <x:v>AO-26012</x:v>
      </x:c>
      <x:c r="B13" s="15" t="d">
        <x:v>2026-03-06T00:00:00.000Z</x:v>
      </x:c>
      <x:c r="C13" s="2" t="str">
        <x:v>Nonprofit Gala</x:v>
      </x:c>
      <x:c r="D13" s="2" t="str">
        <x:v>West</x:v>
      </x:c>
      <x:c r="E13" s="2" t="str">
        <x:v>P108</x:v>
      </x:c>
      <x:c r="F13" s="2" t="str">
        <x:v>Completed</x:v>
      </x:c>
      <x:c r="G13" s="2" t="n">
        <x:v>212</x:v>
      </x:c>
      <x:c r="H13" s="16" t="n">
        <x:v>36000</x:v>
      </x:c>
      <x:c r="I13" s="16" t="n">
        <x:v>22500</x:v>
      </x:c>
      <x:c r="J13" s="17" t="n">
        <x:v>4.5</x:v>
      </x:c>
    </x:row>
    <x:row r="14" ht="30" customHeight="1">
      <x:c r="A14" s="2" t="str">
        <x:v>AO-26013</x:v>
      </x:c>
      <x:c r="B14" s="15" t="d">
        <x:v>2026-03-11T00:00:00.000Z</x:v>
      </x:c>
      <x:c r="C14" s="2" t="str">
        <x:v>Private Celebration</x:v>
      </x:c>
      <x:c r="D14" s="2" t="str">
        <x:v>North</x:v>
      </x:c>
      <x:c r="E14" s="2" t="str">
        <x:v>P102</x:v>
      </x:c>
      <x:c r="F14" s="2" t="str">
        <x:v>Booked</x:v>
      </x:c>
      <x:c r="G14" s="2" t="n">
        <x:v>54</x:v>
      </x:c>
      <x:c r="H14" s="16" t="n">
        <x:v>14650</x:v>
      </x:c>
      <x:c r="I14" s="16" t="n">
        <x:v>7600</x:v>
      </x:c>
      <x:c r="J14" s="17"/>
    </x:row>
    <x:row r="15" ht="30" customHeight="1">
      <x:c r="A15" s="2" t="str">
        <x:v>AO-26014</x:v>
      </x:c>
      <x:c r="B15" s="15" t="d">
        <x:v>2026-03-16T00:00:00.000Z</x:v>
      </x:c>
      <x:c r="C15" s="2" t="str">
        <x:v>Private Celebration</x:v>
      </x:c>
      <x:c r="D15" s="2" t="str">
        <x:v>South</x:v>
      </x:c>
      <x:c r="E15" s="2" t="str">
        <x:v>P103</x:v>
      </x:c>
      <x:c r="F15" s="2" t="str">
        <x:v>Completed</x:v>
      </x:c>
      <x:c r="G15" s="2" t="n">
        <x:v>71</x:v>
      </x:c>
      <x:c r="H15" s="16" t="n">
        <x:v>17350</x:v>
      </x:c>
      <x:c r="I15" s="16" t="n">
        <x:v>9650</x:v>
      </x:c>
      <x:c r="J15" s="17" t="n">
        <x:v>4.9</x:v>
      </x:c>
    </x:row>
    <x:row r="16" ht="30" customHeight="1">
      <x:c r="A16" s="2" t="str">
        <x:v>AO-26015</x:v>
      </x:c>
      <x:c r="B16" s="15" t="d">
        <x:v>2026-03-21T00:00:00.000Z</x:v>
      </x:c>
      <x:c r="C16" s="2" t="str">
        <x:v>Private Celebration</x:v>
      </x:c>
      <x:c r="D16" s="2" t="str">
        <x:v>East</x:v>
      </x:c>
      <x:c r="E16" s="2" t="str">
        <x:v>P106</x:v>
      </x:c>
      <x:c r="F16" s="2" t="str">
        <x:v>Completed</x:v>
      </x:c>
      <x:c r="G16" s="2" t="n">
        <x:v>88</x:v>
      </x:c>
      <x:c r="H16" s="16" t="n">
        <x:v>20100</x:v>
      </x:c>
      <x:c r="I16" s="16" t="n">
        <x:v>11850</x:v>
      </x:c>
      <x:c r="J16" s="17" t="n">
        <x:v>3.9</x:v>
      </x:c>
    </x:row>
    <x:row r="17" ht="30" customHeight="1">
      <x:c r="A17" s="2" t="str">
        <x:v>AO-26016</x:v>
      </x:c>
      <x:c r="B17" s="15" t="d">
        <x:v>2026-03-26T00:00:00.000Z</x:v>
      </x:c>
      <x:c r="C17" s="2" t="str">
        <x:v>Private Celebration</x:v>
      </x:c>
      <x:c r="D17" s="2" t="str">
        <x:v>West</x:v>
      </x:c>
      <x:c r="E17" s="2" t="str">
        <x:v>P107</x:v>
      </x:c>
      <x:c r="F17" s="2" t="str">
        <x:v>Completed</x:v>
      </x:c>
      <x:c r="G17" s="2" t="n">
        <x:v>105</x:v>
      </x:c>
      <x:c r="H17" s="16" t="n">
        <x:v>18550</x:v>
      </x:c>
      <x:c r="I17" s="16" t="n">
        <x:v>11600</x:v>
      </x:c>
      <x:c r="J17" s="17" t="n">
        <x:v>4.1</x:v>
      </x:c>
    </x:row>
    <x:row r="18" ht="30" customHeight="1">
      <x:c r="A18" s="2" t="str">
        <x:v>AO-26017</x:v>
      </x:c>
      <x:c r="B18" s="15" t="d">
        <x:v>2026-03-31T00:00:00.000Z</x:v>
      </x:c>
      <x:c r="C18" s="2" t="str">
        <x:v>Wedding</x:v>
      </x:c>
      <x:c r="D18" s="2" t="str">
        <x:v>North</x:v>
      </x:c>
      <x:c r="E18" s="2" t="str">
        <x:v>P101</x:v>
      </x:c>
      <x:c r="F18" s="2" t="str">
        <x:v>Completed</x:v>
      </x:c>
      <x:c r="G18" s="2" t="n">
        <x:v>172</x:v>
      </x:c>
      <x:c r="H18" s="16" t="n">
        <x:v>43800</x:v>
      </x:c>
      <x:c r="I18" s="16" t="n">
        <x:v>22800</x:v>
      </x:c>
      <x:c r="J18" s="17" t="n">
        <x:v>4.2</x:v>
      </x:c>
    </x:row>
    <x:row r="19" ht="30" customHeight="1">
      <x:c r="A19" s="2" t="str">
        <x:v>AO-26018</x:v>
      </x:c>
      <x:c r="B19" s="15" t="d">
        <x:v>2026-04-05T00:00:00.000Z</x:v>
      </x:c>
      <x:c r="C19" s="2" t="str">
        <x:v>Wedding</x:v>
      </x:c>
      <x:c r="D19" s="2" t="str">
        <x:v>South</x:v>
      </x:c>
      <x:c r="E19" s="2" t="str">
        <x:v>P104</x:v>
      </x:c>
      <x:c r="F19" s="2" t="str">
        <x:v>Completed</x:v>
      </x:c>
      <x:c r="G19" s="2" t="n">
        <x:v>94</x:v>
      </x:c>
      <x:c r="H19" s="16" t="n">
        <x:v>33350</x:v>
      </x:c>
      <x:c r="I19" s="16" t="n">
        <x:v>18500</x:v>
      </x:c>
      <x:c r="J19" s="17" t="n">
        <x:v>4.4</x:v>
      </x:c>
    </x:row>
    <x:row r="20" ht="30" customHeight="1">
      <x:c r="A20" s="2" t="str">
        <x:v>AO-26019</x:v>
      </x:c>
      <x:c r="B20" s="15" t="d">
        <x:v>2026-04-10T00:00:00.000Z</x:v>
      </x:c>
      <x:c r="C20" s="2" t="str">
        <x:v>Wedding</x:v>
      </x:c>
      <x:c r="D20" s="2" t="str">
        <x:v>East</x:v>
      </x:c>
      <x:c r="E20" s="2" t="str">
        <x:v>P105</x:v>
      </x:c>
      <x:c r="F20" s="2" t="str">
        <x:v>Booked</x:v>
      </x:c>
      <x:c r="G20" s="2" t="n">
        <x:v>111</x:v>
      </x:c>
      <x:c r="H20" s="16" t="n">
        <x:v>36650</x:v>
      </x:c>
      <x:c r="I20" s="16" t="n">
        <x:v>21600</x:v>
      </x:c>
      <x:c r="J20" s="17"/>
    </x:row>
    <x:row r="21" ht="30" customHeight="1">
      <x:c r="A21" s="2" t="str">
        <x:v>AO-26020</x:v>
      </x:c>
      <x:c r="B21" s="15" t="d">
        <x:v>2026-04-15T00:00:00.000Z</x:v>
      </x:c>
      <x:c r="C21" s="2" t="str">
        <x:v>Wedding</x:v>
      </x:c>
      <x:c r="D21" s="2" t="str">
        <x:v>West</x:v>
      </x:c>
      <x:c r="E21" s="2" t="str">
        <x:v>P108</x:v>
      </x:c>
      <x:c r="F21" s="2" t="str">
        <x:v>Completed</x:v>
      </x:c>
      <x:c r="G21" s="2" t="n">
        <x:v>128</x:v>
      </x:c>
      <x:c r="H21" s="16" t="n">
        <x:v>39950</x:v>
      </x:c>
      <x:c r="I21" s="16" t="n">
        <x:v>24950</x:v>
      </x:c>
      <x:c r="J21" s="17" t="n">
        <x:v>4.7</x:v>
      </x:c>
    </x:row>
    <x:row r="22" ht="30" customHeight="1">
      <x:c r="A22" s="2" t="str">
        <x:v>AO-26021</x:v>
      </x:c>
      <x:c r="B22" s="15" t="d">
        <x:v>2026-04-20T00:00:00.000Z</x:v>
      </x:c>
      <x:c r="C22" s="2" t="str">
        <x:v>Corporate</x:v>
      </x:c>
      <x:c r="D22" s="2" t="str">
        <x:v>North</x:v>
      </x:c>
      <x:c r="E22" s="2" t="str">
        <x:v>P102</x:v>
      </x:c>
      <x:c r="F22" s="2" t="str">
        <x:v>Cancelled</x:v>
      </x:c>
      <x:c r="G22" s="2" t="n">
        <x:v>110</x:v>
      </x:c>
      <x:c r="H22" s="16" t="n">
        <x:v>22700</x:v>
      </x:c>
      <x:c r="I22" s="16" t="n">
        <x:v>11800</x:v>
      </x:c>
      <x:c r="J22" s="17"/>
    </x:row>
    <x:row r="23" ht="30" customHeight="1">
      <x:c r="A23" s="2" t="str">
        <x:v>AO-26022</x:v>
      </x:c>
      <x:c r="B23" s="15" t="d">
        <x:v>2026-04-25T00:00:00.000Z</x:v>
      </x:c>
      <x:c r="C23" s="2" t="str">
        <x:v>Corporate</x:v>
      </x:c>
      <x:c r="D23" s="2" t="str">
        <x:v>South</x:v>
      </x:c>
      <x:c r="E23" s="2" t="str">
        <x:v>P103</x:v>
      </x:c>
      <x:c r="F23" s="2" t="str">
        <x:v>Completed</x:v>
      </x:c>
      <x:c r="G23" s="2" t="n">
        <x:v>127</x:v>
      </x:c>
      <x:c r="H23" s="16" t="n">
        <x:v>25600</x:v>
      </x:c>
      <x:c r="I23" s="16" t="n">
        <x:v>14200</x:v>
      </x:c>
      <x:c r="J23" s="17" t="n">
        <x:v>3.9</x:v>
      </x:c>
    </x:row>
    <x:row r="24" ht="30" customHeight="1">
      <x:c r="A24" s="2" t="str">
        <x:v>AO-26023</x:v>
      </x:c>
      <x:c r="B24" s="15" t="d">
        <x:v>2026-04-30T00:00:00.000Z</x:v>
      </x:c>
      <x:c r="C24" s="2" t="str">
        <x:v>Corporate</x:v>
      </x:c>
      <x:c r="D24" s="2" t="str">
        <x:v>East</x:v>
      </x:c>
      <x:c r="E24" s="2" t="str">
        <x:v>P106</x:v>
      </x:c>
      <x:c r="F24" s="2" t="str">
        <x:v>Completed</x:v>
      </x:c>
      <x:c r="G24" s="2" t="n">
        <x:v>144</x:v>
      </x:c>
      <x:c r="H24" s="16" t="n">
        <x:v>28500</x:v>
      </x:c>
      <x:c r="I24" s="16" t="n">
        <x:v>16800</x:v>
      </x:c>
      <x:c r="J24" s="17" t="n">
        <x:v>4.1</x:v>
      </x:c>
    </x:row>
    <x:row r="25" ht="30" customHeight="1">
      <x:c r="A25" s="2" t="str">
        <x:v>AO-26024</x:v>
      </x:c>
      <x:c r="B25" s="15" t="d">
        <x:v>2026-05-05T00:00:00.000Z</x:v>
      </x:c>
      <x:c r="C25" s="2" t="str">
        <x:v>Corporate</x:v>
      </x:c>
      <x:c r="D25" s="2" t="str">
        <x:v>West</x:v>
      </x:c>
      <x:c r="E25" s="2" t="str">
        <x:v>P107</x:v>
      </x:c>
      <x:c r="F25" s="2" t="str">
        <x:v>Completed</x:v>
      </x:c>
      <x:c r="G25" s="2" t="n">
        <x:v>66</x:v>
      </x:c>
      <x:c r="H25" s="16" t="n">
        <x:v>19950</x:v>
      </x:c>
      <x:c r="I25" s="16" t="n">
        <x:v>12450</x:v>
      </x:c>
      <x:c r="J25" s="17" t="n">
        <x:v>4.2</x:v>
      </x:c>
    </x:row>
    <x:row r="26" ht="30" customHeight="1">
      <x:c r="A26" s="2" t="str">
        <x:v>AO-26025</x:v>
      </x:c>
      <x:c r="B26" s="15" t="d">
        <x:v>2026-05-10T00:00:00.000Z</x:v>
      </x:c>
      <x:c r="C26" s="2" t="str">
        <x:v>Nonprofit Gala</x:v>
      </x:c>
      <x:c r="D26" s="2" t="str">
        <x:v>North</x:v>
      </x:c>
      <x:c r="E26" s="2" t="str">
        <x:v>P101</x:v>
      </x:c>
      <x:c r="F26" s="2" t="str">
        <x:v>Booked</x:v>
      </x:c>
      <x:c r="G26" s="2" t="n">
        <x:v>148</x:v>
      </x:c>
      <x:c r="H26" s="16" t="n">
        <x:v>32450</x:v>
      </x:c>
      <x:c r="I26" s="16" t="n">
        <x:v>16850</x:v>
      </x:c>
      <x:c r="J26" s="17"/>
    </x:row>
    <x:row r="27" ht="30" customHeight="1">
      <x:c r="A27" s="2" t="str">
        <x:v>AO-26026</x:v>
      </x:c>
      <x:c r="B27" s="15" t="d">
        <x:v>2026-05-15T00:00:00.000Z</x:v>
      </x:c>
      <x:c r="C27" s="2" t="str">
        <x:v>Nonprofit Gala</x:v>
      </x:c>
      <x:c r="D27" s="2" t="str">
        <x:v>South</x:v>
      </x:c>
      <x:c r="E27" s="2" t="str">
        <x:v>P104</x:v>
      </x:c>
      <x:c r="F27" s="2" t="str">
        <x:v>Completed</x:v>
      </x:c>
      <x:c r="G27" s="2" t="n">
        <x:v>165</x:v>
      </x:c>
      <x:c r="H27" s="16" t="n">
        <x:v>30700</x:v>
      </x:c>
      <x:c r="I27" s="16" t="n">
        <x:v>17050</x:v>
      </x:c>
      <x:c r="J27" s="17" t="n">
        <x:v>4.5</x:v>
      </x:c>
    </x:row>
    <x:row r="28" ht="30" customHeight="1">
      <x:c r="A28" s="2" t="str">
        <x:v>AO-26027</x:v>
      </x:c>
      <x:c r="B28" s="15" t="d">
        <x:v>2026-05-20T00:00:00.000Z</x:v>
      </x:c>
      <x:c r="C28" s="2" t="str">
        <x:v>Nonprofit Gala</x:v>
      </x:c>
      <x:c r="D28" s="2" t="str">
        <x:v>East</x:v>
      </x:c>
      <x:c r="E28" s="2" t="str">
        <x:v>P105</x:v>
      </x:c>
      <x:c r="F28" s="2" t="str">
        <x:v>Completed</x:v>
      </x:c>
      <x:c r="G28" s="2" t="n">
        <x:v>182</x:v>
      </x:c>
      <x:c r="H28" s="16" t="n">
        <x:v>33150</x:v>
      </x:c>
      <x:c r="I28" s="16" t="n">
        <x:v>19550</x:v>
      </x:c>
      <x:c r="J28" s="17" t="n">
        <x:v>4.7</x:v>
      </x:c>
    </x:row>
    <x:row r="29" ht="30" customHeight="1">
      <x:c r="A29" s="2" t="str">
        <x:v>AO-26028</x:v>
      </x:c>
      <x:c r="B29" s="15" t="d">
        <x:v>2026-05-25T00:00:00.000Z</x:v>
      </x:c>
      <x:c r="C29" s="2" t="str">
        <x:v>Nonprofit Gala</x:v>
      </x:c>
      <x:c r="D29" s="2" t="str">
        <x:v>West</x:v>
      </x:c>
      <x:c r="E29" s="2" t="str">
        <x:v>P108</x:v>
      </x:c>
      <x:c r="F29" s="2" t="str">
        <x:v>Completed</x:v>
      </x:c>
      <x:c r="G29" s="2" t="n">
        <x:v>199</x:v>
      </x:c>
      <x:c r="H29" s="16" t="n">
        <x:v>35600</x:v>
      </x:c>
      <x:c r="I29" s="16" t="n">
        <x:v>22250</x:v>
      </x:c>
      <x:c r="J29" s="17" t="n">
        <x:v>4.9</x:v>
      </x:c>
    </x:row>
    <x:row r="30" ht="30" customHeight="1">
      <x:c r="A30" s="2" t="str">
        <x:v>AO-26029</x:v>
      </x:c>
      <x:c r="B30" s="15" t="d">
        <x:v>2026-05-30T00:00:00.000Z</x:v>
      </x:c>
      <x:c r="C30" s="2" t="str">
        <x:v>Private Celebration</x:v>
      </x:c>
      <x:c r="D30" s="2" t="str">
        <x:v>North</x:v>
      </x:c>
      <x:c r="E30" s="2" t="str">
        <x:v>P102</x:v>
      </x:c>
      <x:c r="F30" s="2" t="str">
        <x:v>Completed</x:v>
      </x:c>
      <x:c r="G30" s="2" t="n">
        <x:v>41</x:v>
      </x:c>
      <x:c r="H30" s="16" t="n">
        <x:v>14050</x:v>
      </x:c>
      <x:c r="I30" s="16" t="n">
        <x:v>7300</x:v>
      </x:c>
      <x:c r="J30" s="17" t="n">
        <x:v>3.9</x:v>
      </x:c>
    </x:row>
    <x:row r="31" ht="30" customHeight="1">
      <x:c r="A31" s="2" t="str">
        <x:v>AO-26030</x:v>
      </x:c>
      <x:c r="B31" s="15" t="d">
        <x:v>2026-06-04T00:00:00.000Z</x:v>
      </x:c>
      <x:c r="C31" s="2" t="str">
        <x:v>Private Celebration</x:v>
      </x:c>
      <x:c r="D31" s="2" t="str">
        <x:v>South</x:v>
      </x:c>
      <x:c r="E31" s="2" t="str">
        <x:v>P103</x:v>
      </x:c>
      <x:c r="F31" s="2" t="str">
        <x:v>Completed</x:v>
      </x:c>
      <x:c r="G31" s="2" t="n">
        <x:v>58</x:v>
      </x:c>
      <x:c r="H31" s="16" t="n">
        <x:v>16800</x:v>
      </x:c>
      <x:c r="I31" s="16" t="n">
        <x:v>9300</x:v>
      </x:c>
      <x:c r="J31" s="17" t="n">
        <x:v>4.1</x:v>
      </x:c>
    </x:row>
    <x:row r="32" ht="30" customHeight="1">
      <x:c r="A32" s="2" t="str">
        <x:v>AO-26031</x:v>
      </x:c>
      <x:c r="B32" s="15" t="d">
        <x:v>2026-06-09T00:00:00.000Z</x:v>
      </x:c>
      <x:c r="C32" s="2" t="str">
        <x:v>Private Celebration</x:v>
      </x:c>
      <x:c r="D32" s="2" t="str">
        <x:v>East</x:v>
      </x:c>
      <x:c r="E32" s="2" t="str">
        <x:v>P106</x:v>
      </x:c>
      <x:c r="F32" s="2" t="str">
        <x:v>Cancelled</x:v>
      </x:c>
      <x:c r="G32" s="2" t="n">
        <x:v>75</x:v>
      </x:c>
      <x:c r="H32" s="16" t="n">
        <x:v>15250</x:v>
      </x:c>
      <x:c r="I32" s="16" t="n">
        <x:v>9000</x:v>
      </x:c>
      <x:c r="J32" s="17"/>
    </x:row>
    <x:row r="33" ht="30" customHeight="1">
      <x:c r="A33" s="2" t="str">
        <x:v>AO-26032</x:v>
      </x:c>
      <x:c r="B33" s="15" t="d">
        <x:v>2026-06-14T00:00:00.000Z</x:v>
      </x:c>
      <x:c r="C33" s="2" t="str">
        <x:v>Private Celebration</x:v>
      </x:c>
      <x:c r="D33" s="2" t="str">
        <x:v>West</x:v>
      </x:c>
      <x:c r="E33" s="2" t="str">
        <x:v>P107</x:v>
      </x:c>
      <x:c r="F33" s="2" t="str">
        <x:v>Completed</x:v>
      </x:c>
      <x:c r="G33" s="2" t="n">
        <x:v>92</x:v>
      </x:c>
      <x:c r="H33" s="16" t="n">
        <x:v>17950</x:v>
      </x:c>
      <x:c r="I33" s="16" t="n">
        <x:v>11200</x:v>
      </x:c>
      <x:c r="J33" s="17" t="n">
        <x:v>4.4</x:v>
      </x:c>
    </x:row>
    <x:row r="34" ht="30" customHeight="1">
      <x:c r="A34" s="2" t="str">
        <x:v>AO-26033</x:v>
      </x:c>
      <x:c r="B34" s="15" t="d">
        <x:v>2026-06-19T00:00:00.000Z</x:v>
      </x:c>
      <x:c r="C34" s="2" t="str">
        <x:v>Wedding</x:v>
      </x:c>
      <x:c r="D34" s="2" t="str">
        <x:v>North</x:v>
      </x:c>
      <x:c r="E34" s="2" t="str">
        <x:v>P101</x:v>
      </x:c>
      <x:c r="F34" s="2" t="str">
        <x:v>Completed</x:v>
      </x:c>
      <x:c r="G34" s="2" t="n">
        <x:v>159</x:v>
      </x:c>
      <x:c r="H34" s="16" t="n">
        <x:v>42750</x:v>
      </x:c>
      <x:c r="I34" s="16" t="n">
        <x:v>22250</x:v>
      </x:c>
      <x:c r="J34" s="17" t="n">
        <x:v>4.5</x:v>
      </x:c>
    </x:row>
    <x:row r="35" ht="30" customHeight="1">
      <x:c r="A35" s="2" t="str">
        <x:v>AO-26034</x:v>
      </x:c>
      <x:c r="B35" s="15" t="d">
        <x:v>2026-06-24T00:00:00.000Z</x:v>
      </x:c>
      <x:c r="C35" s="2" t="str">
        <x:v>Wedding</x:v>
      </x:c>
      <x:c r="D35" s="2" t="str">
        <x:v>South</x:v>
      </x:c>
      <x:c r="E35" s="2" t="str">
        <x:v>P104</x:v>
      </x:c>
      <x:c r="F35" s="2" t="str">
        <x:v>Completed</x:v>
      </x:c>
      <x:c r="G35" s="2" t="n">
        <x:v>176</x:v>
      </x:c>
      <x:c r="H35" s="16" t="n">
        <x:v>46050</x:v>
      </x:c>
      <x:c r="I35" s="16" t="n">
        <x:v>25550</x:v>
      </x:c>
      <x:c r="J35" s="17" t="n">
        <x:v>4.7</x:v>
      </x:c>
    </x:row>
    <x:row r="36" ht="30" customHeight="1">
      <x:c r="A36" s="2" t="str">
        <x:v>AO-26035</x:v>
      </x:c>
      <x:c r="B36" s="15" t="d">
        <x:v>2026-06-29T00:00:00.000Z</x:v>
      </x:c>
      <x:c r="C36" s="2" t="str">
        <x:v>Wedding</x:v>
      </x:c>
      <x:c r="D36" s="2" t="str">
        <x:v>East</x:v>
      </x:c>
      <x:c r="E36" s="2" t="str">
        <x:v>P105</x:v>
      </x:c>
      <x:c r="F36" s="2" t="str">
        <x:v>Completed</x:v>
      </x:c>
      <x:c r="G36" s="2" t="n">
        <x:v>98</x:v>
      </x:c>
      <x:c r="H36" s="16" t="n">
        <x:v>35600</x:v>
      </x:c>
      <x:c r="I36" s="16" t="n">
        <x:v>21000</x:v>
      </x:c>
      <x:c r="J36" s="17" t="n">
        <x:v>4.9</x:v>
      </x:c>
    </x:row>
    <x:row r="37" ht="30" customHeight="1">
      <x:c r="A37" s="2" t="str">
        <x:v>AO-26036</x:v>
      </x:c>
      <x:c r="B37" s="15" t="d">
        <x:v>2026-07-04T00:00:00.000Z</x:v>
      </x:c>
      <x:c r="C37" s="2" t="str">
        <x:v>Wedding</x:v>
      </x:c>
      <x:c r="D37" s="2" t="str">
        <x:v>West</x:v>
      </x:c>
      <x:c r="E37" s="2" t="str">
        <x:v>P108</x:v>
      </x:c>
      <x:c r="F37" s="2" t="str">
        <x:v>Completed</x:v>
      </x:c>
      <x:c r="G37" s="2" t="n">
        <x:v>115</x:v>
      </x:c>
      <x:c r="H37" s="16" t="n">
        <x:v>34700</x:v>
      </x:c>
      <x:c r="I37" s="16" t="n">
        <x:v>21700</x:v>
      </x:c>
      <x:c r="J37" s="17" t="n">
        <x:v>3.9</x:v>
      </x:c>
    </x:row>
    <x:row r="38" ht="30" customHeight="1">
      <x:c r="A38" s="2" t="str">
        <x:v>AO-26037</x:v>
      </x:c>
      <x:c r="B38" s="15" t="d">
        <x:v>2026-07-09T00:00:00.000Z</x:v>
      </x:c>
      <x:c r="C38" s="2" t="str">
        <x:v>Corporate</x:v>
      </x:c>
      <x:c r="D38" s="2" t="str">
        <x:v>North</x:v>
      </x:c>
      <x:c r="E38" s="2" t="str">
        <x:v>P102</x:v>
      </x:c>
      <x:c r="F38" s="2" t="str">
        <x:v>Booked</x:v>
      </x:c>
      <x:c r="G38" s="2" t="n">
        <x:v>97</x:v>
      </x:c>
      <x:c r="H38" s="16" t="n">
        <x:v>22000</x:v>
      </x:c>
      <x:c r="I38" s="16" t="n">
        <x:v>11450</x:v>
      </x:c>
      <x:c r="J38" s="17"/>
    </x:row>
    <x:row r="39" ht="30" customHeight="1">
      <x:c r="A39" s="2" t="str">
        <x:v>AO-26038</x:v>
      </x:c>
      <x:c r="B39" s="15" t="d">
        <x:v>2026-07-14T00:00:00.000Z</x:v>
      </x:c>
      <x:c r="C39" s="2" t="str">
        <x:v>Corporate</x:v>
      </x:c>
      <x:c r="D39" s="2" t="str">
        <x:v>South</x:v>
      </x:c>
      <x:c r="E39" s="2" t="str">
        <x:v>P103</x:v>
      </x:c>
      <x:c r="F39" s="2" t="str">
        <x:v>Completed</x:v>
      </x:c>
      <x:c r="G39" s="2" t="n">
        <x:v>114</x:v>
      </x:c>
      <x:c r="H39" s="16" t="n">
        <x:v>24900</x:v>
      </x:c>
      <x:c r="I39" s="16" t="n">
        <x:v>13800</x:v>
      </x:c>
      <x:c r="J39" s="17" t="n">
        <x:v>4.2</x:v>
      </x:c>
    </x:row>
    <x:row r="40" ht="30" customHeight="1">
      <x:c r="A40" s="2" t="str">
        <x:v>AO-26039</x:v>
      </x:c>
      <x:c r="B40" s="15" t="d">
        <x:v>2026-07-19T00:00:00.000Z</x:v>
      </x:c>
      <x:c r="C40" s="2" t="str">
        <x:v>Corporate</x:v>
      </x:c>
      <x:c r="D40" s="2" t="str">
        <x:v>East</x:v>
      </x:c>
      <x:c r="E40" s="2" t="str">
        <x:v>P106</x:v>
      </x:c>
      <x:c r="F40" s="2" t="str">
        <x:v>Completed</x:v>
      </x:c>
      <x:c r="G40" s="2" t="n">
        <x:v>131</x:v>
      </x:c>
      <x:c r="H40" s="16" t="n">
        <x:v>27750</x:v>
      </x:c>
      <x:c r="I40" s="16" t="n">
        <x:v>16350</x:v>
      </x:c>
      <x:c r="J40" s="17" t="n">
        <x:v>4.4</x:v>
      </x:c>
    </x:row>
    <x:row r="41" ht="30" customHeight="1">
      <x:c r="A41" s="2" t="str">
        <x:v>AO-26040</x:v>
      </x:c>
      <x:c r="B41" s="15" t="d">
        <x:v>2026-07-24T00:00:00.000Z</x:v>
      </x:c>
      <x:c r="C41" s="2" t="str">
        <x:v>Corporate</x:v>
      </x:c>
      <x:c r="D41" s="2" t="str">
        <x:v>West</x:v>
      </x:c>
      <x:c r="E41" s="2" t="str">
        <x:v>P107</x:v>
      </x:c>
      <x:c r="F41" s="2" t="str">
        <x:v>Completed</x:v>
      </x:c>
      <x:c r="G41" s="2" t="n">
        <x:v>148</x:v>
      </x:c>
      <x:c r="H41" s="16" t="n">
        <x:v>30650</x:v>
      </x:c>
      <x:c r="I41" s="16" t="n">
        <x:v>19150</x:v>
      </x:c>
      <x:c r="J41" s="17" t="n">
        <x:v>4.5</x:v>
      </x:c>
    </x:row>
    <x:row r="42" ht="30" customHeight="1">
      <x:c r="A42" s="2" t="str">
        <x:v>AO-26041</x:v>
      </x:c>
      <x:c r="B42" s="15" t="d">
        <x:v>2026-07-29T00:00:00.000Z</x:v>
      </x:c>
      <x:c r="C42" s="2" t="str">
        <x:v>Nonprofit Gala</x:v>
      </x:c>
      <x:c r="D42" s="2" t="str">
        <x:v>North</x:v>
      </x:c>
      <x:c r="E42" s="2" t="str">
        <x:v>P101</x:v>
      </x:c>
      <x:c r="F42" s="2" t="str">
        <x:v>Cancelled</x:v>
      </x:c>
      <x:c r="G42" s="2" t="n">
        <x:v>135</x:v>
      </x:c>
      <x:c r="H42" s="16" t="n">
        <x:v>27850</x:v>
      </x:c>
      <x:c r="I42" s="16" t="n">
        <x:v>14500</x:v>
      </x:c>
      <x:c r="J42" s="17"/>
    </x:row>
    <x:row r="43" ht="30" customHeight="1">
      <x:c r="A43" s="2" t="str">
        <x:v>AO-26042</x:v>
      </x:c>
      <x:c r="B43" s="15" t="d">
        <x:v>2026-08-03T00:00:00.000Z</x:v>
      </x:c>
      <x:c r="C43" s="2" t="str">
        <x:v>Nonprofit Gala</x:v>
      </x:c>
      <x:c r="D43" s="2" t="str">
        <x:v>South</x:v>
      </x:c>
      <x:c r="E43" s="2" t="str">
        <x:v>P104</x:v>
      </x:c>
      <x:c r="F43" s="2" t="str">
        <x:v>Completed</x:v>
      </x:c>
      <x:c r="G43" s="2" t="n">
        <x:v>152</x:v>
      </x:c>
      <x:c r="H43" s="16" t="n">
        <x:v>30300</x:v>
      </x:c>
      <x:c r="I43" s="16" t="n">
        <x:v>16800</x:v>
      </x:c>
      <x:c r="J43" s="17" t="n">
        <x:v>4.9</x:v>
      </x:c>
    </x:row>
    <x:row r="44" ht="30" customHeight="1">
      <x:c r="A44" s="2" t="str">
        <x:v>AO-26043</x:v>
      </x:c>
      <x:c r="B44" s="15" t="d">
        <x:v>2026-08-08T00:00:00.000Z</x:v>
      </x:c>
      <x:c r="C44" s="2" t="str">
        <x:v>Nonprofit Gala</x:v>
      </x:c>
      <x:c r="D44" s="2" t="str">
        <x:v>East</x:v>
      </x:c>
      <x:c r="E44" s="2" t="str">
        <x:v>P105</x:v>
      </x:c>
      <x:c r="F44" s="2" t="str">
        <x:v>Booked</x:v>
      </x:c>
      <x:c r="G44" s="2" t="n">
        <x:v>169</x:v>
      </x:c>
      <x:c r="H44" s="16" t="n">
        <x:v>32750</x:v>
      </x:c>
      <x:c r="I44" s="16" t="n">
        <x:v>19300</x:v>
      </x:c>
      <x:c r="J44" s="17"/>
    </x:row>
    <x:row r="45" ht="30" customHeight="1">
      <x:c r="A45" s="2" t="str">
        <x:v>AO-26044</x:v>
      </x:c>
      <x:c r="B45" s="15" t="d">
        <x:v>2026-08-13T00:00:00.000Z</x:v>
      </x:c>
      <x:c r="C45" s="2" t="str">
        <x:v>Nonprofit Gala</x:v>
      </x:c>
      <x:c r="D45" s="2" t="str">
        <x:v>West</x:v>
      </x:c>
      <x:c r="E45" s="2" t="str">
        <x:v>P108</x:v>
      </x:c>
      <x:c r="F45" s="2" t="str">
        <x:v>Completed</x:v>
      </x:c>
      <x:c r="G45" s="2" t="n">
        <x:v>186</x:v>
      </x:c>
      <x:c r="H45" s="16" t="n">
        <x:v>35200</x:v>
      </x:c>
      <x:c r="I45" s="16" t="n">
        <x:v>22000</x:v>
      </x:c>
      <x:c r="J45" s="17" t="n">
        <x:v>4.1</x:v>
      </x:c>
    </x:row>
    <x:row r="46" ht="30" customHeight="1">
      <x:c r="A46" s="2" t="str">
        <x:v>AO-26045</x:v>
      </x:c>
      <x:c r="B46" s="15" t="d">
        <x:v>2026-08-18T00:00:00.000Z</x:v>
      </x:c>
      <x:c r="C46" s="2" t="str">
        <x:v>Private Celebration</x:v>
      </x:c>
      <x:c r="D46" s="2" t="str">
        <x:v>North</x:v>
      </x:c>
      <x:c r="E46" s="2" t="str">
        <x:v>P102</x:v>
      </x:c>
      <x:c r="F46" s="2" t="str">
        <x:v>Completed</x:v>
      </x:c>
      <x:c r="G46" s="2" t="n">
        <x:v>123</x:v>
      </x:c>
      <x:c r="H46" s="16" t="n">
        <x:v>23950</x:v>
      </x:c>
      <x:c r="I46" s="16" t="n">
        <x:v>12450</x:v>
      </x:c>
      <x:c r="J46" s="17" t="n">
        <x:v>4.2</x:v>
      </x:c>
    </x:row>
    <x:row r="47" ht="30" customHeight="1">
      <x:c r="A47" s="2" t="str">
        <x:v>AO-26046</x:v>
      </x:c>
      <x:c r="B47" s="15" t="d">
        <x:v>2026-08-23T00:00:00.000Z</x:v>
      </x:c>
      <x:c r="C47" s="2" t="str">
        <x:v>Private Celebration</x:v>
      </x:c>
      <x:c r="D47" s="2" t="str">
        <x:v>South</x:v>
      </x:c>
      <x:c r="E47" s="2" t="str">
        <x:v>P103</x:v>
      </x:c>
      <x:c r="F47" s="2" t="str">
        <x:v>Completed</x:v>
      </x:c>
      <x:c r="G47" s="2" t="n">
        <x:v>45</x:v>
      </x:c>
      <x:c r="H47" s="16" t="n">
        <x:v>11950</x:v>
      </x:c>
      <x:c r="I47" s="16" t="n">
        <x:v>6650</x:v>
      </x:c>
      <x:c r="J47" s="17" t="n">
        <x:v>4.4</x:v>
      </x:c>
    </x:row>
    <x:row r="48" ht="30" customHeight="1">
      <x:c r="A48" s="2" t="str">
        <x:v>AO-26047</x:v>
      </x:c>
      <x:c r="B48" s="15" t="d">
        <x:v>2026-08-28T00:00:00.000Z</x:v>
      </x:c>
      <x:c r="C48" s="2" t="str">
        <x:v>Private Celebration</x:v>
      </x:c>
      <x:c r="D48" s="2" t="str">
        <x:v>East</x:v>
      </x:c>
      <x:c r="E48" s="2" t="str">
        <x:v>P106</x:v>
      </x:c>
      <x:c r="F48" s="2" t="str">
        <x:v>Completed</x:v>
      </x:c>
      <x:c r="G48" s="2" t="n">
        <x:v>62</x:v>
      </x:c>
      <x:c r="H48" s="16" t="n">
        <x:v>14650</x:v>
      </x:c>
      <x:c r="I48" s="16" t="n">
        <x:v>8650</x:v>
      </x:c>
      <x:c r="J48" s="17" t="n">
        <x:v>4.5</x:v>
      </x:c>
    </x:row>
    <x:row r="49" ht="30" customHeight="1">
      <x:c r="A49" s="2" t="str">
        <x:v>AO-26048</x:v>
      </x:c>
      <x:c r="B49" s="15" t="d">
        <x:v>2026-09-02T00:00:00.000Z</x:v>
      </x:c>
      <x:c r="C49" s="2" t="str">
        <x:v>Private Celebration</x:v>
      </x:c>
      <x:c r="D49" s="2" t="str">
        <x:v>West</x:v>
      </x:c>
      <x:c r="E49" s="2" t="str">
        <x:v>P107</x:v>
      </x:c>
      <x:c r="F49" s="2" t="str">
        <x:v>Completed</x:v>
      </x:c>
      <x:c r="G49" s="2" t="n">
        <x:v>79</x:v>
      </x:c>
      <x:c r="H49" s="16" t="n">
        <x:v>17400</x:v>
      </x:c>
      <x:c r="I49" s="16" t="n">
        <x:v>10900</x:v>
      </x:c>
      <x:c r="J49" s="17" t="n">
        <x:v>4.7</x:v>
      </x:c>
    </x:row>
    <x:row r="50" ht="30" customHeight="1">
      <x:c r="A50" s="2" t="str">
        <x:v>AO-26049</x:v>
      </x:c>
      <x:c r="B50" s="15" t="d">
        <x:v>2026-09-07T00:00:00.000Z</x:v>
      </x:c>
      <x:c r="C50" s="2" t="str">
        <x:v>Wedding</x:v>
      </x:c>
      <x:c r="D50" s="2" t="str">
        <x:v>North</x:v>
      </x:c>
      <x:c r="E50" s="2" t="str">
        <x:v>P101</x:v>
      </x:c>
      <x:c r="F50" s="2" t="str">
        <x:v>Booked</x:v>
      </x:c>
      <x:c r="G50" s="2" t="n">
        <x:v>146</x:v>
      </x:c>
      <x:c r="H50" s="16" t="n">
        <x:v>41700</x:v>
      </x:c>
      <x:c r="I50" s="16" t="n">
        <x:v>21700</x:v>
      </x:c>
      <x:c r="J50" s="17"/>
    </x:row>
    <x:row r="51" ht="30" customHeight="1">
      <x:c r="A51" s="2" t="str">
        <x:v>AO-26050</x:v>
      </x:c>
      <x:c r="B51" s="15" t="d">
        <x:v>2026-09-12T00:00:00.000Z</x:v>
      </x:c>
      <x:c r="C51" s="2" t="str">
        <x:v>Wedding</x:v>
      </x:c>
      <x:c r="D51" s="2" t="str">
        <x:v>South</x:v>
      </x:c>
      <x:c r="E51" s="2" t="str">
        <x:v>P104</x:v>
      </x:c>
      <x:c r="F51" s="2" t="str">
        <x:v>Completed</x:v>
      </x:c>
      <x:c r="G51" s="2" t="n">
        <x:v>163</x:v>
      </x:c>
      <x:c r="H51" s="16" t="n">
        <x:v>45050</x:v>
      </x:c>
      <x:c r="I51" s="16" t="n">
        <x:v>25000</x:v>
      </x:c>
      <x:c r="J51" s="17" t="n">
        <x:v>3.9</x:v>
      </x:c>
    </x:row>
    <x:row r="52" ht="30" customHeight="1">
      <x:c r="A52" s="2" t="str">
        <x:v>AO-26051</x:v>
      </x:c>
      <x:c r="B52" s="15" t="d">
        <x:v>2026-09-17T00:00:00.000Z</x:v>
      </x:c>
      <x:c r="C52" s="2" t="str">
        <x:v>Wedding</x:v>
      </x:c>
      <x:c r="D52" s="2" t="str">
        <x:v>East</x:v>
      </x:c>
      <x:c r="E52" s="2" t="str">
        <x:v>P105</x:v>
      </x:c>
      <x:c r="F52" s="2" t="str">
        <x:v>Cancelled</x:v>
      </x:c>
      <x:c r="G52" s="2" t="n">
        <x:v>180</x:v>
      </x:c>
      <x:c r="H52" s="16" t="n">
        <x:v>44100</x:v>
      </x:c>
      <x:c r="I52" s="16" t="n">
        <x:v>26000</x:v>
      </x:c>
      <x:c r="J52" s="17"/>
    </x:row>
    <x:row r="53" ht="30" customHeight="1">
      <x:c r="A53" s="2" t="str">
        <x:v>AO-26052</x:v>
      </x:c>
      <x:c r="B53" s="15" t="d">
        <x:v>2026-09-22T00:00:00.000Z</x:v>
      </x:c>
      <x:c r="C53" s="2" t="str">
        <x:v>Wedding</x:v>
      </x:c>
      <x:c r="D53" s="2" t="str">
        <x:v>West</x:v>
      </x:c>
      <x:c r="E53" s="2" t="str">
        <x:v>P108</x:v>
      </x:c>
      <x:c r="F53" s="2" t="str">
        <x:v>Completed</x:v>
      </x:c>
      <x:c r="G53" s="2" t="n">
        <x:v>102</x:v>
      </x:c>
      <x:c r="H53" s="16" t="n">
        <x:v>33650</x:v>
      </x:c>
      <x:c r="I53" s="16" t="n">
        <x:v>21050</x:v>
      </x:c>
      <x:c r="J53" s="17" t="n">
        <x:v>4.2</x:v>
      </x:c>
    </x:row>
    <x:row r="54" ht="30" customHeight="1">
      <x:c r="A54" s="2" t="str">
        <x:v>AO-26053</x:v>
      </x:c>
      <x:c r="B54" s="15" t="d">
        <x:v>2026-09-27T00:00:00.000Z</x:v>
      </x:c>
      <x:c r="C54" s="2" t="str">
        <x:v>Corporate</x:v>
      </x:c>
      <x:c r="D54" s="2" t="str">
        <x:v>North</x:v>
      </x:c>
      <x:c r="E54" s="2" t="str">
        <x:v>P102</x:v>
      </x:c>
      <x:c r="F54" s="2" t="str">
        <x:v>Completed</x:v>
      </x:c>
      <x:c r="G54" s="2" t="n">
        <x:v>84</x:v>
      </x:c>
      <x:c r="H54" s="16" t="n">
        <x:v>21300</x:v>
      </x:c>
      <x:c r="I54" s="16" t="n">
        <x:v>11100</x:v>
      </x:c>
      <x:c r="J54" s="17" t="n">
        <x:v>4.4</x:v>
      </x:c>
    </x:row>
    <x:row r="55" ht="30" customHeight="1">
      <x:c r="A55" s="2" t="str">
        <x:v>AO-26054</x:v>
      </x:c>
      <x:c r="B55" s="15" t="d">
        <x:v>2026-10-02T00:00:00.000Z</x:v>
      </x:c>
      <x:c r="C55" s="2" t="str">
        <x:v>Corporate</x:v>
      </x:c>
      <x:c r="D55" s="2" t="str">
        <x:v>South</x:v>
      </x:c>
      <x:c r="E55" s="2" t="str">
        <x:v>P103</x:v>
      </x:c>
      <x:c r="F55" s="2" t="str">
        <x:v>Completed</x:v>
      </x:c>
      <x:c r="G55" s="2" t="n">
        <x:v>101</x:v>
      </x:c>
      <x:c r="H55" s="16" t="n">
        <x:v>24150</x:v>
      </x:c>
      <x:c r="I55" s="16" t="n">
        <x:v>13400</x:v>
      </x:c>
      <x:c r="J55" s="17" t="n">
        <x:v>4.5</x:v>
      </x:c>
    </x:row>
    <x:row r="56" ht="30" customHeight="1">
      <x:c r="A56" s="2" t="str">
        <x:v>AO-26055</x:v>
      </x:c>
      <x:c r="B56" s="15" t="d">
        <x:v>2026-10-07T00:00:00.000Z</x:v>
      </x:c>
      <x:c r="C56" s="2" t="str">
        <x:v>Corporate</x:v>
      </x:c>
      <x:c r="D56" s="2" t="str">
        <x:v>East</x:v>
      </x:c>
      <x:c r="E56" s="2" t="str">
        <x:v>P106</x:v>
      </x:c>
      <x:c r="F56" s="2" t="str">
        <x:v>Booked</x:v>
      </x:c>
      <x:c r="G56" s="2" t="n">
        <x:v>118</x:v>
      </x:c>
      <x:c r="H56" s="16" t="n">
        <x:v>27050</x:v>
      </x:c>
      <x:c r="I56" s="16" t="n">
        <x:v>15950</x:v>
      </x:c>
      <x:c r="J56" s="17"/>
    </x:row>
    <x:row r="57" ht="30" customHeight="1">
      <x:c r="A57" s="2" t="str">
        <x:v>AO-26056</x:v>
      </x:c>
      <x:c r="B57" s="15" t="d">
        <x:v>2026-10-12T00:00:00.000Z</x:v>
      </x:c>
      <x:c r="C57" s="2" t="str">
        <x:v>Corporate</x:v>
      </x:c>
      <x:c r="D57" s="2" t="str">
        <x:v>West</x:v>
      </x:c>
      <x:c r="E57" s="2" t="str">
        <x:v>P107</x:v>
      </x:c>
      <x:c r="F57" s="2" t="str">
        <x:v>Completed</x:v>
      </x:c>
      <x:c r="G57" s="2" t="n">
        <x:v>135</x:v>
      </x:c>
      <x:c r="H57" s="16" t="n">
        <x:v>25700</x:v>
      </x:c>
      <x:c r="I57" s="16" t="n">
        <x:v>16050</x:v>
      </x:c>
      <x:c r="J57" s="17" t="n">
        <x:v>4.9</x:v>
      </x:c>
    </x:row>
    <x:row r="58" ht="30" customHeight="1">
      <x:c r="A58" s="2" t="str">
        <x:v>AO-26057</x:v>
      </x:c>
      <x:c r="B58" s="15" t="d">
        <x:v>2026-10-17T00:00:00.000Z</x:v>
      </x:c>
      <x:c r="C58" s="2" t="str">
        <x:v>Nonprofit Gala</x:v>
      </x:c>
      <x:c r="D58" s="2" t="str">
        <x:v>North</x:v>
      </x:c>
      <x:c r="E58" s="2" t="str">
        <x:v>P101</x:v>
      </x:c>
      <x:c r="F58" s="2" t="str">
        <x:v>Completed</x:v>
      </x:c>
      <x:c r="G58" s="2" t="n">
        <x:v>122</x:v>
      </x:c>
      <x:c r="H58" s="16" t="n">
        <x:v>27450</x:v>
      </x:c>
      <x:c r="I58" s="16" t="n">
        <x:v>14250</x:v>
      </x:c>
      <x:c r="J58" s="17" t="n">
        <x:v>3.9</x:v>
      </x:c>
    </x:row>
    <x:row r="59" ht="30" customHeight="1">
      <x:c r="A59" s="2" t="str">
        <x:v>AO-26058</x:v>
      </x:c>
      <x:c r="B59" s="15" t="d">
        <x:v>2026-10-22T00:00:00.000Z</x:v>
      </x:c>
      <x:c r="C59" s="2" t="str">
        <x:v>Nonprofit Gala</x:v>
      </x:c>
      <x:c r="D59" s="2" t="str">
        <x:v>South</x:v>
      </x:c>
      <x:c r="E59" s="2" t="str">
        <x:v>P104</x:v>
      </x:c>
      <x:c r="F59" s="2" t="str">
        <x:v>Completed</x:v>
      </x:c>
      <x:c r="G59" s="2" t="n">
        <x:v>139</x:v>
      </x:c>
      <x:c r="H59" s="16" t="n">
        <x:v>29900</x:v>
      </x:c>
      <x:c r="I59" s="16" t="n">
        <x:v>16600</x:v>
      </x:c>
      <x:c r="J59" s="17" t="n">
        <x:v>4.1</x:v>
      </x:c>
    </x:row>
    <x:row r="60" ht="30" customHeight="1">
      <x:c r="A60" s="2" t="str">
        <x:v>AO-26059</x:v>
      </x:c>
      <x:c r="B60" s="15" t="d">
        <x:v>2026-10-27T00:00:00.000Z</x:v>
      </x:c>
      <x:c r="C60" s="2" t="str">
        <x:v>Nonprofit Gala</x:v>
      </x:c>
      <x:c r="D60" s="2" t="str">
        <x:v>East</x:v>
      </x:c>
      <x:c r="E60" s="2" t="str">
        <x:v>P105</x:v>
      </x:c>
      <x:c r="F60" s="2" t="str">
        <x:v>Completed</x:v>
      </x:c>
      <x:c r="G60" s="2" t="n">
        <x:v>156</x:v>
      </x:c>
      <x:c r="H60" s="16" t="n">
        <x:v>32350</x:v>
      </x:c>
      <x:c r="I60" s="16" t="n">
        <x:v>19100</x:v>
      </x:c>
      <x:c r="J60" s="17" t="n">
        <x:v>4.2</x:v>
      </x:c>
    </x:row>
    <x:row r="61" ht="30" customHeight="1">
      <x:c r="A61" s="2" t="str">
        <x:v>AO-26060</x:v>
      </x:c>
      <x:c r="B61" s="15" t="d">
        <x:v>2026-11-01T00:00:00.000Z</x:v>
      </x:c>
      <x:c r="C61" s="2" t="str">
        <x:v>Nonprofit Gala</x:v>
      </x:c>
      <x:c r="D61" s="2" t="str">
        <x:v>West</x:v>
      </x:c>
      <x:c r="E61" s="2" t="str">
        <x:v>P108</x:v>
      </x:c>
      <x:c r="F61" s="2" t="str">
        <x:v>Completed</x:v>
      </x:c>
      <x:c r="G61" s="2" t="n">
        <x:v>173</x:v>
      </x:c>
      <x:c r="H61" s="16" t="n">
        <x:v>34850</x:v>
      </x:c>
      <x:c r="I61" s="16" t="n">
        <x:v>21800</x:v>
      </x:c>
      <x:c r="J61" s="17" t="n">
        <x:v>4.4</x:v>
      </x:c>
    </x:row>
    <x:row r="62" ht="30" customHeight="1">
      <x:c r="A62" s="2" t="str">
        <x:v>AO-26061</x:v>
      </x:c>
      <x:c r="B62" s="15" t="d">
        <x:v>2026-11-06T00:00:00.000Z</x:v>
      </x:c>
      <x:c r="C62" s="2" t="str">
        <x:v>Private Celebration</x:v>
      </x:c>
      <x:c r="D62" s="2" t="str">
        <x:v>North</x:v>
      </x:c>
      <x:c r="E62" s="2" t="str">
        <x:v>P102</x:v>
      </x:c>
      <x:c r="F62" s="2" t="str">
        <x:v>Cancelled</x:v>
      </x:c>
      <x:c r="G62" s="2" t="n">
        <x:v>110</x:v>
      </x:c>
      <x:c r="H62" s="16" t="n">
        <x:v>19100</x:v>
      </x:c>
      <x:c r="I62" s="16" t="n">
        <x:v>9950</x:v>
      </x:c>
      <x:c r="J62" s="17"/>
    </x:row>
    <x:row r="63" ht="30" customHeight="1">
      <x:c r="A63" s="2" t="str">
        <x:v>AO-26062</x:v>
      </x:c>
      <x:c r="B63" s="15" t="d">
        <x:v>2026-11-11T00:00:00.000Z</x:v>
      </x:c>
      <x:c r="C63" s="2" t="str">
        <x:v>Private Celebration</x:v>
      </x:c>
      <x:c r="D63" s="2" t="str">
        <x:v>South</x:v>
      </x:c>
      <x:c r="E63" s="2" t="str">
        <x:v>P103</x:v>
      </x:c>
      <x:c r="F63" s="2" t="str">
        <x:v>Completed</x:v>
      </x:c>
      <x:c r="G63" s="2" t="n">
        <x:v>127</x:v>
      </x:c>
      <x:c r="H63" s="16" t="n">
        <x:v>21800</x:v>
      </x:c>
      <x:c r="I63" s="16" t="n">
        <x:v>12100</x:v>
      </x:c>
      <x:c r="J63" s="17" t="n">
        <x:v>4.7</x:v>
      </x:c>
    </x:row>
    <x:row r="64" ht="30" customHeight="1">
      <x:c r="A64" s="2" t="str">
        <x:v>AO-26063</x:v>
      </x:c>
      <x:c r="B64" s="15" t="d">
        <x:v>2026-11-16T00:00:00.000Z</x:v>
      </x:c>
      <x:c r="C64" s="2" t="str">
        <x:v>Private Celebration</x:v>
      </x:c>
      <x:c r="D64" s="2" t="str">
        <x:v>East</x:v>
      </x:c>
      <x:c r="E64" s="2" t="str">
        <x:v>P106</x:v>
      </x:c>
      <x:c r="F64" s="2" t="str">
        <x:v>Completed</x:v>
      </x:c>
      <x:c r="G64" s="2" t="n">
        <x:v>49</x:v>
      </x:c>
      <x:c r="H64" s="16" t="n">
        <x:v>14100</x:v>
      </x:c>
      <x:c r="I64" s="16" t="n">
        <x:v>8300</x:v>
      </x:c>
      <x:c r="J64" s="17" t="n">
        <x:v>4.9</x:v>
      </x:c>
    </x:row>
    <x:row r="65" ht="30" customHeight="1">
      <x:c r="A65" s="2" t="str">
        <x:v>AO-26064</x:v>
      </x:c>
      <x:c r="B65" s="15" t="d">
        <x:v>2026-11-21T00:00:00.000Z</x:v>
      </x:c>
      <x:c r="C65" s="2" t="str">
        <x:v>Private Celebration</x:v>
      </x:c>
      <x:c r="D65" s="2" t="str">
        <x:v>West</x:v>
      </x:c>
      <x:c r="E65" s="2" t="str">
        <x:v>P107</x:v>
      </x:c>
      <x:c r="F65" s="2" t="str">
        <x:v>Completed</x:v>
      </x:c>
      <x:c r="G65" s="2" t="n">
        <x:v>66</x:v>
      </x:c>
      <x:c r="H65" s="16" t="n">
        <x:v>16800</x:v>
      </x:c>
      <x:c r="I65" s="16" t="n">
        <x:v>10500</x:v>
      </x:c>
      <x:c r="J65" s="17" t="n">
        <x:v>3.9</x:v>
      </x:c>
    </x:row>
    <x:row r="66" ht="30" customHeight="1">
      <x:c r="A66" s="2" t="str">
        <x:v>AO-26065</x:v>
      </x:c>
      <x:c r="B66" s="15" t="d">
        <x:v>2026-11-26T00:00:00.000Z</x:v>
      </x:c>
      <x:c r="C66" s="2" t="str">
        <x:v>Wedding</x:v>
      </x:c>
      <x:c r="D66" s="2" t="str">
        <x:v>North</x:v>
      </x:c>
      <x:c r="E66" s="2" t="str">
        <x:v>P101</x:v>
      </x:c>
      <x:c r="F66" s="2" t="str">
        <x:v>Completed</x:v>
      </x:c>
      <x:c r="G66" s="2" t="n">
        <x:v>133</x:v>
      </x:c>
      <x:c r="H66" s="16" t="n">
        <x:v>40700</x:v>
      </x:c>
      <x:c r="I66" s="16" t="n">
        <x:v>21150</x:v>
      </x:c>
      <x:c r="J66" s="17" t="n">
        <x:v>4.1</x:v>
      </x:c>
    </x:row>
    <x:row r="67" ht="30" customHeight="1">
      <x:c r="A67" s="2" t="str">
        <x:v>AO-26066</x:v>
      </x:c>
      <x:c r="B67" s="15" t="d">
        <x:v>2026-12-01T00:00:00.000Z</x:v>
      </x:c>
      <x:c r="C67" s="2" t="str">
        <x:v>Wedding</x:v>
      </x:c>
      <x:c r="D67" s="2" t="str">
        <x:v>South</x:v>
      </x:c>
      <x:c r="E67" s="2" t="str">
        <x:v>P104</x:v>
      </x:c>
      <x:c r="F67" s="2" t="str">
        <x:v>Completed</x:v>
      </x:c>
      <x:c r="G67" s="2" t="n">
        <x:v>150</x:v>
      </x:c>
      <x:c r="H67" s="16" t="n">
        <x:v>39750</x:v>
      </x:c>
      <x:c r="I67" s="16" t="n">
        <x:v>22050</x:v>
      </x:c>
      <x:c r="J67" s="17" t="n">
        <x:v>4.2</x:v>
      </x:c>
    </x:row>
    <x:row r="68" ht="30" customHeight="1">
      <x:c r="A68" s="2" t="str">
        <x:v>AO-26067</x:v>
      </x:c>
      <x:c r="B68" s="15" t="d">
        <x:v>2026-12-06T00:00:00.000Z</x:v>
      </x:c>
      <x:c r="C68" s="2" t="str">
        <x:v>Wedding</x:v>
      </x:c>
      <x:c r="D68" s="2" t="str">
        <x:v>East</x:v>
      </x:c>
      <x:c r="E68" s="2" t="str">
        <x:v>P105</x:v>
      </x:c>
      <x:c r="F68" s="2" t="str">
        <x:v>Booked</x:v>
      </x:c>
      <x:c r="G68" s="2" t="n">
        <x:v>167</x:v>
      </x:c>
      <x:c r="H68" s="16" t="n">
        <x:v>43050</x:v>
      </x:c>
      <x:c r="I68" s="16" t="n">
        <x:v>25400</x:v>
      </x:c>
      <x:c r="J68" s="17"/>
    </x:row>
    <x:row r="69" ht="30" customHeight="1">
      <x:c r="A69" s="2" t="str">
        <x:v>AO-26068</x:v>
      </x:c>
      <x:c r="B69" s="15" t="d">
        <x:v>2026-12-11T00:00:00.000Z</x:v>
      </x:c>
      <x:c r="C69" s="2" t="str">
        <x:v>Wedding</x:v>
      </x:c>
      <x:c r="D69" s="2" t="str">
        <x:v>West</x:v>
      </x:c>
      <x:c r="E69" s="2" t="str">
        <x:v>P108</x:v>
      </x:c>
      <x:c r="F69" s="2" t="str">
        <x:v>Completed</x:v>
      </x:c>
      <x:c r="G69" s="2" t="n">
        <x:v>184</x:v>
      </x:c>
      <x:c r="H69" s="16" t="n">
        <x:v>46400</x:v>
      </x:c>
      <x:c r="I69" s="16" t="n">
        <x:v>29000</x:v>
      </x:c>
      <x:c r="J69" s="17" t="n">
        <x:v>4.5</x:v>
      </x:c>
    </x:row>
    <x:row r="70" ht="30" customHeight="1">
      <x:c r="A70" s="2" t="str">
        <x:v>AO-26069</x:v>
      </x:c>
      <x:c r="B70" s="15" t="d">
        <x:v>2026-12-16T00:00:00.000Z</x:v>
      </x:c>
      <x:c r="C70" s="2" t="str">
        <x:v>Corporate</x:v>
      </x:c>
      <x:c r="D70" s="2" t="str">
        <x:v>North</x:v>
      </x:c>
      <x:c r="E70" s="2" t="str">
        <x:v>P102</x:v>
      </x:c>
      <x:c r="F70" s="2" t="str">
        <x:v>Completed</x:v>
      </x:c>
      <x:c r="G70" s="2" t="n">
        <x:v>71</x:v>
      </x:c>
      <x:c r="H70" s="16" t="n">
        <x:v>20550</x:v>
      </x:c>
      <x:c r="I70" s="16" t="n">
        <x:v>10700</x:v>
      </x:c>
      <x:c r="J70" s="17" t="n">
        <x:v>4.7</x:v>
      </x:c>
    </x:row>
    <x:row r="71" ht="30" customHeight="1">
      <x:c r="A71" s="2" t="str">
        <x:v>AO-26070</x:v>
      </x:c>
      <x:c r="B71" s="15" t="d">
        <x:v>2026-12-21T00:00:00.000Z</x:v>
      </x:c>
      <x:c r="C71" s="2" t="str">
        <x:v>Corporate</x:v>
      </x:c>
      <x:c r="D71" s="2" t="str">
        <x:v>South</x:v>
      </x:c>
      <x:c r="E71" s="2" t="str">
        <x:v>P103</x:v>
      </x:c>
      <x:c r="F71" s="2" t="str">
        <x:v>Completed</x:v>
      </x:c>
      <x:c r="G71" s="2" t="n">
        <x:v>88</x:v>
      </x:c>
      <x:c r="H71" s="16" t="n">
        <x:v>23450</x:v>
      </x:c>
      <x:c r="I71" s="16" t="n">
        <x:v>13000</x:v>
      </x:c>
      <x:c r="J71" s="17" t="n">
        <x:v>4.9</x:v>
      </x:c>
    </x:row>
    <x:row r="72" ht="30" customHeight="1">
      <x:c r="A72" s="2" t="str">
        <x:v>AO-26071</x:v>
      </x:c>
      <x:c r="B72" s="15" t="d">
        <x:v>2026-12-26T00:00:00.000Z</x:v>
      </x:c>
      <x:c r="C72" s="2" t="str">
        <x:v>Corporate</x:v>
      </x:c>
      <x:c r="D72" s="2" t="str">
        <x:v>East</x:v>
      </x:c>
      <x:c r="E72" s="2" t="str">
        <x:v>P106</x:v>
      </x:c>
      <x:c r="F72" s="2" t="str">
        <x:v>Cancelled</x:v>
      </x:c>
      <x:c r="G72" s="2" t="n">
        <x:v>105</x:v>
      </x:c>
      <x:c r="H72" s="16" t="n">
        <x:v>22100</x:v>
      </x:c>
      <x:c r="I72" s="16" t="n">
        <x:v>13050</x:v>
      </x:c>
      <x:c r="J72" s="17"/>
    </x:row>
    <x:row r="73" ht="30" customHeight="1">
      <x:c r="A73" s="2" t="str">
        <x:v>AO-26072</x:v>
      </x:c>
      <x:c r="B73" s="15" t="d">
        <x:v>2026-12-31T00:00:00.000Z</x:v>
      </x:c>
      <x:c r="C73" s="2" t="str">
        <x:v>Corporate</x:v>
      </x:c>
      <x:c r="D73" s="2" t="str">
        <x:v>West</x:v>
      </x:c>
      <x:c r="E73" s="2" t="str">
        <x:v>P107</x:v>
      </x:c>
      <x:c r="F73" s="2" t="str">
        <x:v>Completed</x:v>
      </x:c>
      <x:c r="G73" s="2" t="n">
        <x:v>122</x:v>
      </x:c>
      <x:c r="H73" s="16" t="n">
        <x:v>25000</x:v>
      </x:c>
      <x:c r="I73" s="16" t="n">
        <x:v>15650</x:v>
      </x:c>
      <x:c r="J73" s="17" t="n">
        <x:v>4.1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7" t="str">
        <x:v>Planner ID</x:v>
      </x:c>
      <x:c r="B1" s="7" t="str">
        <x:v>Planner Name</x:v>
      </x:c>
      <x:c r="C1" s="7" t="str">
        <x:v>Home Region</x:v>
      </x:c>
      <x:c r="D1" s="7" t="str">
        <x:v>Monthly Capacity</x:v>
      </x:c>
      <x:c r="E1" s="7" t="str">
        <x:v>Satisfaction Target</x:v>
      </x:c>
    </x:row>
    <x:row r="2" ht="30" customHeight="1">
      <x:c r="A2" s="2" t="str">
        <x:v>P101</x:v>
      </x:c>
      <x:c r="B2" s="2" t="str">
        <x:v>Avery Chen</x:v>
      </x:c>
      <x:c r="C2" s="2" t="str">
        <x:v>North</x:v>
      </x:c>
      <x:c r="D2" s="2" t="n">
        <x:v>8</x:v>
      </x:c>
      <x:c r="E2" s="17" t="n">
        <x:v>4.6</x:v>
      </x:c>
    </x:row>
    <x:row r="3" ht="30" customHeight="1">
      <x:c r="A3" s="2" t="str">
        <x:v>P102</x:v>
      </x:c>
      <x:c r="B3" s="2" t="str">
        <x:v>Blake Ortiz</x:v>
      </x:c>
      <x:c r="C3" s="2" t="str">
        <x:v>North</x:v>
      </x:c>
      <x:c r="D3" s="2" t="n">
        <x:v>7</x:v>
      </x:c>
      <x:c r="E3" s="17" t="n">
        <x:v>4.5</x:v>
      </x:c>
    </x:row>
    <x:row r="4" ht="30" customHeight="1">
      <x:c r="A4" s="2" t="str">
        <x:v>P103</x:v>
      </x:c>
      <x:c r="B4" s="2" t="str">
        <x:v>Casey Patel</x:v>
      </x:c>
      <x:c r="C4" s="2" t="str">
        <x:v>South</x:v>
      </x:c>
      <x:c r="D4" s="2" t="n">
        <x:v>8</x:v>
      </x:c>
      <x:c r="E4" s="17" t="n">
        <x:v>4.6</x:v>
      </x:c>
    </x:row>
    <x:row r="5" ht="30" customHeight="1">
      <x:c r="A5" s="2" t="str">
        <x:v>P104</x:v>
      </x:c>
      <x:c r="B5" s="2" t="str">
        <x:v>Devon Reed</x:v>
      </x:c>
      <x:c r="C5" s="2" t="str">
        <x:v>South</x:v>
      </x:c>
      <x:c r="D5" s="2" t="n">
        <x:v>7</x:v>
      </x:c>
      <x:c r="E5" s="17" t="n">
        <x:v>4.7</x:v>
      </x:c>
    </x:row>
    <x:row r="6" ht="30" customHeight="1">
      <x:c r="A6" s="2" t="str">
        <x:v>P105</x:v>
      </x:c>
      <x:c r="B6" s="2" t="str">
        <x:v>Emery Silva</x:v>
      </x:c>
      <x:c r="C6" s="2" t="str">
        <x:v>East</x:v>
      </x:c>
      <x:c r="D6" s="2" t="n">
        <x:v>9</x:v>
      </x:c>
      <x:c r="E6" s="17" t="n">
        <x:v>4.5</x:v>
      </x:c>
    </x:row>
    <x:row r="7" ht="30" customHeight="1">
      <x:c r="A7" s="2" t="str">
        <x:v>P106</x:v>
      </x:c>
      <x:c r="B7" s="2" t="str">
        <x:v>Finley Morgan</x:v>
      </x:c>
      <x:c r="C7" s="2" t="str">
        <x:v>East</x:v>
      </x:c>
      <x:c r="D7" s="2" t="n">
        <x:v>8</x:v>
      </x:c>
      <x:c r="E7" s="17" t="n">
        <x:v>4.6</x:v>
      </x:c>
    </x:row>
    <x:row r="8" ht="30" customHeight="1">
      <x:c r="A8" s="2" t="str">
        <x:v>P107</x:v>
      </x:c>
      <x:c r="B8" s="2" t="str">
        <x:v>Jordan Lee</x:v>
      </x:c>
      <x:c r="C8" s="2" t="str">
        <x:v>West</x:v>
      </x:c>
      <x:c r="D8" s="2" t="n">
        <x:v>7</x:v>
      </x:c>
      <x:c r="E8" s="17" t="n">
        <x:v>4.5</x:v>
      </x:c>
    </x:row>
    <x:row r="9" ht="30" customHeight="1">
      <x:c r="A9" s="2" t="str">
        <x:v>P108</x:v>
      </x:c>
      <x:c r="B9" s="2" t="str">
        <x:v>Kai Robinson</x:v>
      </x:c>
      <x:c r="C9" s="2" t="str">
        <x:v>West</x:v>
      </x:c>
      <x:c r="D9" s="2" t="n">
        <x:v>8</x:v>
      </x:c>
      <x:c r="E9" s="17" t="n">
        <x:v>4.6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3" hidden="0" customWidth="1"/>
    <x:col min="12" max="12" width="25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0" customHeight="1">
      <x:c r="A1" s="7" t="str">
        <x:v>Booking ID</x:v>
      </x:c>
      <x:c r="B1" s="7" t="str">
        <x:v>Event Date</x:v>
      </x:c>
      <x:c r="C1" s="7" t="str">
        <x:v>Event Type</x:v>
      </x:c>
      <x:c r="D1" s="7" t="str">
        <x:v>Region</x:v>
      </x:c>
      <x:c r="E1" s="7" t="str">
        <x:v>Planner ID</x:v>
      </x:c>
      <x:c r="F1" s="7" t="str">
        <x:v>Status</x:v>
      </x:c>
      <x:c r="G1" s="7" t="str">
        <x:v>Guests</x:v>
      </x:c>
      <x:c r="H1" s="7" t="str">
        <x:v>Revenue</x:v>
      </x:c>
      <x:c r="I1" s="7" t="str">
        <x:v>Direct Cost</x:v>
      </x:c>
      <x:c r="J1" s="7" t="str">
        <x:v>Satisfaction</x:v>
      </x:c>
      <x:c r="L1" s="5" t="str">
        <x:v>Booking counts by region/status</x:v>
      </x:c>
      <x:c r="M1" s="2"/>
      <x:c r="N1" s="2"/>
      <x:c r="O1" s="2"/>
      <x:c r="P1" s="2"/>
    </x:row>
    <x:row r="2" ht="30" customHeight="1">
      <x:c r="A2" s="2" t="str">
        <x:v>AO-26001</x:v>
      </x:c>
      <x:c r="B2" s="15" t="d">
        <x:v>2026-01-10T00:00:00.000Z</x:v>
      </x:c>
      <x:c r="C2" s="2" t="str">
        <x:v>Wedding</x:v>
      </x:c>
      <x:c r="D2" s="2" t="str">
        <x:v>North</x:v>
      </x:c>
      <x:c r="E2" s="2" t="str">
        <x:v>P101</x:v>
      </x:c>
      <x:c r="F2" s="2" t="str">
        <x:v>Cancelled</x:v>
      </x:c>
      <x:c r="G2" s="2" t="n">
        <x:v>90</x:v>
      </x:c>
      <x:c r="H2" s="16" t="n">
        <x:v>31050</x:v>
      </x:c>
      <x:c r="I2" s="16" t="n">
        <x:v>16150</x:v>
      </x:c>
      <x:c r="J2" s="17"/>
      <x:c r="L2" s="2"/>
      <x:c r="M2" s="2"/>
      <x:c r="N2" s="2"/>
      <x:c r="O2" s="2"/>
      <x:c r="P2" s="2"/>
    </x:row>
    <x:row r="3" ht="30" customHeight="1">
      <x:c r="A3" s="2" t="str">
        <x:v>AO-26002</x:v>
      </x:c>
      <x:c r="B3" s="15" t="d">
        <x:v>2026-01-15T00:00:00.000Z</x:v>
      </x:c>
      <x:c r="C3" s="2" t="str">
        <x:v>Wedding</x:v>
      </x:c>
      <x:c r="D3" s="2" t="str">
        <x:v>South</x:v>
      </x:c>
      <x:c r="E3" s="2" t="str">
        <x:v>P104</x:v>
      </x:c>
      <x:c r="F3" s="2" t="str">
        <x:v>Completed</x:v>
      </x:c>
      <x:c r="G3" s="2" t="n">
        <x:v>107</x:v>
      </x:c>
      <x:c r="H3" s="16" t="n">
        <x:v>34350</x:v>
      </x:c>
      <x:c r="I3" s="16" t="n">
        <x:v>19050</x:v>
      </x:c>
      <x:c r="J3" s="17" t="n">
        <x:v>4.1</x:v>
      </x:c>
      <x:c r="L3" s="2"/>
      <x:c r="M3" s="2"/>
      <x:c r="N3" s="2"/>
      <x:c r="O3" s="2"/>
      <x:c r="P3" s="2"/>
    </x:row>
    <x:row r="4" ht="30" customHeight="1">
      <x:c r="A4" s="2" t="str">
        <x:v>AO-26003</x:v>
      </x:c>
      <x:c r="B4" s="15" t="d">
        <x:v>2026-01-20T00:00:00.000Z</x:v>
      </x:c>
      <x:c r="C4" s="2" t="str">
        <x:v>Wedding</x:v>
      </x:c>
      <x:c r="D4" s="2" t="str">
        <x:v>East</x:v>
      </x:c>
      <x:c r="E4" s="2" t="str">
        <x:v>P105</x:v>
      </x:c>
      <x:c r="F4" s="2" t="str">
        <x:v>Completed</x:v>
      </x:c>
      <x:c r="G4" s="2" t="n">
        <x:v>124</x:v>
      </x:c>
      <x:c r="H4" s="16" t="n">
        <x:v>37700</x:v>
      </x:c>
      <x:c r="I4" s="16" t="n">
        <x:v>22250</x:v>
      </x:c>
      <x:c r="J4" s="17" t="n">
        <x:v>4.2</x:v>
      </x:c>
      <x:c r="L4" s="2"/>
      <x:c r="M4" s="2"/>
      <x:c r="N4" s="2"/>
      <x:c r="O4" s="2"/>
      <x:c r="P4" s="2"/>
    </x:row>
    <x:row r="5" ht="30" customHeight="1">
      <x:c r="A5" s="2" t="str">
        <x:v>AO-26004</x:v>
      </x:c>
      <x:c r="B5" s="15" t="d">
        <x:v>2026-01-25T00:00:00.000Z</x:v>
      </x:c>
      <x:c r="C5" s="2" t="str">
        <x:v>Wedding</x:v>
      </x:c>
      <x:c r="D5" s="2" t="str">
        <x:v>West</x:v>
      </x:c>
      <x:c r="E5" s="2" t="str">
        <x:v>P108</x:v>
      </x:c>
      <x:c r="F5" s="2" t="str">
        <x:v>Completed</x:v>
      </x:c>
      <x:c r="G5" s="2" t="n">
        <x:v>141</x:v>
      </x:c>
      <x:c r="H5" s="16" t="n">
        <x:v>41000</x:v>
      </x:c>
      <x:c r="I5" s="16" t="n">
        <x:v>25650</x:v>
      </x:c>
      <x:c r="J5" s="17" t="n">
        <x:v>4.4</x:v>
      </x:c>
      <x:c r="L5" s="2"/>
      <x:c r="M5" s="2"/>
      <x:c r="N5" s="2"/>
      <x:c r="O5" s="2"/>
      <x:c r="P5" s="2"/>
    </x:row>
    <x:row r="6" ht="30" customHeight="1">
      <x:c r="A6" s="2" t="str">
        <x:v>AO-26005</x:v>
      </x:c>
      <x:c r="B6" s="15" t="d">
        <x:v>2026-01-30T00:00:00.000Z</x:v>
      </x:c>
      <x:c r="C6" s="2" t="str">
        <x:v>Corporate</x:v>
      </x:c>
      <x:c r="D6" s="2" t="str">
        <x:v>North</x:v>
      </x:c>
      <x:c r="E6" s="2" t="str">
        <x:v>P102</x:v>
      </x:c>
      <x:c r="F6" s="2" t="str">
        <x:v>Completed</x:v>
      </x:c>
      <x:c r="G6" s="2" t="n">
        <x:v>123</x:v>
      </x:c>
      <x:c r="H6" s="16" t="n">
        <x:v>27650</x:v>
      </x:c>
      <x:c r="I6" s="16" t="n">
        <x:v>14400</x:v>
      </x:c>
      <x:c r="J6" s="17" t="n">
        <x:v>4.5</x:v>
      </x:c>
      <x:c r="L6" s="2"/>
      <x:c r="M6" s="2"/>
      <x:c r="N6" s="2"/>
      <x:c r="O6" s="2"/>
      <x:c r="P6" s="2"/>
    </x:row>
    <x:row r="7" ht="30" customHeight="1">
      <x:c r="A7" s="2" t="str">
        <x:v>AO-26006</x:v>
      </x:c>
      <x:c r="B7" s="15" t="d">
        <x:v>2026-02-04T00:00:00.000Z</x:v>
      </x:c>
      <x:c r="C7" s="2" t="str">
        <x:v>Corporate</x:v>
      </x:c>
      <x:c r="D7" s="2" t="str">
        <x:v>South</x:v>
      </x:c>
      <x:c r="E7" s="2" t="str">
        <x:v>P103</x:v>
      </x:c>
      <x:c r="F7" s="2" t="str">
        <x:v>Completed</x:v>
      </x:c>
      <x:c r="G7" s="2" t="n">
        <x:v>140</x:v>
      </x:c>
      <x:c r="H7" s="16" t="n">
        <x:v>26300</x:v>
      </x:c>
      <x:c r="I7" s="16" t="n">
        <x:v>14600</x:v>
      </x:c>
      <x:c r="J7" s="17" t="n">
        <x:v>4.7</x:v>
      </x:c>
      <x:c r="L7" s="2"/>
      <x:c r="M7" s="2"/>
      <x:c r="N7" s="2"/>
      <x:c r="O7" s="2"/>
      <x:c r="P7" s="2"/>
    </x:row>
    <x:row r="8" ht="30" customHeight="1">
      <x:c r="A8" s="2" t="str">
        <x:v>AO-26007</x:v>
      </x:c>
      <x:c r="B8" s="15" t="d">
        <x:v>2026-02-09T00:00:00.000Z</x:v>
      </x:c>
      <x:c r="C8" s="2" t="str">
        <x:v>Corporate</x:v>
      </x:c>
      <x:c r="D8" s="2" t="str">
        <x:v>East</x:v>
      </x:c>
      <x:c r="E8" s="2" t="str">
        <x:v>P106</x:v>
      </x:c>
      <x:c r="F8" s="2" t="str">
        <x:v>Booked</x:v>
      </x:c>
      <x:c r="G8" s="2" t="n">
        <x:v>62</x:v>
      </x:c>
      <x:c r="H8" s="16" t="n">
        <x:v>17800</x:v>
      </x:c>
      <x:c r="I8" s="16" t="n">
        <x:v>10500</x:v>
      </x:c>
      <x:c r="J8" s="17"/>
      <x:c r="L8" s="2"/>
      <x:c r="M8" s="2"/>
      <x:c r="N8" s="2"/>
      <x:c r="O8" s="2"/>
      <x:c r="P8" s="2"/>
    </x:row>
    <x:row r="9" ht="30" customHeight="1">
      <x:c r="A9" s="2" t="str">
        <x:v>AO-26008</x:v>
      </x:c>
      <x:c r="B9" s="15" t="d">
        <x:v>2026-02-14T00:00:00.000Z</x:v>
      </x:c>
      <x:c r="C9" s="2" t="str">
        <x:v>Corporate</x:v>
      </x:c>
      <x:c r="D9" s="2" t="str">
        <x:v>West</x:v>
      </x:c>
      <x:c r="E9" s="2" t="str">
        <x:v>P107</x:v>
      </x:c>
      <x:c r="F9" s="2" t="str">
        <x:v>Completed</x:v>
      </x:c>
      <x:c r="G9" s="2" t="n">
        <x:v>79</x:v>
      </x:c>
      <x:c r="H9" s="16" t="n">
        <x:v>20700</x:v>
      </x:c>
      <x:c r="I9" s="16" t="n">
        <x:v>12950</x:v>
      </x:c>
      <x:c r="J9" s="17" t="n">
        <x:v>3.9</x:v>
      </x:c>
      <x:c r="L9" s="2"/>
      <x:c r="M9" s="2"/>
      <x:c r="N9" s="2"/>
      <x:c r="O9" s="2"/>
      <x:c r="P9" s="2"/>
    </x:row>
    <x:row r="10" ht="44" customHeight="1">
      <x:c r="A10" s="2" t="str">
        <x:v>AO-26009</x:v>
      </x:c>
      <x:c r="B10" s="15" t="d">
        <x:v>2026-02-19T00:00:00.000Z</x:v>
      </x:c>
      <x:c r="C10" s="2" t="str">
        <x:v>Nonprofit Gala</x:v>
      </x:c>
      <x:c r="D10" s="2" t="str">
        <x:v>North</x:v>
      </x:c>
      <x:c r="E10" s="2" t="str">
        <x:v>P101</x:v>
      </x:c>
      <x:c r="F10" s="2" t="str">
        <x:v>Completed</x:v>
      </x:c>
      <x:c r="G10" s="2" t="n">
        <x:v>161</x:v>
      </x:c>
      <x:c r="H10" s="16" t="n">
        <x:v>32850</x:v>
      </x:c>
      <x:c r="I10" s="16" t="n">
        <x:v>17100</x:v>
      </x:c>
      <x:c r="J10" s="17" t="n">
        <x:v>4.1</x:v>
      </x:c>
      <x:c r="L10" s="3" t="str">
        <x:v>At L3: Rows = Region; Columns = Status; Values = Count of Booking ID.</x:v>
      </x:c>
      <x:c r="M10" s="3"/>
      <x:c r="N10" s="3"/>
      <x:c r="O10" s="3"/>
      <x:c r="P10" s="3"/>
    </x:row>
    <x:row r="11" ht="30" customHeight="1">
      <x:c r="A11" s="2" t="str">
        <x:v>AO-26010</x:v>
      </x:c>
      <x:c r="B11" s="15" t="d">
        <x:v>2026-02-24T00:00:00.000Z</x:v>
      </x:c>
      <x:c r="C11" s="2" t="str">
        <x:v>Nonprofit Gala</x:v>
      </x:c>
      <x:c r="D11" s="2" t="str">
        <x:v>South</x:v>
      </x:c>
      <x:c r="E11" s="2" t="str">
        <x:v>P104</x:v>
      </x:c>
      <x:c r="F11" s="2" t="str">
        <x:v>Completed</x:v>
      </x:c>
      <x:c r="G11" s="2" t="n">
        <x:v>178</x:v>
      </x:c>
      <x:c r="H11" s="16" t="n">
        <x:v>35300</x:v>
      </x:c>
      <x:c r="I11" s="16" t="n">
        <x:v>19600</x:v>
      </x:c>
      <x:c r="J11" s="17" t="n">
        <x:v>4.2</x:v>
      </x:c>
      <x:c r="L11" s="2"/>
      <x:c r="M11" s="2"/>
      <x:c r="N11" s="2"/>
      <x:c r="O11" s="2"/>
      <x:c r="P11" s="2"/>
    </x:row>
    <x:row r="12" ht="30" customHeight="1">
      <x:c r="A12" s="2" t="str">
        <x:v>AO-26011</x:v>
      </x:c>
      <x:c r="B12" s="15" t="d">
        <x:v>2026-03-01T00:00:00.000Z</x:v>
      </x:c>
      <x:c r="C12" s="2" t="str">
        <x:v>Nonprofit Gala</x:v>
      </x:c>
      <x:c r="D12" s="2" t="str">
        <x:v>East</x:v>
      </x:c>
      <x:c r="E12" s="2" t="str">
        <x:v>P105</x:v>
      </x:c>
      <x:c r="F12" s="2" t="str">
        <x:v>Cancelled</x:v>
      </x:c>
      <x:c r="G12" s="2" t="n">
        <x:v>195</x:v>
      </x:c>
      <x:c r="H12" s="16" t="n">
        <x:v>33550</x:v>
      </x:c>
      <x:c r="I12" s="16" t="n">
        <x:v>19800</x:v>
      </x:c>
      <x:c r="J12" s="17"/>
      <x:c r="L12" s="5" t="str">
        <x:v>Recorded Revenue by region</x:v>
      </x:c>
      <x:c r="M12" s="2"/>
      <x:c r="N12" s="2"/>
      <x:c r="O12" s="2"/>
      <x:c r="P12" s="2"/>
    </x:row>
    <x:row r="13" ht="30" customHeight="1">
      <x:c r="A13" s="2" t="str">
        <x:v>AO-26012</x:v>
      </x:c>
      <x:c r="B13" s="15" t="d">
        <x:v>2026-03-06T00:00:00.000Z</x:v>
      </x:c>
      <x:c r="C13" s="2" t="str">
        <x:v>Nonprofit Gala</x:v>
      </x:c>
      <x:c r="D13" s="2" t="str">
        <x:v>West</x:v>
      </x:c>
      <x:c r="E13" s="2" t="str">
        <x:v>P108</x:v>
      </x:c>
      <x:c r="F13" s="2" t="str">
        <x:v>Completed</x:v>
      </x:c>
      <x:c r="G13" s="2" t="n">
        <x:v>212</x:v>
      </x:c>
      <x:c r="H13" s="16" t="n">
        <x:v>36000</x:v>
      </x:c>
      <x:c r="I13" s="16" t="n">
        <x:v>22500</x:v>
      </x:c>
      <x:c r="J13" s="17" t="n">
        <x:v>4.5</x:v>
      </x:c>
      <x:c r="L13" s="2"/>
      <x:c r="M13" s="2"/>
      <x:c r="N13" s="2"/>
      <x:c r="O13" s="2"/>
      <x:c r="P13" s="2"/>
    </x:row>
    <x:row r="14" ht="30" customHeight="1">
      <x:c r="A14" s="2" t="str">
        <x:v>AO-26013</x:v>
      </x:c>
      <x:c r="B14" s="15" t="d">
        <x:v>2026-03-11T00:00:00.000Z</x:v>
      </x:c>
      <x:c r="C14" s="2" t="str">
        <x:v>Private Celebration</x:v>
      </x:c>
      <x:c r="D14" s="2" t="str">
        <x:v>North</x:v>
      </x:c>
      <x:c r="E14" s="2" t="str">
        <x:v>P102</x:v>
      </x:c>
      <x:c r="F14" s="2" t="str">
        <x:v>Booked</x:v>
      </x:c>
      <x:c r="G14" s="2" t="n">
        <x:v>54</x:v>
      </x:c>
      <x:c r="H14" s="16" t="n">
        <x:v>14650</x:v>
      </x:c>
      <x:c r="I14" s="16" t="n">
        <x:v>7600</x:v>
      </x:c>
      <x:c r="J14" s="17"/>
      <x:c r="L14" s="2"/>
      <x:c r="M14" s="2"/>
      <x:c r="N14" s="2"/>
      <x:c r="O14" s="2"/>
      <x:c r="P14" s="2"/>
    </x:row>
    <x:row r="15" ht="30" customHeight="1">
      <x:c r="A15" s="2" t="str">
        <x:v>AO-26014</x:v>
      </x:c>
      <x:c r="B15" s="15" t="d">
        <x:v>2026-03-16T00:00:00.000Z</x:v>
      </x:c>
      <x:c r="C15" s="2" t="str">
        <x:v>Private Celebration</x:v>
      </x:c>
      <x:c r="D15" s="2" t="str">
        <x:v>South</x:v>
      </x:c>
      <x:c r="E15" s="2" t="str">
        <x:v>P103</x:v>
      </x:c>
      <x:c r="F15" s="2" t="str">
        <x:v>Completed</x:v>
      </x:c>
      <x:c r="G15" s="2" t="n">
        <x:v>71</x:v>
      </x:c>
      <x:c r="H15" s="16" t="n">
        <x:v>17350</x:v>
      </x:c>
      <x:c r="I15" s="16" t="n">
        <x:v>9650</x:v>
      </x:c>
      <x:c r="J15" s="17" t="n">
        <x:v>4.9</x:v>
      </x:c>
      <x:c r="L15" s="2"/>
      <x:c r="M15" s="2"/>
      <x:c r="N15" s="2"/>
      <x:c r="O15" s="2"/>
      <x:c r="P15" s="2"/>
    </x:row>
    <x:row r="16" ht="30" customHeight="1">
      <x:c r="A16" s="2" t="str">
        <x:v>AO-26015</x:v>
      </x:c>
      <x:c r="B16" s="15" t="d">
        <x:v>2026-03-21T00:00:00.000Z</x:v>
      </x:c>
      <x:c r="C16" s="2" t="str">
        <x:v>Private Celebration</x:v>
      </x:c>
      <x:c r="D16" s="2" t="str">
        <x:v>East</x:v>
      </x:c>
      <x:c r="E16" s="2" t="str">
        <x:v>P106</x:v>
      </x:c>
      <x:c r="F16" s="2" t="str">
        <x:v>Completed</x:v>
      </x:c>
      <x:c r="G16" s="2" t="n">
        <x:v>88</x:v>
      </x:c>
      <x:c r="H16" s="16" t="n">
        <x:v>20100</x:v>
      </x:c>
      <x:c r="I16" s="16" t="n">
        <x:v>11850</x:v>
      </x:c>
      <x:c r="J16" s="17" t="n">
        <x:v>3.9</x:v>
      </x:c>
      <x:c r="L16" s="2"/>
      <x:c r="M16" s="2"/>
      <x:c r="N16" s="2"/>
      <x:c r="O16" s="2"/>
      <x:c r="P16" s="2"/>
    </x:row>
    <x:row r="17" ht="30" customHeight="1">
      <x:c r="A17" s="2" t="str">
        <x:v>AO-26016</x:v>
      </x:c>
      <x:c r="B17" s="15" t="d">
        <x:v>2026-03-26T00:00:00.000Z</x:v>
      </x:c>
      <x:c r="C17" s="2" t="str">
        <x:v>Private Celebration</x:v>
      </x:c>
      <x:c r="D17" s="2" t="str">
        <x:v>West</x:v>
      </x:c>
      <x:c r="E17" s="2" t="str">
        <x:v>P107</x:v>
      </x:c>
      <x:c r="F17" s="2" t="str">
        <x:v>Completed</x:v>
      </x:c>
      <x:c r="G17" s="2" t="n">
        <x:v>105</x:v>
      </x:c>
      <x:c r="H17" s="16" t="n">
        <x:v>18550</x:v>
      </x:c>
      <x:c r="I17" s="16" t="n">
        <x:v>11600</x:v>
      </x:c>
      <x:c r="J17" s="17" t="n">
        <x:v>4.1</x:v>
      </x:c>
      <x:c r="L17" s="2"/>
      <x:c r="M17" s="2"/>
      <x:c r="N17" s="2"/>
      <x:c r="O17" s="2"/>
      <x:c r="P17" s="2"/>
    </x:row>
    <x:row r="18" ht="30" customHeight="1">
      <x:c r="A18" s="2" t="str">
        <x:v>AO-26017</x:v>
      </x:c>
      <x:c r="B18" s="15" t="d">
        <x:v>2026-03-31T00:00:00.000Z</x:v>
      </x:c>
      <x:c r="C18" s="2" t="str">
        <x:v>Wedding</x:v>
      </x:c>
      <x:c r="D18" s="2" t="str">
        <x:v>North</x:v>
      </x:c>
      <x:c r="E18" s="2" t="str">
        <x:v>P101</x:v>
      </x:c>
      <x:c r="F18" s="2" t="str">
        <x:v>Completed</x:v>
      </x:c>
      <x:c r="G18" s="2" t="n">
        <x:v>172</x:v>
      </x:c>
      <x:c r="H18" s="16" t="n">
        <x:v>43800</x:v>
      </x:c>
      <x:c r="I18" s="16" t="n">
        <x:v>22800</x:v>
      </x:c>
      <x:c r="J18" s="17" t="n">
        <x:v>4.2</x:v>
      </x:c>
      <x:c r="L18" s="2"/>
      <x:c r="M18" s="2"/>
      <x:c r="N18" s="2"/>
      <x:c r="O18" s="2"/>
      <x:c r="P18" s="2"/>
    </x:row>
    <x:row r="19" ht="30" customHeight="1">
      <x:c r="A19" s="2" t="str">
        <x:v>AO-26018</x:v>
      </x:c>
      <x:c r="B19" s="15" t="d">
        <x:v>2026-04-05T00:00:00.000Z</x:v>
      </x:c>
      <x:c r="C19" s="2" t="str">
        <x:v>Wedding</x:v>
      </x:c>
      <x:c r="D19" s="2" t="str">
        <x:v>South</x:v>
      </x:c>
      <x:c r="E19" s="2" t="str">
        <x:v>P104</x:v>
      </x:c>
      <x:c r="F19" s="2" t="str">
        <x:v>Completed</x:v>
      </x:c>
      <x:c r="G19" s="2" t="n">
        <x:v>94</x:v>
      </x:c>
      <x:c r="H19" s="16" t="n">
        <x:v>33350</x:v>
      </x:c>
      <x:c r="I19" s="16" t="n">
        <x:v>18500</x:v>
      </x:c>
      <x:c r="J19" s="17" t="n">
        <x:v>4.4</x:v>
      </x:c>
      <x:c r="L19" s="2"/>
      <x:c r="M19" s="2"/>
      <x:c r="N19" s="2"/>
      <x:c r="O19" s="2"/>
      <x:c r="P19" s="2"/>
    </x:row>
    <x:row r="20" ht="30" customHeight="1">
      <x:c r="A20" s="2" t="str">
        <x:v>AO-26019</x:v>
      </x:c>
      <x:c r="B20" s="15" t="d">
        <x:v>2026-04-10T00:00:00.000Z</x:v>
      </x:c>
      <x:c r="C20" s="2" t="str">
        <x:v>Wedding</x:v>
      </x:c>
      <x:c r="D20" s="2" t="str">
        <x:v>East</x:v>
      </x:c>
      <x:c r="E20" s="2" t="str">
        <x:v>P105</x:v>
      </x:c>
      <x:c r="F20" s="2" t="str">
        <x:v>Booked</x:v>
      </x:c>
      <x:c r="G20" s="2" t="n">
        <x:v>111</x:v>
      </x:c>
      <x:c r="H20" s="16" t="n">
        <x:v>36650</x:v>
      </x:c>
      <x:c r="I20" s="16" t="n">
        <x:v>21600</x:v>
      </x:c>
      <x:c r="J20" s="17"/>
      <x:c r="L20" s="2"/>
      <x:c r="M20" s="2"/>
      <x:c r="N20" s="2"/>
      <x:c r="O20" s="2"/>
      <x:c r="P20" s="2"/>
    </x:row>
    <x:row r="21" ht="44" customHeight="1">
      <x:c r="A21" s="2" t="str">
        <x:v>AO-26020</x:v>
      </x:c>
      <x:c r="B21" s="15" t="d">
        <x:v>2026-04-15T00:00:00.000Z</x:v>
      </x:c>
      <x:c r="C21" s="2" t="str">
        <x:v>Wedding</x:v>
      </x:c>
      <x:c r="D21" s="2" t="str">
        <x:v>West</x:v>
      </x:c>
      <x:c r="E21" s="2" t="str">
        <x:v>P108</x:v>
      </x:c>
      <x:c r="F21" s="2" t="str">
        <x:v>Completed</x:v>
      </x:c>
      <x:c r="G21" s="2" t="n">
        <x:v>128</x:v>
      </x:c>
      <x:c r="H21" s="16" t="n">
        <x:v>39950</x:v>
      </x:c>
      <x:c r="I21" s="16" t="n">
        <x:v>24950</x:v>
      </x:c>
      <x:c r="J21" s="17" t="n">
        <x:v>4.7</x:v>
      </x:c>
      <x:c r="L21" s="3" t="str">
        <x:v>At L14: Rows = Region; Values = Sum of Revenue.</x:v>
      </x:c>
      <x:c r="M21" s="3"/>
      <x:c r="N21" s="3"/>
      <x:c r="O21" s="3"/>
      <x:c r="P21" s="3"/>
    </x:row>
    <x:row r="22" ht="30" customHeight="1">
      <x:c r="A22" s="2" t="str">
        <x:v>AO-26021</x:v>
      </x:c>
      <x:c r="B22" s="15" t="d">
        <x:v>2026-04-20T00:00:00.000Z</x:v>
      </x:c>
      <x:c r="C22" s="2" t="str">
        <x:v>Corporate</x:v>
      </x:c>
      <x:c r="D22" s="2" t="str">
        <x:v>North</x:v>
      </x:c>
      <x:c r="E22" s="2" t="str">
        <x:v>P102</x:v>
      </x:c>
      <x:c r="F22" s="2" t="str">
        <x:v>Cancelled</x:v>
      </x:c>
      <x:c r="G22" s="2" t="n">
        <x:v>110</x:v>
      </x:c>
      <x:c r="H22" s="16" t="n">
        <x:v>22700</x:v>
      </x:c>
      <x:c r="I22" s="16" t="n">
        <x:v>11800</x:v>
      </x:c>
      <x:c r="J22" s="17"/>
    </x:row>
    <x:row r="23" ht="30" customHeight="1">
      <x:c r="A23" s="2" t="str">
        <x:v>AO-26022</x:v>
      </x:c>
      <x:c r="B23" s="15" t="d">
        <x:v>2026-04-25T00:00:00.000Z</x:v>
      </x:c>
      <x:c r="C23" s="2" t="str">
        <x:v>Corporate</x:v>
      </x:c>
      <x:c r="D23" s="2" t="str">
        <x:v>South</x:v>
      </x:c>
      <x:c r="E23" s="2" t="str">
        <x:v>P103</x:v>
      </x:c>
      <x:c r="F23" s="2" t="str">
        <x:v>Completed</x:v>
      </x:c>
      <x:c r="G23" s="2" t="n">
        <x:v>127</x:v>
      </x:c>
      <x:c r="H23" s="16" t="n">
        <x:v>25600</x:v>
      </x:c>
      <x:c r="I23" s="16" t="n">
        <x:v>14200</x:v>
      </x:c>
      <x:c r="J23" s="17" t="n">
        <x:v>3.9</x:v>
      </x:c>
      <x:c r="L23" s="18" t="str">
        <x:v>Select A1:J73 → Insert → Table; name it BookingsData. Insert each PivotTable on this worksheet at L3 and L14. Compare counts with recorded Revenue; refresh after source edits.</x:v>
      </x:c>
      <x:c r="M23" s="18"/>
      <x:c r="N23" s="18"/>
      <x:c r="O23" s="18"/>
      <x:c r="P23" s="18"/>
    </x:row>
    <x:row r="24" ht="30" customHeight="1">
      <x:c r="A24" s="2" t="str">
        <x:v>AO-26023</x:v>
      </x:c>
      <x:c r="B24" s="15" t="d">
        <x:v>2026-04-30T00:00:00.000Z</x:v>
      </x:c>
      <x:c r="C24" s="2" t="str">
        <x:v>Corporate</x:v>
      </x:c>
      <x:c r="D24" s="2" t="str">
        <x:v>East</x:v>
      </x:c>
      <x:c r="E24" s="2" t="str">
        <x:v>P106</x:v>
      </x:c>
      <x:c r="F24" s="2" t="str">
        <x:v>Completed</x:v>
      </x:c>
      <x:c r="G24" s="2" t="n">
        <x:v>144</x:v>
      </x:c>
      <x:c r="H24" s="16" t="n">
        <x:v>28500</x:v>
      </x:c>
      <x:c r="I24" s="16" t="n">
        <x:v>16800</x:v>
      </x:c>
      <x:c r="J24" s="17" t="n">
        <x:v>4.1</x:v>
      </x:c>
      <x:c r="L24" s="18"/>
      <x:c r="M24" s="18"/>
      <x:c r="N24" s="18"/>
      <x:c r="O24" s="18"/>
      <x:c r="P24" s="18"/>
    </x:row>
    <x:row r="25" ht="30" customHeight="1">
      <x:c r="A25" s="2" t="str">
        <x:v>AO-26024</x:v>
      </x:c>
      <x:c r="B25" s="15" t="d">
        <x:v>2026-05-05T00:00:00.000Z</x:v>
      </x:c>
      <x:c r="C25" s="2" t="str">
        <x:v>Corporate</x:v>
      </x:c>
      <x:c r="D25" s="2" t="str">
        <x:v>West</x:v>
      </x:c>
      <x:c r="E25" s="2" t="str">
        <x:v>P107</x:v>
      </x:c>
      <x:c r="F25" s="2" t="str">
        <x:v>Completed</x:v>
      </x:c>
      <x:c r="G25" s="2" t="n">
        <x:v>66</x:v>
      </x:c>
      <x:c r="H25" s="16" t="n">
        <x:v>19950</x:v>
      </x:c>
      <x:c r="I25" s="16" t="n">
        <x:v>12450</x:v>
      </x:c>
      <x:c r="J25" s="17" t="n">
        <x:v>4.2</x:v>
      </x:c>
      <x:c r="L25" s="18"/>
      <x:c r="M25" s="18"/>
      <x:c r="N25" s="18"/>
      <x:c r="O25" s="18"/>
      <x:c r="P25" s="18"/>
    </x:row>
    <x:row r="26" ht="30" customHeight="1">
      <x:c r="A26" s="2" t="str">
        <x:v>AO-26025</x:v>
      </x:c>
      <x:c r="B26" s="15" t="d">
        <x:v>2026-05-10T00:00:00.000Z</x:v>
      </x:c>
      <x:c r="C26" s="2" t="str">
        <x:v>Nonprofit Gala</x:v>
      </x:c>
      <x:c r="D26" s="2" t="str">
        <x:v>North</x:v>
      </x:c>
      <x:c r="E26" s="2" t="str">
        <x:v>P101</x:v>
      </x:c>
      <x:c r="F26" s="2" t="str">
        <x:v>Booked</x:v>
      </x:c>
      <x:c r="G26" s="2" t="n">
        <x:v>148</x:v>
      </x:c>
      <x:c r="H26" s="16" t="n">
        <x:v>32450</x:v>
      </x:c>
      <x:c r="I26" s="16" t="n">
        <x:v>16850</x:v>
      </x:c>
      <x:c r="J26" s="17"/>
    </x:row>
    <x:row r="27" ht="30" customHeight="1">
      <x:c r="A27" s="2" t="str">
        <x:v>AO-26026</x:v>
      </x:c>
      <x:c r="B27" s="15" t="d">
        <x:v>2026-05-15T00:00:00.000Z</x:v>
      </x:c>
      <x:c r="C27" s="2" t="str">
        <x:v>Nonprofit Gala</x:v>
      </x:c>
      <x:c r="D27" s="2" t="str">
        <x:v>South</x:v>
      </x:c>
      <x:c r="E27" s="2" t="str">
        <x:v>P104</x:v>
      </x:c>
      <x:c r="F27" s="2" t="str">
        <x:v>Completed</x:v>
      </x:c>
      <x:c r="G27" s="2" t="n">
        <x:v>165</x:v>
      </x:c>
      <x:c r="H27" s="16" t="n">
        <x:v>30700</x:v>
      </x:c>
      <x:c r="I27" s="16" t="n">
        <x:v>17050</x:v>
      </x:c>
      <x:c r="J27" s="17" t="n">
        <x:v>4.5</x:v>
      </x:c>
    </x:row>
    <x:row r="28" ht="30" customHeight="1">
      <x:c r="A28" s="2" t="str">
        <x:v>AO-26027</x:v>
      </x:c>
      <x:c r="B28" s="15" t="d">
        <x:v>2026-05-20T00:00:00.000Z</x:v>
      </x:c>
      <x:c r="C28" s="2" t="str">
        <x:v>Nonprofit Gala</x:v>
      </x:c>
      <x:c r="D28" s="2" t="str">
        <x:v>East</x:v>
      </x:c>
      <x:c r="E28" s="2" t="str">
        <x:v>P105</x:v>
      </x:c>
      <x:c r="F28" s="2" t="str">
        <x:v>Completed</x:v>
      </x:c>
      <x:c r="G28" s="2" t="n">
        <x:v>182</x:v>
      </x:c>
      <x:c r="H28" s="16" t="n">
        <x:v>33150</x:v>
      </x:c>
      <x:c r="I28" s="16" t="n">
        <x:v>19550</x:v>
      </x:c>
      <x:c r="J28" s="17" t="n">
        <x:v>4.7</x:v>
      </x:c>
    </x:row>
    <x:row r="29" ht="30" customHeight="1">
      <x:c r="A29" s="2" t="str">
        <x:v>AO-26028</x:v>
      </x:c>
      <x:c r="B29" s="15" t="d">
        <x:v>2026-05-25T00:00:00.000Z</x:v>
      </x:c>
      <x:c r="C29" s="2" t="str">
        <x:v>Nonprofit Gala</x:v>
      </x:c>
      <x:c r="D29" s="2" t="str">
        <x:v>West</x:v>
      </x:c>
      <x:c r="E29" s="2" t="str">
        <x:v>P108</x:v>
      </x:c>
      <x:c r="F29" s="2" t="str">
        <x:v>Completed</x:v>
      </x:c>
      <x:c r="G29" s="2" t="n">
        <x:v>199</x:v>
      </x:c>
      <x:c r="H29" s="16" t="n">
        <x:v>35600</x:v>
      </x:c>
      <x:c r="I29" s="16" t="n">
        <x:v>22250</x:v>
      </x:c>
      <x:c r="J29" s="17" t="n">
        <x:v>4.9</x:v>
      </x:c>
    </x:row>
    <x:row r="30" ht="30" customHeight="1">
      <x:c r="A30" s="2" t="str">
        <x:v>AO-26029</x:v>
      </x:c>
      <x:c r="B30" s="15" t="d">
        <x:v>2026-05-30T00:00:00.000Z</x:v>
      </x:c>
      <x:c r="C30" s="2" t="str">
        <x:v>Private Celebration</x:v>
      </x:c>
      <x:c r="D30" s="2" t="str">
        <x:v>North</x:v>
      </x:c>
      <x:c r="E30" s="2" t="str">
        <x:v>P102</x:v>
      </x:c>
      <x:c r="F30" s="2" t="str">
        <x:v>Completed</x:v>
      </x:c>
      <x:c r="G30" s="2" t="n">
        <x:v>41</x:v>
      </x:c>
      <x:c r="H30" s="16" t="n">
        <x:v>14050</x:v>
      </x:c>
      <x:c r="I30" s="16" t="n">
        <x:v>7300</x:v>
      </x:c>
      <x:c r="J30" s="17" t="n">
        <x:v>3.9</x:v>
      </x:c>
    </x:row>
    <x:row r="31" ht="30" customHeight="1">
      <x:c r="A31" s="2" t="str">
        <x:v>AO-26030</x:v>
      </x:c>
      <x:c r="B31" s="15" t="d">
        <x:v>2026-06-04T00:00:00.000Z</x:v>
      </x:c>
      <x:c r="C31" s="2" t="str">
        <x:v>Private Celebration</x:v>
      </x:c>
      <x:c r="D31" s="2" t="str">
        <x:v>South</x:v>
      </x:c>
      <x:c r="E31" s="2" t="str">
        <x:v>P103</x:v>
      </x:c>
      <x:c r="F31" s="2" t="str">
        <x:v>Completed</x:v>
      </x:c>
      <x:c r="G31" s="2" t="n">
        <x:v>58</x:v>
      </x:c>
      <x:c r="H31" s="16" t="n">
        <x:v>16800</x:v>
      </x:c>
      <x:c r="I31" s="16" t="n">
        <x:v>9300</x:v>
      </x:c>
      <x:c r="J31" s="17" t="n">
        <x:v>4.1</x:v>
      </x:c>
    </x:row>
    <x:row r="32" ht="30" customHeight="1">
      <x:c r="A32" s="2" t="str">
        <x:v>AO-26031</x:v>
      </x:c>
      <x:c r="B32" s="15" t="d">
        <x:v>2026-06-09T00:00:00.000Z</x:v>
      </x:c>
      <x:c r="C32" s="2" t="str">
        <x:v>Private Celebration</x:v>
      </x:c>
      <x:c r="D32" s="2" t="str">
        <x:v>East</x:v>
      </x:c>
      <x:c r="E32" s="2" t="str">
        <x:v>P106</x:v>
      </x:c>
      <x:c r="F32" s="2" t="str">
        <x:v>Cancelled</x:v>
      </x:c>
      <x:c r="G32" s="2" t="n">
        <x:v>75</x:v>
      </x:c>
      <x:c r="H32" s="16" t="n">
        <x:v>15250</x:v>
      </x:c>
      <x:c r="I32" s="16" t="n">
        <x:v>9000</x:v>
      </x:c>
      <x:c r="J32" s="17"/>
    </x:row>
    <x:row r="33" ht="30" customHeight="1">
      <x:c r="A33" s="2" t="str">
        <x:v>AO-26032</x:v>
      </x:c>
      <x:c r="B33" s="15" t="d">
        <x:v>2026-06-14T00:00:00.000Z</x:v>
      </x:c>
      <x:c r="C33" s="2" t="str">
        <x:v>Private Celebration</x:v>
      </x:c>
      <x:c r="D33" s="2" t="str">
        <x:v>West</x:v>
      </x:c>
      <x:c r="E33" s="2" t="str">
        <x:v>P107</x:v>
      </x:c>
      <x:c r="F33" s="2" t="str">
        <x:v>Completed</x:v>
      </x:c>
      <x:c r="G33" s="2" t="n">
        <x:v>92</x:v>
      </x:c>
      <x:c r="H33" s="16" t="n">
        <x:v>17950</x:v>
      </x:c>
      <x:c r="I33" s="16" t="n">
        <x:v>11200</x:v>
      </x:c>
      <x:c r="J33" s="17" t="n">
        <x:v>4.4</x:v>
      </x:c>
    </x:row>
    <x:row r="34" ht="30" customHeight="1">
      <x:c r="A34" s="2" t="str">
        <x:v>AO-26033</x:v>
      </x:c>
      <x:c r="B34" s="15" t="d">
        <x:v>2026-06-19T00:00:00.000Z</x:v>
      </x:c>
      <x:c r="C34" s="2" t="str">
        <x:v>Wedding</x:v>
      </x:c>
      <x:c r="D34" s="2" t="str">
        <x:v>North</x:v>
      </x:c>
      <x:c r="E34" s="2" t="str">
        <x:v>P101</x:v>
      </x:c>
      <x:c r="F34" s="2" t="str">
        <x:v>Completed</x:v>
      </x:c>
      <x:c r="G34" s="2" t="n">
        <x:v>159</x:v>
      </x:c>
      <x:c r="H34" s="16" t="n">
        <x:v>42750</x:v>
      </x:c>
      <x:c r="I34" s="16" t="n">
        <x:v>22250</x:v>
      </x:c>
      <x:c r="J34" s="17" t="n">
        <x:v>4.5</x:v>
      </x:c>
    </x:row>
    <x:row r="35" ht="30" customHeight="1">
      <x:c r="A35" s="2" t="str">
        <x:v>AO-26034</x:v>
      </x:c>
      <x:c r="B35" s="15" t="d">
        <x:v>2026-06-24T00:00:00.000Z</x:v>
      </x:c>
      <x:c r="C35" s="2" t="str">
        <x:v>Wedding</x:v>
      </x:c>
      <x:c r="D35" s="2" t="str">
        <x:v>South</x:v>
      </x:c>
      <x:c r="E35" s="2" t="str">
        <x:v>P104</x:v>
      </x:c>
      <x:c r="F35" s="2" t="str">
        <x:v>Completed</x:v>
      </x:c>
      <x:c r="G35" s="2" t="n">
        <x:v>176</x:v>
      </x:c>
      <x:c r="H35" s="16" t="n">
        <x:v>46050</x:v>
      </x:c>
      <x:c r="I35" s="16" t="n">
        <x:v>25550</x:v>
      </x:c>
      <x:c r="J35" s="17" t="n">
        <x:v>4.7</x:v>
      </x:c>
    </x:row>
    <x:row r="36" ht="30" customHeight="1">
      <x:c r="A36" s="2" t="str">
        <x:v>AO-26035</x:v>
      </x:c>
      <x:c r="B36" s="15" t="d">
        <x:v>2026-06-29T00:00:00.000Z</x:v>
      </x:c>
      <x:c r="C36" s="2" t="str">
        <x:v>Wedding</x:v>
      </x:c>
      <x:c r="D36" s="2" t="str">
        <x:v>East</x:v>
      </x:c>
      <x:c r="E36" s="2" t="str">
        <x:v>P105</x:v>
      </x:c>
      <x:c r="F36" s="2" t="str">
        <x:v>Completed</x:v>
      </x:c>
      <x:c r="G36" s="2" t="n">
        <x:v>98</x:v>
      </x:c>
      <x:c r="H36" s="16" t="n">
        <x:v>35600</x:v>
      </x:c>
      <x:c r="I36" s="16" t="n">
        <x:v>21000</x:v>
      </x:c>
      <x:c r="J36" s="17" t="n">
        <x:v>4.9</x:v>
      </x:c>
    </x:row>
    <x:row r="37" ht="30" customHeight="1">
      <x:c r="A37" s="2" t="str">
        <x:v>AO-26036</x:v>
      </x:c>
      <x:c r="B37" s="15" t="d">
        <x:v>2026-07-04T00:00:00.000Z</x:v>
      </x:c>
      <x:c r="C37" s="2" t="str">
        <x:v>Wedding</x:v>
      </x:c>
      <x:c r="D37" s="2" t="str">
        <x:v>West</x:v>
      </x:c>
      <x:c r="E37" s="2" t="str">
        <x:v>P108</x:v>
      </x:c>
      <x:c r="F37" s="2" t="str">
        <x:v>Completed</x:v>
      </x:c>
      <x:c r="G37" s="2" t="n">
        <x:v>115</x:v>
      </x:c>
      <x:c r="H37" s="16" t="n">
        <x:v>34700</x:v>
      </x:c>
      <x:c r="I37" s="16" t="n">
        <x:v>21700</x:v>
      </x:c>
      <x:c r="J37" s="17" t="n">
        <x:v>3.9</x:v>
      </x:c>
    </x:row>
    <x:row r="38" ht="30" customHeight="1">
      <x:c r="A38" s="2" t="str">
        <x:v>AO-26037</x:v>
      </x:c>
      <x:c r="B38" s="15" t="d">
        <x:v>2026-07-09T00:00:00.000Z</x:v>
      </x:c>
      <x:c r="C38" s="2" t="str">
        <x:v>Corporate</x:v>
      </x:c>
      <x:c r="D38" s="2" t="str">
        <x:v>North</x:v>
      </x:c>
      <x:c r="E38" s="2" t="str">
        <x:v>P102</x:v>
      </x:c>
      <x:c r="F38" s="2" t="str">
        <x:v>Booked</x:v>
      </x:c>
      <x:c r="G38" s="2" t="n">
        <x:v>97</x:v>
      </x:c>
      <x:c r="H38" s="16" t="n">
        <x:v>22000</x:v>
      </x:c>
      <x:c r="I38" s="16" t="n">
        <x:v>11450</x:v>
      </x:c>
      <x:c r="J38" s="17"/>
    </x:row>
    <x:row r="39" ht="30" customHeight="1">
      <x:c r="A39" s="2" t="str">
        <x:v>AO-26038</x:v>
      </x:c>
      <x:c r="B39" s="15" t="d">
        <x:v>2026-07-14T00:00:00.000Z</x:v>
      </x:c>
      <x:c r="C39" s="2" t="str">
        <x:v>Corporate</x:v>
      </x:c>
      <x:c r="D39" s="2" t="str">
        <x:v>South</x:v>
      </x:c>
      <x:c r="E39" s="2" t="str">
        <x:v>P103</x:v>
      </x:c>
      <x:c r="F39" s="2" t="str">
        <x:v>Completed</x:v>
      </x:c>
      <x:c r="G39" s="2" t="n">
        <x:v>114</x:v>
      </x:c>
      <x:c r="H39" s="16" t="n">
        <x:v>24900</x:v>
      </x:c>
      <x:c r="I39" s="16" t="n">
        <x:v>13800</x:v>
      </x:c>
      <x:c r="J39" s="17" t="n">
        <x:v>4.2</x:v>
      </x:c>
    </x:row>
    <x:row r="40" ht="30" customHeight="1">
      <x:c r="A40" s="2" t="str">
        <x:v>AO-26039</x:v>
      </x:c>
      <x:c r="B40" s="15" t="d">
        <x:v>2026-07-19T00:00:00.000Z</x:v>
      </x:c>
      <x:c r="C40" s="2" t="str">
        <x:v>Corporate</x:v>
      </x:c>
      <x:c r="D40" s="2" t="str">
        <x:v>East</x:v>
      </x:c>
      <x:c r="E40" s="2" t="str">
        <x:v>P106</x:v>
      </x:c>
      <x:c r="F40" s="2" t="str">
        <x:v>Completed</x:v>
      </x:c>
      <x:c r="G40" s="2" t="n">
        <x:v>131</x:v>
      </x:c>
      <x:c r="H40" s="16" t="n">
        <x:v>27750</x:v>
      </x:c>
      <x:c r="I40" s="16" t="n">
        <x:v>16350</x:v>
      </x:c>
      <x:c r="J40" s="17" t="n">
        <x:v>4.4</x:v>
      </x:c>
    </x:row>
    <x:row r="41" ht="30" customHeight="1">
      <x:c r="A41" s="2" t="str">
        <x:v>AO-26040</x:v>
      </x:c>
      <x:c r="B41" s="15" t="d">
        <x:v>2026-07-24T00:00:00.000Z</x:v>
      </x:c>
      <x:c r="C41" s="2" t="str">
        <x:v>Corporate</x:v>
      </x:c>
      <x:c r="D41" s="2" t="str">
        <x:v>West</x:v>
      </x:c>
      <x:c r="E41" s="2" t="str">
        <x:v>P107</x:v>
      </x:c>
      <x:c r="F41" s="2" t="str">
        <x:v>Completed</x:v>
      </x:c>
      <x:c r="G41" s="2" t="n">
        <x:v>148</x:v>
      </x:c>
      <x:c r="H41" s="16" t="n">
        <x:v>30650</x:v>
      </x:c>
      <x:c r="I41" s="16" t="n">
        <x:v>19150</x:v>
      </x:c>
      <x:c r="J41" s="17" t="n">
        <x:v>4.5</x:v>
      </x:c>
    </x:row>
    <x:row r="42" ht="30" customHeight="1">
      <x:c r="A42" s="2" t="str">
        <x:v>AO-26041</x:v>
      </x:c>
      <x:c r="B42" s="15" t="d">
        <x:v>2026-07-29T00:00:00.000Z</x:v>
      </x:c>
      <x:c r="C42" s="2" t="str">
        <x:v>Nonprofit Gala</x:v>
      </x:c>
      <x:c r="D42" s="2" t="str">
        <x:v>North</x:v>
      </x:c>
      <x:c r="E42" s="2" t="str">
        <x:v>P101</x:v>
      </x:c>
      <x:c r="F42" s="2" t="str">
        <x:v>Cancelled</x:v>
      </x:c>
      <x:c r="G42" s="2" t="n">
        <x:v>135</x:v>
      </x:c>
      <x:c r="H42" s="16" t="n">
        <x:v>27850</x:v>
      </x:c>
      <x:c r="I42" s="16" t="n">
        <x:v>14500</x:v>
      </x:c>
      <x:c r="J42" s="17"/>
    </x:row>
    <x:row r="43" ht="30" customHeight="1">
      <x:c r="A43" s="2" t="str">
        <x:v>AO-26042</x:v>
      </x:c>
      <x:c r="B43" s="15" t="d">
        <x:v>2026-08-03T00:00:00.000Z</x:v>
      </x:c>
      <x:c r="C43" s="2" t="str">
        <x:v>Nonprofit Gala</x:v>
      </x:c>
      <x:c r="D43" s="2" t="str">
        <x:v>South</x:v>
      </x:c>
      <x:c r="E43" s="2" t="str">
        <x:v>P104</x:v>
      </x:c>
      <x:c r="F43" s="2" t="str">
        <x:v>Completed</x:v>
      </x:c>
      <x:c r="G43" s="2" t="n">
        <x:v>152</x:v>
      </x:c>
      <x:c r="H43" s="16" t="n">
        <x:v>30300</x:v>
      </x:c>
      <x:c r="I43" s="16" t="n">
        <x:v>16800</x:v>
      </x:c>
      <x:c r="J43" s="17" t="n">
        <x:v>4.9</x:v>
      </x:c>
    </x:row>
    <x:row r="44" ht="30" customHeight="1">
      <x:c r="A44" s="2" t="str">
        <x:v>AO-26043</x:v>
      </x:c>
      <x:c r="B44" s="15" t="d">
        <x:v>2026-08-08T00:00:00.000Z</x:v>
      </x:c>
      <x:c r="C44" s="2" t="str">
        <x:v>Nonprofit Gala</x:v>
      </x:c>
      <x:c r="D44" s="2" t="str">
        <x:v>East</x:v>
      </x:c>
      <x:c r="E44" s="2" t="str">
        <x:v>P105</x:v>
      </x:c>
      <x:c r="F44" s="2" t="str">
        <x:v>Booked</x:v>
      </x:c>
      <x:c r="G44" s="2" t="n">
        <x:v>169</x:v>
      </x:c>
      <x:c r="H44" s="16" t="n">
        <x:v>32750</x:v>
      </x:c>
      <x:c r="I44" s="16" t="n">
        <x:v>19300</x:v>
      </x:c>
      <x:c r="J44" s="17"/>
    </x:row>
    <x:row r="45" ht="30" customHeight="1">
      <x:c r="A45" s="2" t="str">
        <x:v>AO-26044</x:v>
      </x:c>
      <x:c r="B45" s="15" t="d">
        <x:v>2026-08-13T00:00:00.000Z</x:v>
      </x:c>
      <x:c r="C45" s="2" t="str">
        <x:v>Nonprofit Gala</x:v>
      </x:c>
      <x:c r="D45" s="2" t="str">
        <x:v>West</x:v>
      </x:c>
      <x:c r="E45" s="2" t="str">
        <x:v>P108</x:v>
      </x:c>
      <x:c r="F45" s="2" t="str">
        <x:v>Completed</x:v>
      </x:c>
      <x:c r="G45" s="2" t="n">
        <x:v>186</x:v>
      </x:c>
      <x:c r="H45" s="16" t="n">
        <x:v>35200</x:v>
      </x:c>
      <x:c r="I45" s="16" t="n">
        <x:v>22000</x:v>
      </x:c>
      <x:c r="J45" s="17" t="n">
        <x:v>4.1</x:v>
      </x:c>
    </x:row>
    <x:row r="46" ht="30" customHeight="1">
      <x:c r="A46" s="2" t="str">
        <x:v>AO-26045</x:v>
      </x:c>
      <x:c r="B46" s="15" t="d">
        <x:v>2026-08-18T00:00:00.000Z</x:v>
      </x:c>
      <x:c r="C46" s="2" t="str">
        <x:v>Private Celebration</x:v>
      </x:c>
      <x:c r="D46" s="2" t="str">
        <x:v>North</x:v>
      </x:c>
      <x:c r="E46" s="2" t="str">
        <x:v>P102</x:v>
      </x:c>
      <x:c r="F46" s="2" t="str">
        <x:v>Completed</x:v>
      </x:c>
      <x:c r="G46" s="2" t="n">
        <x:v>123</x:v>
      </x:c>
      <x:c r="H46" s="16" t="n">
        <x:v>23950</x:v>
      </x:c>
      <x:c r="I46" s="16" t="n">
        <x:v>12450</x:v>
      </x:c>
      <x:c r="J46" s="17" t="n">
        <x:v>4.2</x:v>
      </x:c>
    </x:row>
    <x:row r="47" ht="30" customHeight="1">
      <x:c r="A47" s="2" t="str">
        <x:v>AO-26046</x:v>
      </x:c>
      <x:c r="B47" s="15" t="d">
        <x:v>2026-08-23T00:00:00.000Z</x:v>
      </x:c>
      <x:c r="C47" s="2" t="str">
        <x:v>Private Celebration</x:v>
      </x:c>
      <x:c r="D47" s="2" t="str">
        <x:v>South</x:v>
      </x:c>
      <x:c r="E47" s="2" t="str">
        <x:v>P103</x:v>
      </x:c>
      <x:c r="F47" s="2" t="str">
        <x:v>Completed</x:v>
      </x:c>
      <x:c r="G47" s="2" t="n">
        <x:v>45</x:v>
      </x:c>
      <x:c r="H47" s="16" t="n">
        <x:v>11950</x:v>
      </x:c>
      <x:c r="I47" s="16" t="n">
        <x:v>6650</x:v>
      </x:c>
      <x:c r="J47" s="17" t="n">
        <x:v>4.4</x:v>
      </x:c>
    </x:row>
    <x:row r="48" ht="30" customHeight="1">
      <x:c r="A48" s="2" t="str">
        <x:v>AO-26047</x:v>
      </x:c>
      <x:c r="B48" s="15" t="d">
        <x:v>2026-08-28T00:00:00.000Z</x:v>
      </x:c>
      <x:c r="C48" s="2" t="str">
        <x:v>Private Celebration</x:v>
      </x:c>
      <x:c r="D48" s="2" t="str">
        <x:v>East</x:v>
      </x:c>
      <x:c r="E48" s="2" t="str">
        <x:v>P106</x:v>
      </x:c>
      <x:c r="F48" s="2" t="str">
        <x:v>Completed</x:v>
      </x:c>
      <x:c r="G48" s="2" t="n">
        <x:v>62</x:v>
      </x:c>
      <x:c r="H48" s="16" t="n">
        <x:v>14650</x:v>
      </x:c>
      <x:c r="I48" s="16" t="n">
        <x:v>8650</x:v>
      </x:c>
      <x:c r="J48" s="17" t="n">
        <x:v>4.5</x:v>
      </x:c>
    </x:row>
    <x:row r="49" ht="30" customHeight="1">
      <x:c r="A49" s="2" t="str">
        <x:v>AO-26048</x:v>
      </x:c>
      <x:c r="B49" s="15" t="d">
        <x:v>2026-09-02T00:00:00.000Z</x:v>
      </x:c>
      <x:c r="C49" s="2" t="str">
        <x:v>Private Celebration</x:v>
      </x:c>
      <x:c r="D49" s="2" t="str">
        <x:v>West</x:v>
      </x:c>
      <x:c r="E49" s="2" t="str">
        <x:v>P107</x:v>
      </x:c>
      <x:c r="F49" s="2" t="str">
        <x:v>Completed</x:v>
      </x:c>
      <x:c r="G49" s="2" t="n">
        <x:v>79</x:v>
      </x:c>
      <x:c r="H49" s="16" t="n">
        <x:v>17400</x:v>
      </x:c>
      <x:c r="I49" s="16" t="n">
        <x:v>10900</x:v>
      </x:c>
      <x:c r="J49" s="17" t="n">
        <x:v>4.7</x:v>
      </x:c>
    </x:row>
    <x:row r="50" ht="30" customHeight="1">
      <x:c r="A50" s="2" t="str">
        <x:v>AO-26049</x:v>
      </x:c>
      <x:c r="B50" s="15" t="d">
        <x:v>2026-09-07T00:00:00.000Z</x:v>
      </x:c>
      <x:c r="C50" s="2" t="str">
        <x:v>Wedding</x:v>
      </x:c>
      <x:c r="D50" s="2" t="str">
        <x:v>North</x:v>
      </x:c>
      <x:c r="E50" s="2" t="str">
        <x:v>P101</x:v>
      </x:c>
      <x:c r="F50" s="2" t="str">
        <x:v>Booked</x:v>
      </x:c>
      <x:c r="G50" s="2" t="n">
        <x:v>146</x:v>
      </x:c>
      <x:c r="H50" s="16" t="n">
        <x:v>41700</x:v>
      </x:c>
      <x:c r="I50" s="16" t="n">
        <x:v>21700</x:v>
      </x:c>
      <x:c r="J50" s="17"/>
    </x:row>
    <x:row r="51" ht="30" customHeight="1">
      <x:c r="A51" s="2" t="str">
        <x:v>AO-26050</x:v>
      </x:c>
      <x:c r="B51" s="15" t="d">
        <x:v>2026-09-12T00:00:00.000Z</x:v>
      </x:c>
      <x:c r="C51" s="2" t="str">
        <x:v>Wedding</x:v>
      </x:c>
      <x:c r="D51" s="2" t="str">
        <x:v>South</x:v>
      </x:c>
      <x:c r="E51" s="2" t="str">
        <x:v>P104</x:v>
      </x:c>
      <x:c r="F51" s="2" t="str">
        <x:v>Completed</x:v>
      </x:c>
      <x:c r="G51" s="2" t="n">
        <x:v>163</x:v>
      </x:c>
      <x:c r="H51" s="16" t="n">
        <x:v>45050</x:v>
      </x:c>
      <x:c r="I51" s="16" t="n">
        <x:v>25000</x:v>
      </x:c>
      <x:c r="J51" s="17" t="n">
        <x:v>3.9</x:v>
      </x:c>
    </x:row>
    <x:row r="52" ht="30" customHeight="1">
      <x:c r="A52" s="2" t="str">
        <x:v>AO-26051</x:v>
      </x:c>
      <x:c r="B52" s="15" t="d">
        <x:v>2026-09-17T00:00:00.000Z</x:v>
      </x:c>
      <x:c r="C52" s="2" t="str">
        <x:v>Wedding</x:v>
      </x:c>
      <x:c r="D52" s="2" t="str">
        <x:v>East</x:v>
      </x:c>
      <x:c r="E52" s="2" t="str">
        <x:v>P105</x:v>
      </x:c>
      <x:c r="F52" s="2" t="str">
        <x:v>Cancelled</x:v>
      </x:c>
      <x:c r="G52" s="2" t="n">
        <x:v>180</x:v>
      </x:c>
      <x:c r="H52" s="16" t="n">
        <x:v>44100</x:v>
      </x:c>
      <x:c r="I52" s="16" t="n">
        <x:v>26000</x:v>
      </x:c>
      <x:c r="J52" s="17"/>
    </x:row>
    <x:row r="53" ht="30" customHeight="1">
      <x:c r="A53" s="2" t="str">
        <x:v>AO-26052</x:v>
      </x:c>
      <x:c r="B53" s="15" t="d">
        <x:v>2026-09-22T00:00:00.000Z</x:v>
      </x:c>
      <x:c r="C53" s="2" t="str">
        <x:v>Wedding</x:v>
      </x:c>
      <x:c r="D53" s="2" t="str">
        <x:v>West</x:v>
      </x:c>
      <x:c r="E53" s="2" t="str">
        <x:v>P108</x:v>
      </x:c>
      <x:c r="F53" s="2" t="str">
        <x:v>Completed</x:v>
      </x:c>
      <x:c r="G53" s="2" t="n">
        <x:v>102</x:v>
      </x:c>
      <x:c r="H53" s="16" t="n">
        <x:v>33650</x:v>
      </x:c>
      <x:c r="I53" s="16" t="n">
        <x:v>21050</x:v>
      </x:c>
      <x:c r="J53" s="17" t="n">
        <x:v>4.2</x:v>
      </x:c>
    </x:row>
    <x:row r="54" ht="30" customHeight="1">
      <x:c r="A54" s="2" t="str">
        <x:v>AO-26053</x:v>
      </x:c>
      <x:c r="B54" s="15" t="d">
        <x:v>2026-09-27T00:00:00.000Z</x:v>
      </x:c>
      <x:c r="C54" s="2" t="str">
        <x:v>Corporate</x:v>
      </x:c>
      <x:c r="D54" s="2" t="str">
        <x:v>North</x:v>
      </x:c>
      <x:c r="E54" s="2" t="str">
        <x:v>P102</x:v>
      </x:c>
      <x:c r="F54" s="2" t="str">
        <x:v>Completed</x:v>
      </x:c>
      <x:c r="G54" s="2" t="n">
        <x:v>84</x:v>
      </x:c>
      <x:c r="H54" s="16" t="n">
        <x:v>21300</x:v>
      </x:c>
      <x:c r="I54" s="16" t="n">
        <x:v>11100</x:v>
      </x:c>
      <x:c r="J54" s="17" t="n">
        <x:v>4.4</x:v>
      </x:c>
    </x:row>
    <x:row r="55" ht="30" customHeight="1">
      <x:c r="A55" s="2" t="str">
        <x:v>AO-26054</x:v>
      </x:c>
      <x:c r="B55" s="15" t="d">
        <x:v>2026-10-02T00:00:00.000Z</x:v>
      </x:c>
      <x:c r="C55" s="2" t="str">
        <x:v>Corporate</x:v>
      </x:c>
      <x:c r="D55" s="2" t="str">
        <x:v>South</x:v>
      </x:c>
      <x:c r="E55" s="2" t="str">
        <x:v>P103</x:v>
      </x:c>
      <x:c r="F55" s="2" t="str">
        <x:v>Completed</x:v>
      </x:c>
      <x:c r="G55" s="2" t="n">
        <x:v>101</x:v>
      </x:c>
      <x:c r="H55" s="16" t="n">
        <x:v>24150</x:v>
      </x:c>
      <x:c r="I55" s="16" t="n">
        <x:v>13400</x:v>
      </x:c>
      <x:c r="J55" s="17" t="n">
        <x:v>4.5</x:v>
      </x:c>
    </x:row>
    <x:row r="56" ht="30" customHeight="1">
      <x:c r="A56" s="2" t="str">
        <x:v>AO-26055</x:v>
      </x:c>
      <x:c r="B56" s="15" t="d">
        <x:v>2026-10-07T00:00:00.000Z</x:v>
      </x:c>
      <x:c r="C56" s="2" t="str">
        <x:v>Corporate</x:v>
      </x:c>
      <x:c r="D56" s="2" t="str">
        <x:v>East</x:v>
      </x:c>
      <x:c r="E56" s="2" t="str">
        <x:v>P106</x:v>
      </x:c>
      <x:c r="F56" s="2" t="str">
        <x:v>Booked</x:v>
      </x:c>
      <x:c r="G56" s="2" t="n">
        <x:v>118</x:v>
      </x:c>
      <x:c r="H56" s="16" t="n">
        <x:v>27050</x:v>
      </x:c>
      <x:c r="I56" s="16" t="n">
        <x:v>15950</x:v>
      </x:c>
      <x:c r="J56" s="17"/>
    </x:row>
    <x:row r="57" ht="30" customHeight="1">
      <x:c r="A57" s="2" t="str">
        <x:v>AO-26056</x:v>
      </x:c>
      <x:c r="B57" s="15" t="d">
        <x:v>2026-10-12T00:00:00.000Z</x:v>
      </x:c>
      <x:c r="C57" s="2" t="str">
        <x:v>Corporate</x:v>
      </x:c>
      <x:c r="D57" s="2" t="str">
        <x:v>West</x:v>
      </x:c>
      <x:c r="E57" s="2" t="str">
        <x:v>P107</x:v>
      </x:c>
      <x:c r="F57" s="2" t="str">
        <x:v>Completed</x:v>
      </x:c>
      <x:c r="G57" s="2" t="n">
        <x:v>135</x:v>
      </x:c>
      <x:c r="H57" s="16" t="n">
        <x:v>25700</x:v>
      </x:c>
      <x:c r="I57" s="16" t="n">
        <x:v>16050</x:v>
      </x:c>
      <x:c r="J57" s="17" t="n">
        <x:v>4.9</x:v>
      </x:c>
    </x:row>
    <x:row r="58" ht="30" customHeight="1">
      <x:c r="A58" s="2" t="str">
        <x:v>AO-26057</x:v>
      </x:c>
      <x:c r="B58" s="15" t="d">
        <x:v>2026-10-17T00:00:00.000Z</x:v>
      </x:c>
      <x:c r="C58" s="2" t="str">
        <x:v>Nonprofit Gala</x:v>
      </x:c>
      <x:c r="D58" s="2" t="str">
        <x:v>North</x:v>
      </x:c>
      <x:c r="E58" s="2" t="str">
        <x:v>P101</x:v>
      </x:c>
      <x:c r="F58" s="2" t="str">
        <x:v>Completed</x:v>
      </x:c>
      <x:c r="G58" s="2" t="n">
        <x:v>122</x:v>
      </x:c>
      <x:c r="H58" s="16" t="n">
        <x:v>27450</x:v>
      </x:c>
      <x:c r="I58" s="16" t="n">
        <x:v>14250</x:v>
      </x:c>
      <x:c r="J58" s="17" t="n">
        <x:v>3.9</x:v>
      </x:c>
    </x:row>
    <x:row r="59" ht="30" customHeight="1">
      <x:c r="A59" s="2" t="str">
        <x:v>AO-26058</x:v>
      </x:c>
      <x:c r="B59" s="15" t="d">
        <x:v>2026-10-22T00:00:00.000Z</x:v>
      </x:c>
      <x:c r="C59" s="2" t="str">
        <x:v>Nonprofit Gala</x:v>
      </x:c>
      <x:c r="D59" s="2" t="str">
        <x:v>South</x:v>
      </x:c>
      <x:c r="E59" s="2" t="str">
        <x:v>P104</x:v>
      </x:c>
      <x:c r="F59" s="2" t="str">
        <x:v>Completed</x:v>
      </x:c>
      <x:c r="G59" s="2" t="n">
        <x:v>139</x:v>
      </x:c>
      <x:c r="H59" s="16" t="n">
        <x:v>29900</x:v>
      </x:c>
      <x:c r="I59" s="16" t="n">
        <x:v>16600</x:v>
      </x:c>
      <x:c r="J59" s="17" t="n">
        <x:v>4.1</x:v>
      </x:c>
    </x:row>
    <x:row r="60" ht="30" customHeight="1">
      <x:c r="A60" s="2" t="str">
        <x:v>AO-26059</x:v>
      </x:c>
      <x:c r="B60" s="15" t="d">
        <x:v>2026-10-27T00:00:00.000Z</x:v>
      </x:c>
      <x:c r="C60" s="2" t="str">
        <x:v>Nonprofit Gala</x:v>
      </x:c>
      <x:c r="D60" s="2" t="str">
        <x:v>East</x:v>
      </x:c>
      <x:c r="E60" s="2" t="str">
        <x:v>P105</x:v>
      </x:c>
      <x:c r="F60" s="2" t="str">
        <x:v>Completed</x:v>
      </x:c>
      <x:c r="G60" s="2" t="n">
        <x:v>156</x:v>
      </x:c>
      <x:c r="H60" s="16" t="n">
        <x:v>32350</x:v>
      </x:c>
      <x:c r="I60" s="16" t="n">
        <x:v>19100</x:v>
      </x:c>
      <x:c r="J60" s="17" t="n">
        <x:v>4.2</x:v>
      </x:c>
    </x:row>
    <x:row r="61" ht="30" customHeight="1">
      <x:c r="A61" s="2" t="str">
        <x:v>AO-26060</x:v>
      </x:c>
      <x:c r="B61" s="15" t="d">
        <x:v>2026-11-01T00:00:00.000Z</x:v>
      </x:c>
      <x:c r="C61" s="2" t="str">
        <x:v>Nonprofit Gala</x:v>
      </x:c>
      <x:c r="D61" s="2" t="str">
        <x:v>West</x:v>
      </x:c>
      <x:c r="E61" s="2" t="str">
        <x:v>P108</x:v>
      </x:c>
      <x:c r="F61" s="2" t="str">
        <x:v>Completed</x:v>
      </x:c>
      <x:c r="G61" s="2" t="n">
        <x:v>173</x:v>
      </x:c>
      <x:c r="H61" s="16" t="n">
        <x:v>34850</x:v>
      </x:c>
      <x:c r="I61" s="16" t="n">
        <x:v>21800</x:v>
      </x:c>
      <x:c r="J61" s="17" t="n">
        <x:v>4.4</x:v>
      </x:c>
    </x:row>
    <x:row r="62" ht="30" customHeight="1">
      <x:c r="A62" s="2" t="str">
        <x:v>AO-26061</x:v>
      </x:c>
      <x:c r="B62" s="15" t="d">
        <x:v>2026-11-06T00:00:00.000Z</x:v>
      </x:c>
      <x:c r="C62" s="2" t="str">
        <x:v>Private Celebration</x:v>
      </x:c>
      <x:c r="D62" s="2" t="str">
        <x:v>North</x:v>
      </x:c>
      <x:c r="E62" s="2" t="str">
        <x:v>P102</x:v>
      </x:c>
      <x:c r="F62" s="2" t="str">
        <x:v>Cancelled</x:v>
      </x:c>
      <x:c r="G62" s="2" t="n">
        <x:v>110</x:v>
      </x:c>
      <x:c r="H62" s="16" t="n">
        <x:v>19100</x:v>
      </x:c>
      <x:c r="I62" s="16" t="n">
        <x:v>9950</x:v>
      </x:c>
      <x:c r="J62" s="17"/>
    </x:row>
    <x:row r="63" ht="30" customHeight="1">
      <x:c r="A63" s="2" t="str">
        <x:v>AO-26062</x:v>
      </x:c>
      <x:c r="B63" s="15" t="d">
        <x:v>2026-11-11T00:00:00.000Z</x:v>
      </x:c>
      <x:c r="C63" s="2" t="str">
        <x:v>Private Celebration</x:v>
      </x:c>
      <x:c r="D63" s="2" t="str">
        <x:v>South</x:v>
      </x:c>
      <x:c r="E63" s="2" t="str">
        <x:v>P103</x:v>
      </x:c>
      <x:c r="F63" s="2" t="str">
        <x:v>Completed</x:v>
      </x:c>
      <x:c r="G63" s="2" t="n">
        <x:v>127</x:v>
      </x:c>
      <x:c r="H63" s="16" t="n">
        <x:v>21800</x:v>
      </x:c>
      <x:c r="I63" s="16" t="n">
        <x:v>12100</x:v>
      </x:c>
      <x:c r="J63" s="17" t="n">
        <x:v>4.7</x:v>
      </x:c>
    </x:row>
    <x:row r="64" ht="30" customHeight="1">
      <x:c r="A64" s="2" t="str">
        <x:v>AO-26063</x:v>
      </x:c>
      <x:c r="B64" s="15" t="d">
        <x:v>2026-11-16T00:00:00.000Z</x:v>
      </x:c>
      <x:c r="C64" s="2" t="str">
        <x:v>Private Celebration</x:v>
      </x:c>
      <x:c r="D64" s="2" t="str">
        <x:v>East</x:v>
      </x:c>
      <x:c r="E64" s="2" t="str">
        <x:v>P106</x:v>
      </x:c>
      <x:c r="F64" s="2" t="str">
        <x:v>Completed</x:v>
      </x:c>
      <x:c r="G64" s="2" t="n">
        <x:v>49</x:v>
      </x:c>
      <x:c r="H64" s="16" t="n">
        <x:v>14100</x:v>
      </x:c>
      <x:c r="I64" s="16" t="n">
        <x:v>8300</x:v>
      </x:c>
      <x:c r="J64" s="17" t="n">
        <x:v>4.9</x:v>
      </x:c>
    </x:row>
    <x:row r="65" ht="30" customHeight="1">
      <x:c r="A65" s="2" t="str">
        <x:v>AO-26064</x:v>
      </x:c>
      <x:c r="B65" s="15" t="d">
        <x:v>2026-11-21T00:00:00.000Z</x:v>
      </x:c>
      <x:c r="C65" s="2" t="str">
        <x:v>Private Celebration</x:v>
      </x:c>
      <x:c r="D65" s="2" t="str">
        <x:v>West</x:v>
      </x:c>
      <x:c r="E65" s="2" t="str">
        <x:v>P107</x:v>
      </x:c>
      <x:c r="F65" s="2" t="str">
        <x:v>Completed</x:v>
      </x:c>
      <x:c r="G65" s="2" t="n">
        <x:v>66</x:v>
      </x:c>
      <x:c r="H65" s="16" t="n">
        <x:v>16800</x:v>
      </x:c>
      <x:c r="I65" s="16" t="n">
        <x:v>10500</x:v>
      </x:c>
      <x:c r="J65" s="17" t="n">
        <x:v>3.9</x:v>
      </x:c>
    </x:row>
    <x:row r="66" ht="30" customHeight="1">
      <x:c r="A66" s="2" t="str">
        <x:v>AO-26065</x:v>
      </x:c>
      <x:c r="B66" s="15" t="d">
        <x:v>2026-11-26T00:00:00.000Z</x:v>
      </x:c>
      <x:c r="C66" s="2" t="str">
        <x:v>Wedding</x:v>
      </x:c>
      <x:c r="D66" s="2" t="str">
        <x:v>North</x:v>
      </x:c>
      <x:c r="E66" s="2" t="str">
        <x:v>P101</x:v>
      </x:c>
      <x:c r="F66" s="2" t="str">
        <x:v>Completed</x:v>
      </x:c>
      <x:c r="G66" s="2" t="n">
        <x:v>133</x:v>
      </x:c>
      <x:c r="H66" s="16" t="n">
        <x:v>40700</x:v>
      </x:c>
      <x:c r="I66" s="16" t="n">
        <x:v>21150</x:v>
      </x:c>
      <x:c r="J66" s="17" t="n">
        <x:v>4.1</x:v>
      </x:c>
    </x:row>
    <x:row r="67" ht="30" customHeight="1">
      <x:c r="A67" s="2" t="str">
        <x:v>AO-26066</x:v>
      </x:c>
      <x:c r="B67" s="15" t="d">
        <x:v>2026-12-01T00:00:00.000Z</x:v>
      </x:c>
      <x:c r="C67" s="2" t="str">
        <x:v>Wedding</x:v>
      </x:c>
      <x:c r="D67" s="2" t="str">
        <x:v>South</x:v>
      </x:c>
      <x:c r="E67" s="2" t="str">
        <x:v>P104</x:v>
      </x:c>
      <x:c r="F67" s="2" t="str">
        <x:v>Completed</x:v>
      </x:c>
      <x:c r="G67" s="2" t="n">
        <x:v>150</x:v>
      </x:c>
      <x:c r="H67" s="16" t="n">
        <x:v>39750</x:v>
      </x:c>
      <x:c r="I67" s="16" t="n">
        <x:v>22050</x:v>
      </x:c>
      <x:c r="J67" s="17" t="n">
        <x:v>4.2</x:v>
      </x:c>
    </x:row>
    <x:row r="68" ht="30" customHeight="1">
      <x:c r="A68" s="2" t="str">
        <x:v>AO-26067</x:v>
      </x:c>
      <x:c r="B68" s="15" t="d">
        <x:v>2026-12-06T00:00:00.000Z</x:v>
      </x:c>
      <x:c r="C68" s="2" t="str">
        <x:v>Wedding</x:v>
      </x:c>
      <x:c r="D68" s="2" t="str">
        <x:v>East</x:v>
      </x:c>
      <x:c r="E68" s="2" t="str">
        <x:v>P105</x:v>
      </x:c>
      <x:c r="F68" s="2" t="str">
        <x:v>Booked</x:v>
      </x:c>
      <x:c r="G68" s="2" t="n">
        <x:v>167</x:v>
      </x:c>
      <x:c r="H68" s="16" t="n">
        <x:v>43050</x:v>
      </x:c>
      <x:c r="I68" s="16" t="n">
        <x:v>25400</x:v>
      </x:c>
      <x:c r="J68" s="17"/>
    </x:row>
    <x:row r="69" ht="30" customHeight="1">
      <x:c r="A69" s="2" t="str">
        <x:v>AO-26068</x:v>
      </x:c>
      <x:c r="B69" s="15" t="d">
        <x:v>2026-12-11T00:00:00.000Z</x:v>
      </x:c>
      <x:c r="C69" s="2" t="str">
        <x:v>Wedding</x:v>
      </x:c>
      <x:c r="D69" s="2" t="str">
        <x:v>West</x:v>
      </x:c>
      <x:c r="E69" s="2" t="str">
        <x:v>P108</x:v>
      </x:c>
      <x:c r="F69" s="2" t="str">
        <x:v>Completed</x:v>
      </x:c>
      <x:c r="G69" s="2" t="n">
        <x:v>184</x:v>
      </x:c>
      <x:c r="H69" s="16" t="n">
        <x:v>46400</x:v>
      </x:c>
      <x:c r="I69" s="16" t="n">
        <x:v>29000</x:v>
      </x:c>
      <x:c r="J69" s="17" t="n">
        <x:v>4.5</x:v>
      </x:c>
    </x:row>
    <x:row r="70" ht="30" customHeight="1">
      <x:c r="A70" s="2" t="str">
        <x:v>AO-26069</x:v>
      </x:c>
      <x:c r="B70" s="15" t="d">
        <x:v>2026-12-16T00:00:00.000Z</x:v>
      </x:c>
      <x:c r="C70" s="2" t="str">
        <x:v>Corporate</x:v>
      </x:c>
      <x:c r="D70" s="2" t="str">
        <x:v>North</x:v>
      </x:c>
      <x:c r="E70" s="2" t="str">
        <x:v>P102</x:v>
      </x:c>
      <x:c r="F70" s="2" t="str">
        <x:v>Completed</x:v>
      </x:c>
      <x:c r="G70" s="2" t="n">
        <x:v>71</x:v>
      </x:c>
      <x:c r="H70" s="16" t="n">
        <x:v>20550</x:v>
      </x:c>
      <x:c r="I70" s="16" t="n">
        <x:v>10700</x:v>
      </x:c>
      <x:c r="J70" s="17" t="n">
        <x:v>4.7</x:v>
      </x:c>
    </x:row>
    <x:row r="71" ht="30" customHeight="1">
      <x:c r="A71" s="2" t="str">
        <x:v>AO-26070</x:v>
      </x:c>
      <x:c r="B71" s="15" t="d">
        <x:v>2026-12-21T00:00:00.000Z</x:v>
      </x:c>
      <x:c r="C71" s="2" t="str">
        <x:v>Corporate</x:v>
      </x:c>
      <x:c r="D71" s="2" t="str">
        <x:v>South</x:v>
      </x:c>
      <x:c r="E71" s="2" t="str">
        <x:v>P103</x:v>
      </x:c>
      <x:c r="F71" s="2" t="str">
        <x:v>Completed</x:v>
      </x:c>
      <x:c r="G71" s="2" t="n">
        <x:v>88</x:v>
      </x:c>
      <x:c r="H71" s="16" t="n">
        <x:v>23450</x:v>
      </x:c>
      <x:c r="I71" s="16" t="n">
        <x:v>13000</x:v>
      </x:c>
      <x:c r="J71" s="17" t="n">
        <x:v>4.9</x:v>
      </x:c>
    </x:row>
    <x:row r="72" ht="30" customHeight="1">
      <x:c r="A72" s="2" t="str">
        <x:v>AO-26071</x:v>
      </x:c>
      <x:c r="B72" s="15" t="d">
        <x:v>2026-12-26T00:00:00.000Z</x:v>
      </x:c>
      <x:c r="C72" s="2" t="str">
        <x:v>Corporate</x:v>
      </x:c>
      <x:c r="D72" s="2" t="str">
        <x:v>East</x:v>
      </x:c>
      <x:c r="E72" s="2" t="str">
        <x:v>P106</x:v>
      </x:c>
      <x:c r="F72" s="2" t="str">
        <x:v>Cancelled</x:v>
      </x:c>
      <x:c r="G72" s="2" t="n">
        <x:v>105</x:v>
      </x:c>
      <x:c r="H72" s="16" t="n">
        <x:v>22100</x:v>
      </x:c>
      <x:c r="I72" s="16" t="n">
        <x:v>13050</x:v>
      </x:c>
      <x:c r="J72" s="17"/>
    </x:row>
    <x:row r="73" ht="30" customHeight="1">
      <x:c r="A73" s="2" t="str">
        <x:v>AO-26072</x:v>
      </x:c>
      <x:c r="B73" s="15" t="d">
        <x:v>2026-12-31T00:00:00.000Z</x:v>
      </x:c>
      <x:c r="C73" s="2" t="str">
        <x:v>Corporate</x:v>
      </x:c>
      <x:c r="D73" s="2" t="str">
        <x:v>West</x:v>
      </x:c>
      <x:c r="E73" s="2" t="str">
        <x:v>P107</x:v>
      </x:c>
      <x:c r="F73" s="2" t="str">
        <x:v>Completed</x:v>
      </x:c>
      <x:c r="G73" s="2" t="n">
        <x:v>122</x:v>
      </x:c>
      <x:c r="H73" s="16" t="n">
        <x:v>25000</x:v>
      </x:c>
      <x:c r="I73" s="16" t="n">
        <x:v>15650</x:v>
      </x:c>
      <x:c r="J73" s="17" t="n">
        <x:v>4.1</x:v>
      </x:c>
    </x:row>
  </x:sheetData>
  <x:mergeCells>
    <x:mergeCell ref="L10:P10"/>
    <x:mergeCell ref="L21:P21"/>
    <x:mergeCell ref="L23:P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5" hidden="0" customWidth="1"/>
    <x:col min="3" max="3" width="23" hidden="0" customWidth="1"/>
    <x:col min="4" max="4" width="23" hidden="0" customWidth="1"/>
    <x:col min="5" max="5" width="23" hidden="0" customWidth="1"/>
    <x:col min="7" max="7" width="23" hidden="0" customWidth="1"/>
    <x:col min="8" max="8" width="23" hidden="0" customWidth="1"/>
    <x:col min="6" max="6" width="3" hidden="0" customWidth="1"/>
  </x:cols>
  <x:sheetData>
    <x:row r="1" ht="30" customHeight="1">
      <x:c r="A1" s="7" t="str">
        <x:v>Planner ID</x:v>
      </x:c>
      <x:c r="B1" s="7" t="str">
        <x:v>Planner Name</x:v>
      </x:c>
      <x:c r="C1" s="7" t="str">
        <x:v>Home Region</x:v>
      </x:c>
      <x:c r="D1" s="7" t="str">
        <x:v>Monthly Capacity</x:v>
      </x:c>
      <x:c r="E1" s="7" t="str">
        <x:v>Satisfaction Target</x:v>
      </x:c>
      <x:c r="F1" s="2"/>
      <x:c r="G1" s="7" t="str">
        <x:v>Region</x:v>
      </x:c>
      <x:c r="H1" s="7" t="str">
        <x:v>Follow-up team</x:v>
      </x:c>
    </x:row>
    <x:row r="2" ht="30" customHeight="1">
      <x:c r="A2" s="2" t="str">
        <x:v>P101</x:v>
      </x:c>
      <x:c r="B2" s="2" t="str">
        <x:v>Avery Chen</x:v>
      </x:c>
      <x:c r="C2" s="2" t="str">
        <x:v>North</x:v>
      </x:c>
      <x:c r="D2" s="2" t="n">
        <x:v>8</x:v>
      </x:c>
      <x:c r="E2" s="17" t="n">
        <x:v>4.6</x:v>
      </x:c>
      <x:c r="F2" s="2"/>
      <x:c r="G2" s="2" t="str">
        <x:v>North</x:v>
      </x:c>
      <x:c r="H2" s="2" t="str">
        <x:v>North team</x:v>
      </x:c>
    </x:row>
    <x:row r="3" ht="30" customHeight="1">
      <x:c r="A3" s="2" t="str">
        <x:v>P102</x:v>
      </x:c>
      <x:c r="B3" s="2" t="str">
        <x:v>Blake Ortiz</x:v>
      </x:c>
      <x:c r="C3" s="2" t="str">
        <x:v>North</x:v>
      </x:c>
      <x:c r="D3" s="2" t="n">
        <x:v>7</x:v>
      </x:c>
      <x:c r="E3" s="17" t="n">
        <x:v>4.5</x:v>
      </x:c>
      <x:c r="F3" s="2"/>
      <x:c r="G3" s="2" t="str">
        <x:v>South</x:v>
      </x:c>
      <x:c r="H3" s="2" t="str">
        <x:v>South team</x:v>
      </x:c>
    </x:row>
    <x:row r="4" ht="30" customHeight="1">
      <x:c r="A4" s="2" t="str">
        <x:v>P103</x:v>
      </x:c>
      <x:c r="B4" s="2" t="str">
        <x:v>Casey Patel</x:v>
      </x:c>
      <x:c r="C4" s="2" t="str">
        <x:v>South</x:v>
      </x:c>
      <x:c r="D4" s="2" t="n">
        <x:v>8</x:v>
      </x:c>
      <x:c r="E4" s="17" t="n">
        <x:v>4.6</x:v>
      </x:c>
      <x:c r="F4" s="2"/>
      <x:c r="G4" s="2" t="str">
        <x:v>East</x:v>
      </x:c>
      <x:c r="H4" s="2" t="str">
        <x:v>East team</x:v>
      </x:c>
    </x:row>
    <x:row r="5" ht="30" customHeight="1">
      <x:c r="A5" s="2" t="str">
        <x:v>P104</x:v>
      </x:c>
      <x:c r="B5" s="2" t="str">
        <x:v>Devon Reed</x:v>
      </x:c>
      <x:c r="C5" s="2" t="str">
        <x:v>South</x:v>
      </x:c>
      <x:c r="D5" s="2" t="n">
        <x:v>7</x:v>
      </x:c>
      <x:c r="E5" s="17" t="n">
        <x:v>4.7</x:v>
      </x:c>
      <x:c r="F5" s="2"/>
      <x:c r="G5" s="2" t="str">
        <x:v>West</x:v>
      </x:c>
      <x:c r="H5" s="2" t="str">
        <x:v>West team</x:v>
      </x:c>
    </x:row>
    <x:row r="6" ht="30" customHeight="1">
      <x:c r="A6" s="2" t="str">
        <x:v>P105</x:v>
      </x:c>
      <x:c r="B6" s="2" t="str">
        <x:v>Emery Silva</x:v>
      </x:c>
      <x:c r="C6" s="2" t="str">
        <x:v>East</x:v>
      </x:c>
      <x:c r="D6" s="2" t="n">
        <x:v>9</x:v>
      </x:c>
      <x:c r="E6" s="17" t="n">
        <x:v>4.5</x:v>
      </x:c>
      <x:c r="F6" s="2"/>
      <x:c r="G6" s="2"/>
      <x:c r="H6" s="2"/>
    </x:row>
    <x:row r="7" ht="30" customHeight="1">
      <x:c r="A7" s="2" t="str">
        <x:v>P106</x:v>
      </x:c>
      <x:c r="B7" s="2" t="str">
        <x:v>Finley Morgan</x:v>
      </x:c>
      <x:c r="C7" s="2" t="str">
        <x:v>East</x:v>
      </x:c>
      <x:c r="D7" s="2" t="n">
        <x:v>8</x:v>
      </x:c>
      <x:c r="E7" s="17" t="n">
        <x:v>4.6</x:v>
      </x:c>
      <x:c r="F7" s="2"/>
      <x:c r="G7" s="2"/>
      <x:c r="H7" s="2"/>
    </x:row>
    <x:row r="8" ht="30" customHeight="1">
      <x:c r="A8" s="2" t="str">
        <x:v>P107</x:v>
      </x:c>
      <x:c r="B8" s="2" t="str">
        <x:v>Jordan Lee</x:v>
      </x:c>
      <x:c r="C8" s="2" t="str">
        <x:v>West</x:v>
      </x:c>
      <x:c r="D8" s="2" t="n">
        <x:v>7</x:v>
      </x:c>
      <x:c r="E8" s="17" t="n">
        <x:v>4.5</x:v>
      </x:c>
      <x:c r="F8" s="2"/>
      <x:c r="G8" s="2"/>
      <x:c r="H8" s="2"/>
    </x:row>
    <x:row r="9" ht="30" customHeight="1">
      <x:c r="A9" s="2" t="str">
        <x:v>P108</x:v>
      </x:c>
      <x:c r="B9" s="2" t="str">
        <x:v>Kai Robinson</x:v>
      </x:c>
      <x:c r="C9" s="2" t="str">
        <x:v>West</x:v>
      </x:c>
      <x:c r="D9" s="2" t="n">
        <x:v>8</x:v>
      </x:c>
      <x:c r="E9" s="17" t="n">
        <x:v>4.6</x:v>
      </x:c>
      <x:c r="F9" s="2"/>
      <x:c r="G9" s="2"/>
      <x:c r="H9" s="2"/>
    </x:row>
    <x:row r="10" ht="30" customHeight="1">
      <x:c r="A10" s="2"/>
      <x:c r="B10" s="2"/>
      <x:c r="C10" s="2"/>
      <x:c r="D10" s="2"/>
      <x:c r="E10" s="2"/>
      <x:c r="F10" s="2"/>
      <x:c r="G10" s="2"/>
      <x:c r="H10" s="2"/>
    </x:row>
    <x:row r="11" ht="42" customHeight="1">
      <x:c r="A11" s="3" t="str">
        <x:v>Do not edit C14 yet. Trace its inputs and dependents; record the wrong formula and results in C18, C21, and C24 before repairing it.</x:v>
      </x:c>
      <x:c r="B11" s="3"/>
      <x:c r="C11" s="3"/>
      <x:c r="D11" s="3"/>
      <x:c r="E11" s="3"/>
      <x:c r="F11" s="3"/>
      <x:c r="G11" s="3"/>
      <x:c r="H11" s="3"/>
    </x:row>
    <x:row r="12" ht="30" customHeight="1">
      <x:c r="A12" s="2"/>
      <x:c r="B12" s="2"/>
      <x:c r="C12" s="2"/>
      <x:c r="D12" s="2"/>
      <x:c r="E12" s="2"/>
      <x:c r="F12" s="2"/>
      <x:c r="G12" s="2"/>
      <x:c r="H12" s="2"/>
    </x:row>
    <x:row r="13" ht="30" customHeight="1">
      <x:c r="A13" s="2"/>
      <x:c r="B13" s="2" t="str">
        <x:v>Selected Planner ID</x:v>
      </x:c>
      <x:c r="C13" s="10" t="str">
        <x:v>P104</x:v>
      </x:c>
      <x:c r="D13" s="2"/>
      <x:c r="E13" s="2"/>
      <x:c r="F13" s="2"/>
      <x:c r="G13" s="2"/>
      <x:c r="H13" s="2"/>
    </x:row>
    <x:row r="14" ht="30" customHeight="1">
      <x:c r="A14" s="2"/>
      <x:c r="B14" s="2" t="str">
        <x:v>Home Region</x:v>
      </x:c>
      <x:c r="C14" s="10" t="str">
        <x:f>_xlfn.XLOOKUP(C13,A2:A9,B2:B9,"Check ID",0)</x:f>
        <x:v>Devon Reed</x:v>
      </x:c>
      <x:c r="D14" s="2"/>
      <x:c r="E14" s="2"/>
      <x:c r="F14" s="2"/>
      <x:c r="G14" s="2"/>
      <x:c r="H14" s="2"/>
    </x:row>
    <x:row r="15" ht="30" customHeight="1">
      <x:c r="A15" s="2"/>
      <x:c r="B15" s="2" t="str">
        <x:v>Follow-up team</x:v>
      </x:c>
      <x:c r="C15" s="11" t="str">
        <x:f>_xlfn.XLOOKUP(C14,G2:G5,H2:H5,"Check region",0)</x:f>
        <x:v>Check region</x:v>
      </x:c>
      <x:c r="D15" s="2"/>
      <x:c r="E15" s="2"/>
      <x:c r="F15" s="2"/>
      <x:c r="G15" s="2"/>
      <x:c r="H15" s="2"/>
    </x:row>
    <x:row r="16" ht="30" customHeight="1">
      <x:c r="A16" s="2"/>
      <x:c r="B16" s="2"/>
      <x:c r="C16" s="2"/>
      <x:c r="D16" s="2"/>
      <x:c r="E16" s="2"/>
      <x:c r="F16" s="2"/>
      <x:c r="G16" s="2"/>
      <x:c r="H16" s="2"/>
    </x:row>
    <x:row r="17" ht="30" customHeight="1">
      <x:c r="A17" s="2"/>
      <x:c r="B17" s="2"/>
      <x:c r="C17" s="2"/>
      <x:c r="D17" s="2"/>
      <x:c r="E17" s="2"/>
      <x:c r="F17" s="2"/>
      <x:c r="G17" s="2"/>
      <x:c r="H17" s="2"/>
    </x:row>
    <x:row r="18" ht="30" customHeight="1">
      <x:c r="A18" s="2"/>
      <x:c r="B18" s="3" t="str">
        <x:v>1. Trace Precedents</x:v>
      </x:c>
      <x:c r="C18" s="10"/>
      <x:c r="D18" s="10"/>
      <x:c r="E18" s="10"/>
      <x:c r="F18" s="10"/>
      <x:c r="G18" s="10"/>
      <x:c r="H18" s="10"/>
    </x:row>
    <x:row r="19" ht="30" customHeight="1">
      <x:c r="A19" s="2"/>
      <x:c r="B19" s="2"/>
      <x:c r="C19" s="11"/>
      <x:c r="D19" s="11"/>
      <x:c r="E19" s="11"/>
      <x:c r="F19" s="11"/>
      <x:c r="G19" s="11"/>
      <x:c r="H19" s="11"/>
    </x:row>
    <x:row r="20" ht="30" customHeight="1">
      <x:c r="A20" s="2"/>
      <x:c r="B20" s="2"/>
      <x:c r="C20" s="2"/>
      <x:c r="D20" s="2"/>
      <x:c r="E20" s="2"/>
      <x:c r="F20" s="2"/>
      <x:c r="G20" s="2"/>
      <x:c r="H20" s="2"/>
    </x:row>
    <x:row r="21" ht="30" customHeight="1">
      <x:c r="A21" s="2"/>
      <x:c r="B21" s="3" t="str">
        <x:v>2. Trace Dependents</x:v>
      </x:c>
      <x:c r="C21" s="10"/>
      <x:c r="D21" s="10"/>
      <x:c r="E21" s="10"/>
      <x:c r="F21" s="10"/>
      <x:c r="G21" s="10"/>
      <x:c r="H21" s="10"/>
    </x:row>
    <x:row r="22" ht="30" customHeight="1">
      <x:c r="A22" s="2"/>
      <x:c r="B22" s="2"/>
      <x:c r="C22" s="11"/>
      <x:c r="D22" s="11"/>
      <x:c r="E22" s="11"/>
      <x:c r="F22" s="11"/>
      <x:c r="G22" s="11"/>
      <x:c r="H22" s="11"/>
    </x:row>
    <x:row r="23" ht="30" customHeight="1">
      <x:c r="A23" s="2"/>
      <x:c r="B23" s="2"/>
      <x:c r="C23" s="2"/>
      <x:c r="D23" s="2"/>
      <x:c r="E23" s="2"/>
      <x:c r="F23" s="2"/>
      <x:c r="G23" s="2"/>
      <x:c r="H23" s="2"/>
    </x:row>
    <x:row r="24" ht="30" customHeight="1">
      <x:c r="A24" s="2"/>
      <x:c r="B24" s="3" t="str">
        <x:v>3. Inspect before repair</x:v>
      </x:c>
      <x:c r="C24" s="10"/>
      <x:c r="D24" s="10"/>
      <x:c r="E24" s="10"/>
      <x:c r="F24" s="10"/>
      <x:c r="G24" s="10"/>
      <x:c r="H24" s="10"/>
    </x:row>
    <x:row r="25" ht="30" customHeight="1">
      <x:c r="A25" s="2"/>
      <x:c r="B25" s="2"/>
      <x:c r="C25" s="11"/>
      <x:c r="D25" s="11"/>
      <x:c r="E25" s="11"/>
      <x:c r="F25" s="11"/>
      <x:c r="G25" s="11"/>
      <x:c r="H25" s="11"/>
    </x:row>
    <x:row r="26" ht="42" customHeight="1">
      <x:c r="A26" s="3" t="str">
        <x:v>Step 3: use Show Formulas and Error Checking on C14; use Evaluate Formula if available, or inspect the formula bar. Record the wrong formula and both results in C24.</x:v>
      </x:c>
      <x:c r="B26" s="3"/>
      <x:c r="C26" s="3"/>
      <x:c r="D26" s="3"/>
      <x:c r="E26" s="3"/>
      <x:c r="F26" s="3"/>
      <x:c r="G26" s="3"/>
      <x:c r="H26" s="3"/>
    </x:row>
    <x:row r="27" ht="30" customHeight="1">
      <x:c r="A27" s="3" t="str">
        <x:v>4. After completing C18, C21, and C24, repair only C14’s return range. Verify P104 and P101 against the directory, then restore P104. Record the change and results in C30.</x:v>
      </x:c>
      <x:c r="B27" s="3"/>
      <x:c r="C27" s="3"/>
      <x:c r="D27" s="3"/>
      <x:c r="E27" s="3"/>
      <x:c r="F27" s="3"/>
      <x:c r="G27" s="3"/>
      <x:c r="H27" s="3"/>
    </x:row>
    <x:row r="28" ht="30" customHeight="1">
      <x:c r="A28" s="3"/>
      <x:c r="B28" s="3"/>
      <x:c r="C28" s="3"/>
      <x:c r="D28" s="3"/>
      <x:c r="E28" s="3"/>
      <x:c r="F28" s="3"/>
      <x:c r="G28" s="3"/>
      <x:c r="H28" s="3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</x:row>
    <x:row r="30" ht="30" customHeight="1">
      <x:c r="A30" s="2"/>
      <x:c r="B30" s="3" t="str">
        <x:v>4. Repair and verify</x:v>
      </x:c>
      <x:c r="C30" s="10"/>
      <x:c r="D30" s="10"/>
      <x:c r="E30" s="10"/>
      <x:c r="F30" s="10"/>
      <x:c r="G30" s="10"/>
      <x:c r="H30" s="10"/>
    </x:row>
    <x:row r="31" ht="30" customHeight="1">
      <x:c r="A31" s="2"/>
      <x:c r="B31" s="2"/>
      <x:c r="C31" s="10"/>
      <x:c r="D31" s="10"/>
      <x:c r="E31" s="10"/>
      <x:c r="F31" s="10"/>
      <x:c r="G31" s="10"/>
      <x:c r="H31" s="10"/>
    </x:row>
    <x:row r="32" ht="30" customHeight="1">
      <x:c r="A32" s="2"/>
      <x:c r="B32" s="2"/>
      <x:c r="C32" s="11"/>
      <x:c r="D32" s="11"/>
      <x:c r="E32" s="11"/>
      <x:c r="F32" s="11"/>
      <x:c r="G32" s="11"/>
      <x:c r="H32" s="11"/>
    </x:row>
  </x:sheetData>
  <x:mergeCells>
    <x:mergeCell ref="C18:H19"/>
    <x:mergeCell ref="C21:H22"/>
    <x:mergeCell ref="C24:H25"/>
    <x:mergeCell ref="A11:H11"/>
    <x:mergeCell ref="A26:H26"/>
    <x:mergeCell ref="A27:H28"/>
    <x:mergeCell ref="C30:H32"/>
  </x:mergeCells>
  <x:pageMargins left="0.7" right="0.7" top="0.75" bottom="0.75" header="0.3" footer="0.3"/>
</x:worksheet>
</file>