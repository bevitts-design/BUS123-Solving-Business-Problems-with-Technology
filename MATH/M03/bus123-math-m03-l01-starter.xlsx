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ethanyevittsair2/Documents/GitHub/BUS123-Solving-Business-Problems-with-Technology/MATH/M03/"/>
    </mc:Choice>
  </mc:AlternateContent>
  <xr:revisionPtr revIDLastSave="0" documentId="13_ncr:1_{35E13182-C15A-0541-84B1-8C23D341F8CA}" xr6:coauthVersionLast="47" xr6:coauthVersionMax="47" xr10:uidLastSave="{00000000-0000-0000-0000-000000000000}"/>
  <bookViews>
    <workbookView xWindow="7380" yWindow="780" windowWidth="26200" windowHeight="19680" activeTab="1" xr2:uid="{00000000-000D-0000-FFFF-FFFF00000000}"/>
  </bookViews>
  <sheets>
    <sheet name="START HERE" sheetId="1" r:id="rId1"/>
    <sheet name="Live You Try It" sheetId="2" r:id="rId2"/>
    <sheet name="Class Challenge" sheetId="3" r:id="rId3"/>
    <sheet name="FormulaReferenceCard" sheetId="4" r:id="rId4"/>
    <sheet name="Vendor Quo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1" i="2"/>
  <c r="G10" i="2"/>
  <c r="G9" i="2"/>
  <c r="G7" i="2"/>
  <c r="G6" i="2"/>
  <c r="G5" i="2"/>
  <c r="B17" i="2" s="1"/>
</calcChain>
</file>

<file path=xl/sharedStrings.xml><?xml version="1.0" encoding="utf-8"?>
<sst xmlns="http://schemas.openxmlformats.org/spreadsheetml/2006/main" count="187" uniqueCount="157">
  <si>
    <t>BUS123 · MATH M03 · L01</t>
  </si>
  <si>
    <t>Discounts: Trade and Cash | Tidal Goods Co. slide-to-Excel workbook</t>
  </si>
  <si>
    <t>Learning Objectives</t>
  </si>
  <si>
    <t>1</t>
  </si>
  <si>
    <t>Calculate a net price from a list price and a single trade discount.</t>
  </si>
  <si>
    <t>2</t>
  </si>
  <si>
    <t>Apply successive trade discounts in sequence instead of adding rates.</t>
  </si>
  <si>
    <t>3</t>
  </si>
  <si>
    <t>Interpret cash discount terms and calculate the qualifying early payment.</t>
  </si>
  <si>
    <t>4</t>
  </si>
  <si>
    <t>Build a linked vendor comparison model and recommend the best qualifying quote.</t>
  </si>
  <si>
    <t>How to Use This Workbook</t>
  </si>
  <si>
    <t>During the deck, use Live You Try It for short self-checking Excel pauses.</t>
  </si>
  <si>
    <t>Start the Vendor Quote Comparison in class and finish the Class Challenge for homework.</t>
  </si>
  <si>
    <t>Begin on Vendor Quotes, then link the blue source data into the yellow Class Challenge cells.</t>
  </si>
  <si>
    <t>Use formulas and cell references instead of hardcoding calculated answers.</t>
  </si>
  <si>
    <t>5</t>
  </si>
  <si>
    <t>Only the Class Challenge is graded; Live You Try It remains practice and revision.</t>
  </si>
  <si>
    <t>Color Key</t>
  </si>
  <si>
    <t>Blue cells</t>
  </si>
  <si>
    <t>Given quote data and purchase requirements.</t>
  </si>
  <si>
    <t>Yellow cells</t>
  </si>
  <si>
    <t>Your required formula, choice, or recommendation input.</t>
  </si>
  <si>
    <t>Green feedback</t>
  </si>
  <si>
    <t>One diagnostic feedback column confirms or redirects after you enter a formula.</t>
  </si>
  <si>
    <t>M03 · L01 — Live You Try It</t>
  </si>
  <si>
    <t>Self-graded Excel pauses using fresh numbers from slides 8, 13, and 17. Enter formulas first; then read Feedback.</t>
  </si>
  <si>
    <t>Slide</t>
  </si>
  <si>
    <t>Scenario</t>
  </si>
  <si>
    <t>Input A</t>
  </si>
  <si>
    <t>Input B</t>
  </si>
  <si>
    <t>Input C</t>
  </si>
  <si>
    <t>Your Formula / Answer</t>
  </si>
  <si>
    <t>Feedback</t>
  </si>
  <si>
    <t>Business Meaning</t>
  </si>
  <si>
    <t>Trade complement for travel duffel</t>
  </si>
  <si>
    <t>Percent of list price the buyer pays</t>
  </si>
  <si>
    <t>Trade discount amount</t>
  </si>
  <si>
    <t>Dollars removed from list price</t>
  </si>
  <si>
    <t>Trade net price</t>
  </si>
  <si>
    <t>Amount Tidal Goods pays</t>
  </si>
  <si>
    <t/>
  </si>
  <si>
    <t>Chain net price (d3 is in Input A below)</t>
  </si>
  <si>
    <t>Final price after all three discounts</t>
  </si>
  <si>
    <t>Single equivalent rate; d3</t>
  </si>
  <si>
    <t>One rate with the same pricing effect</t>
  </si>
  <si>
    <t>Difference from 42% adding-rates shortcut</t>
  </si>
  <si>
    <t>Cost of using the invalid shortcut</t>
  </si>
  <si>
    <t>Cash discount amount</t>
  </si>
  <si>
    <t>3/15 net 45</t>
  </si>
  <si>
    <t>Dollars saved for paying early</t>
  </si>
  <si>
    <t>Early payment amount</t>
  </si>
  <si>
    <t>Amount sent to the supplier</t>
  </si>
  <si>
    <t>Cash discount eligible? 1 = Yes; 0 = No</t>
  </si>
  <si>
    <t>planned day / deadline</t>
  </si>
  <si>
    <t>Timing test completed before payment</t>
  </si>
  <si>
    <t>Self-check score</t>
  </si>
  <si>
    <t>M03 · L01 — Class Challenge</t>
  </si>
  <si>
    <t>Vendor Quote Comparison: build the linked model in class, then finish the purchasing recommendation for homework.</t>
  </si>
  <si>
    <t>HOW: use formulas and cell references  ·  TIME: 15 minutes in class + finish for homework  ·  DELIVERABLE: completed model, quote choice, and 2-sentence recommendation</t>
  </si>
  <si>
    <t>Required Units</t>
  </si>
  <si>
    <t>Planned Payment Day</t>
  </si>
  <si>
    <t>STEP 1 — Link each quote input from Vendor Quotes. Do not retype the source numbers.</t>
  </si>
  <si>
    <t>Quote #</t>
  </si>
  <si>
    <t>Vendor</t>
  </si>
  <si>
    <t>Available Qty</t>
  </si>
  <si>
    <t>List Price / Unit</t>
  </si>
  <si>
    <t>Trade Disc 1</t>
  </si>
  <si>
    <t>Trade Disc 2</t>
  </si>
  <si>
    <t>Trade Disc 3</t>
  </si>
  <si>
    <t>Cash Discount</t>
  </si>
  <si>
    <t>Discount Days</t>
  </si>
  <si>
    <t>Net Days</t>
  </si>
  <si>
    <t>STEP 2 — Compare only qualifying quotes and apply the cash discount only when payment day is inside the discount window.</t>
  </si>
  <si>
    <t>Qty Ordered</t>
  </si>
  <si>
    <t>Qty Qualifies?</t>
  </si>
  <si>
    <t>Net Unit Price</t>
  </si>
  <si>
    <t>List-Price Total</t>
  </si>
  <si>
    <t>After-Trade Total</t>
  </si>
  <si>
    <t>Cash Eligible?</t>
  </si>
  <si>
    <t>Final Order Cost</t>
  </si>
  <si>
    <t>Total Savings</t>
  </si>
  <si>
    <t>Control Difference</t>
  </si>
  <si>
    <t>Qualifying Cost</t>
  </si>
  <si>
    <t>STEP 3 — Recommend the best qualifying quote and show the numerical basis.</t>
  </si>
  <si>
    <t>Best Qualifying Cost</t>
  </si>
  <si>
    <t>Recommended Quote #</t>
  </si>
  <si>
    <t>Cost Basis for Recommendation</t>
  </si>
  <si>
    <t>Control Total — All Final Costs</t>
  </si>
  <si>
    <t>Recommendation Explanation</t>
  </si>
  <si>
    <t>Formula Reference Card — Vendor Quote Comparison</t>
  </si>
  <si>
    <t>Use these patterns as syntax reminders. Your Class Challenge formulas should point to worksheet cells.</t>
  </si>
  <si>
    <t>Concept</t>
  </si>
  <si>
    <t>Excel Pattern</t>
  </si>
  <si>
    <t>Plain-English Meaning</t>
  </si>
  <si>
    <t>Watch Out For</t>
  </si>
  <si>
    <t>Cross-sheet link</t>
  </si>
  <si>
    <t>='Vendor Quotes'!D9</t>
  </si>
  <si>
    <t>Pulls a source value into the comparison model.</t>
  </si>
  <si>
    <t>Link the cell; do not retype the number.</t>
  </si>
  <si>
    <t>Trade complement</t>
  </si>
  <si>
    <t>=1-discount_rate</t>
  </si>
  <si>
    <t>Finds the percent the buyer still pays.</t>
  </si>
  <si>
    <t>Use one complement for each discount.</t>
  </si>
  <si>
    <t>Net unit price</t>
  </si>
  <si>
    <t>=list_price*(1-d1)*(1-d2)*(1-d3)</t>
  </si>
  <si>
    <t>Applies successive trade discounts to one unit.</t>
  </si>
  <si>
    <t>Do not add chained rates.</t>
  </si>
  <si>
    <t>List-price total</t>
  </si>
  <si>
    <t>=quantity*list_price</t>
  </si>
  <si>
    <t>Finds the order value before discounts.</t>
  </si>
  <si>
    <t>Use the required order quantity.</t>
  </si>
  <si>
    <t>After-trade total</t>
  </si>
  <si>
    <t>=quantity*net_unit_price</t>
  </si>
  <si>
    <t>Extends the net unit price to the full order.</t>
  </si>
  <si>
    <t>Link to your net unit result.</t>
  </si>
  <si>
    <t>Quantity qualification</t>
  </si>
  <si>
    <t>=IF(available_qty&gt;=required_qty,"Yes","No")</t>
  </si>
  <si>
    <t>Checks whether the supplier can fill the order.</t>
  </si>
  <si>
    <t>Lowest price does not win if quantity is short.</t>
  </si>
  <si>
    <t>Cash eligibility</t>
  </si>
  <si>
    <t>=IF(payment_day&lt;=discount_days,"Yes","No")</t>
  </si>
  <si>
    <t>Checks whether the early-pay discount applies.</t>
  </si>
  <si>
    <t>Read the discount window correctly.</t>
  </si>
  <si>
    <t>Final order cost</t>
  </si>
  <si>
    <t>=IF(cash_eligible="Yes",after_trade*(1-cash_rate),after_trade)</t>
  </si>
  <si>
    <t>Applies cash savings only when earned.</t>
  </si>
  <si>
    <t>Cash discount follows trade discounts.</t>
  </si>
  <si>
    <t>Total savings</t>
  </si>
  <si>
    <t>=list_price_total-final_order_cost</t>
  </si>
  <si>
    <t>Measures savings against list price.</t>
  </si>
  <si>
    <t>Savings is not the payment.</t>
  </si>
  <si>
    <t>Control difference</t>
  </si>
  <si>
    <t>=list_price_total-final_order_cost-total_savings</t>
  </si>
  <si>
    <t>Should equal zero when the row ties out.</t>
  </si>
  <si>
    <t>A nonzero result signals a model error.</t>
  </si>
  <si>
    <t>Best qualifying cost</t>
  </si>
  <si>
    <t>=MIN(qualifying_cost_range)</t>
  </si>
  <si>
    <t>Finds the lowest eligible total.</t>
  </si>
  <si>
    <t>Exclude quotes that cannot supply the order.</t>
  </si>
  <si>
    <t>M03 · L01 — Vendor Quotes</t>
  </si>
  <si>
    <t>Given supplier offers for Tidal Goods Co. Use these blue cells as the source for your linked comparison model.</t>
  </si>
  <si>
    <t>PURCHASE REQUIREMENTS</t>
  </si>
  <si>
    <t>Required units</t>
  </si>
  <si>
    <t>Planned payment day</t>
  </si>
  <si>
    <t>Qualifying rule</t>
  </si>
  <si>
    <t>A supplier must have at least 50 units available.</t>
  </si>
  <si>
    <t>Cash Terms</t>
  </si>
  <si>
    <t>Atlantic Outfitters</t>
  </si>
  <si>
    <t>2/10 net 30</t>
  </si>
  <si>
    <t>Coastal Pro Supply</t>
  </si>
  <si>
    <t>Harbor Wholesale</t>
  </si>
  <si>
    <t>Shoreline Distribution</t>
  </si>
  <si>
    <t>3/5 net 30</t>
  </si>
  <si>
    <t>BlueCurrent Goods</t>
  </si>
  <si>
    <t>1/10 net 30</t>
  </si>
  <si>
    <t>Read the terms exactly as written. A cash discount applies only when the planned payment day is inside that supplier's discount window.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</si>
</sst>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21" x14ac:knownFonts="1">
    <font>
      <sz val="11"/>
      <color theme="1"/>
      <name val="Calibri"/>
    </font>
    <font>
      <b/>
      <sz val="18"/>
      <color rgb="FFFFFFFF"/>
      <name val="Aptos Display"/>
    </font>
    <font>
      <i/>
      <sz val="12"/>
      <color rgb="FF355773"/>
      <name val="Aptos"/>
    </font>
    <font>
      <b/>
      <sz val="11"/>
      <color rgb="FFFFFFFF"/>
      <name val="Aptos"/>
    </font>
    <font>
      <sz val="11"/>
      <color rgb="FF1A1F2C"/>
      <name val="Calibri"/>
      <family val="2"/>
    </font>
    <font>
      <b/>
      <sz val="11"/>
      <color rgb="FF355773"/>
      <name val="Calibri"/>
      <family val="2"/>
    </font>
    <font>
      <b/>
      <sz val="20"/>
      <color rgb="FFFFFFFF"/>
      <name val="Calibri"/>
      <family val="2"/>
    </font>
    <font>
      <i/>
      <sz val="12"/>
      <color rgb="FF355773"/>
      <name val="Calibri"/>
      <family val="2"/>
    </font>
    <font>
      <b/>
      <sz val="11"/>
      <color rgb="FF0E1116"/>
      <name val="Calibri"/>
      <family val="2"/>
    </font>
    <font>
      <b/>
      <sz val="11"/>
      <color rgb="FFFFFFFF"/>
      <name val="Calibri"/>
      <family val="2"/>
    </font>
    <font>
      <i/>
      <sz val="11"/>
      <color rgb="FF4A5567"/>
      <name val="Calibri"/>
      <family val="2"/>
    </font>
    <font>
      <b/>
      <sz val="11"/>
      <color rgb="FF9C4A2B"/>
      <name val="Calibri"/>
      <family val="2"/>
    </font>
    <font>
      <b/>
      <sz val="22"/>
      <color rgb="FFFFFFFF"/>
      <name val="Calibri"/>
      <family val="2"/>
    </font>
    <font>
      <sz val="22"/>
      <color theme="1"/>
      <name val="Calibri"/>
      <family val="2"/>
    </font>
    <font>
      <i/>
      <sz val="22"/>
      <color rgb="FF355773"/>
      <name val="Calibri"/>
      <family val="2"/>
    </font>
    <font>
      <b/>
      <sz val="22"/>
      <color rgb="FF0E1116"/>
      <name val="Calibri"/>
      <family val="2"/>
    </font>
    <font>
      <sz val="22"/>
      <color rgb="FF1A1F2C"/>
      <name val="Calibri"/>
      <family val="2"/>
    </font>
    <font>
      <sz val="14"/>
      <color theme="1"/>
      <name val="Calibri"/>
      <family val="2"/>
    </font>
    <font>
      <i/>
      <sz val="14"/>
      <color rgb="FF1A1F2C"/>
      <name val="Aptos"/>
    </font>
    <font>
      <sz val="14"/>
      <color rgb="FF355773"/>
      <name val="Calibri"/>
      <family val="2"/>
    </font>
    <font>
      <sz val="14"/>
      <color rgb="FF1A1F2C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0E1116"/>
      </patternFill>
    </fill>
    <fill>
      <patternFill patternType="solid">
        <fgColor rgb="FFEAF3EC"/>
      </patternFill>
    </fill>
    <fill>
      <patternFill patternType="solid">
        <fgColor rgb="FFF2EEE5"/>
      </patternFill>
    </fill>
    <fill>
      <patternFill patternType="solid">
        <fgColor rgb="FF355773"/>
      </patternFill>
    </fill>
    <fill>
      <patternFill patternType="solid">
        <fgColor rgb="FFFFF2CC"/>
      </patternFill>
    </fill>
    <fill>
      <patternFill patternType="solid">
        <fgColor rgb="FF0E1116"/>
      </patternFill>
    </fill>
    <fill>
      <patternFill patternType="solid">
        <fgColor rgb="FFEAF3EC"/>
      </patternFill>
    </fill>
    <fill>
      <patternFill patternType="solid">
        <fgColor rgb="FFFFFFFF"/>
      </patternFill>
    </fill>
    <fill>
      <patternFill patternType="solid">
        <fgColor rgb="FFF2EEE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355773"/>
      </patternFill>
    </fill>
    <fill>
      <patternFill patternType="solid">
        <fgColor rgb="FF355773"/>
      </patternFill>
    </fill>
    <fill>
      <patternFill patternType="solid">
        <fgColor rgb="FFF2EEE5"/>
      </patternFill>
    </fill>
    <fill>
      <patternFill patternType="solid">
        <fgColor rgb="FFEAF3EC"/>
      </patternFill>
    </fill>
  </fills>
  <borders count="5">
    <border>
      <left/>
      <right/>
      <top/>
      <bottom/>
      <diagonal/>
    </border>
    <border>
      <left style="thin">
        <color rgb="FFD9E2D9"/>
      </left>
      <right style="thin">
        <color rgb="FFD9E2D9"/>
      </right>
      <top style="thin">
        <color rgb="FFD9E2D9"/>
      </top>
      <bottom style="thin">
        <color rgb="FFD9E2D9"/>
      </bottom>
      <diagonal/>
    </border>
    <border>
      <left/>
      <right/>
      <top style="thin">
        <color rgb="FFD9E2D9"/>
      </top>
      <bottom style="thin">
        <color rgb="FFD9E2D9"/>
      </bottom>
      <diagonal/>
    </border>
    <border>
      <left/>
      <right style="thin">
        <color rgb="FFD9E2D9"/>
      </right>
      <top style="thin">
        <color rgb="FFD9E2D9"/>
      </top>
      <bottom style="thin">
        <color rgb="FFD9E2D9"/>
      </bottom>
      <diagonal/>
    </border>
    <border>
      <left style="thin">
        <color rgb="FFD9E1E5"/>
      </left>
      <right style="thin">
        <color rgb="FFD9E1E5"/>
      </right>
      <top style="thin">
        <color rgb="FFD9E1E5"/>
      </top>
      <bottom style="thin">
        <color rgb="FFD9E1E5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9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4" fillId="12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vertical="center" wrapText="1"/>
    </xf>
    <xf numFmtId="0" fontId="5" fillId="11" borderId="4" xfId="0" applyFont="1" applyFill="1" applyBorder="1" applyAlignment="1">
      <alignment vertical="center"/>
    </xf>
    <xf numFmtId="0" fontId="9" fillId="14" borderId="4" xfId="0" applyFont="1" applyFill="1" applyBorder="1" applyAlignment="1">
      <alignment vertical="center" wrapText="1"/>
    </xf>
    <xf numFmtId="164" fontId="4" fillId="11" borderId="4" xfId="0" applyNumberFormat="1" applyFont="1" applyFill="1" applyBorder="1" applyAlignment="1">
      <alignment vertical="center"/>
    </xf>
    <xf numFmtId="165" fontId="4" fillId="11" borderId="4" xfId="0" applyNumberFormat="1" applyFont="1" applyFill="1" applyBorder="1" applyAlignment="1">
      <alignment vertical="center"/>
    </xf>
    <xf numFmtId="1" fontId="4" fillId="11" borderId="4" xfId="0" applyNumberFormat="1" applyFont="1" applyFill="1" applyBorder="1" applyAlignment="1">
      <alignment vertical="center"/>
    </xf>
    <xf numFmtId="0" fontId="8" fillId="9" borderId="4" xfId="0" applyFont="1" applyFill="1" applyBorder="1" applyAlignment="1">
      <alignment vertical="center"/>
    </xf>
    <xf numFmtId="0" fontId="5" fillId="12" borderId="4" xfId="0" applyFont="1" applyFill="1" applyBorder="1" applyAlignment="1">
      <alignment vertical="center"/>
    </xf>
    <xf numFmtId="164" fontId="4" fillId="12" borderId="4" xfId="0" applyNumberFormat="1" applyFont="1" applyFill="1" applyBorder="1" applyAlignment="1">
      <alignment vertical="center"/>
    </xf>
    <xf numFmtId="165" fontId="4" fillId="12" borderId="4" xfId="0" applyNumberFormat="1" applyFont="1" applyFill="1" applyBorder="1" applyAlignment="1">
      <alignment vertical="center"/>
    </xf>
    <xf numFmtId="1" fontId="4" fillId="12" borderId="4" xfId="0" applyNumberFormat="1" applyFont="1" applyFill="1" applyBorder="1" applyAlignment="1">
      <alignment vertical="center"/>
    </xf>
    <xf numFmtId="0" fontId="8" fillId="10" borderId="4" xfId="0" applyFont="1" applyFill="1" applyBorder="1" applyAlignment="1">
      <alignment wrapText="1"/>
    </xf>
    <xf numFmtId="164" fontId="5" fillId="12" borderId="4" xfId="0" applyNumberFormat="1" applyFont="1" applyFill="1" applyBorder="1"/>
    <xf numFmtId="1" fontId="5" fillId="12" borderId="4" xfId="0" applyNumberFormat="1" applyFont="1" applyFill="1" applyBorder="1"/>
    <xf numFmtId="0" fontId="5" fillId="8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/>
    </xf>
    <xf numFmtId="0" fontId="7" fillId="8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vertical="center"/>
    </xf>
    <xf numFmtId="0" fontId="11" fillId="10" borderId="0" xfId="0" applyFont="1" applyFill="1" applyAlignment="1">
      <alignment wrapText="1"/>
    </xf>
    <xf numFmtId="0" fontId="5" fillId="8" borderId="0" xfId="0" applyFont="1" applyFill="1"/>
    <xf numFmtId="0" fontId="8" fillId="10" borderId="0" xfId="0" applyFont="1" applyFill="1"/>
    <xf numFmtId="0" fontId="4" fillId="12" borderId="4" xfId="0" applyFont="1" applyFill="1" applyBorder="1" applyAlignment="1">
      <alignment vertical="top" wrapText="1"/>
    </xf>
    <xf numFmtId="0" fontId="10" fillId="10" borderId="0" xfId="0" applyFont="1" applyFill="1" applyAlignment="1">
      <alignment wrapText="1"/>
    </xf>
    <xf numFmtId="0" fontId="12" fillId="7" borderId="0" xfId="0" applyFont="1" applyFill="1" applyAlignment="1">
      <alignment vertical="center"/>
    </xf>
    <xf numFmtId="0" fontId="13" fillId="0" borderId="0" xfId="0" applyFont="1"/>
    <xf numFmtId="0" fontId="14" fillId="8" borderId="0" xfId="0" applyFont="1" applyFill="1" applyAlignment="1">
      <alignment vertical="center" wrapText="1"/>
    </xf>
    <xf numFmtId="0" fontId="15" fillId="10" borderId="4" xfId="0" applyFont="1" applyFill="1" applyBorder="1" applyAlignment="1">
      <alignment vertical="center"/>
    </xf>
    <xf numFmtId="0" fontId="15" fillId="10" borderId="4" xfId="0" applyFont="1" applyFill="1" applyBorder="1" applyAlignment="1">
      <alignment vertical="center" wrapText="1"/>
    </xf>
    <xf numFmtId="0" fontId="13" fillId="0" borderId="2" xfId="0" applyFont="1" applyBorder="1"/>
    <xf numFmtId="0" fontId="13" fillId="0" borderId="3" xfId="0" applyFont="1" applyBorder="1"/>
    <xf numFmtId="0" fontId="16" fillId="9" borderId="4" xfId="0" applyFont="1" applyFill="1" applyBorder="1" applyAlignment="1">
      <alignment vertical="center"/>
    </xf>
    <xf numFmtId="0" fontId="16" fillId="9" borderId="4" xfId="0" applyFont="1" applyFill="1" applyBorder="1" applyAlignment="1">
      <alignment vertical="center" wrapText="1"/>
    </xf>
    <xf numFmtId="0" fontId="16" fillId="11" borderId="4" xfId="0" applyFont="1" applyFill="1" applyBorder="1" applyAlignment="1">
      <alignment vertical="center"/>
    </xf>
    <xf numFmtId="0" fontId="16" fillId="11" borderId="4" xfId="0" applyFont="1" applyFill="1" applyBorder="1" applyAlignment="1">
      <alignment vertical="center" wrapText="1"/>
    </xf>
    <xf numFmtId="0" fontId="16" fillId="12" borderId="4" xfId="0" applyFont="1" applyFill="1" applyBorder="1" applyAlignment="1">
      <alignment vertical="center"/>
    </xf>
    <xf numFmtId="0" fontId="16" fillId="12" borderId="4" xfId="0" applyFont="1" applyFill="1" applyBorder="1" applyAlignment="1">
      <alignment vertical="center" wrapText="1"/>
    </xf>
    <xf numFmtId="0" fontId="16" fillId="13" borderId="4" xfId="0" applyFont="1" applyFill="1" applyBorder="1" applyAlignment="1">
      <alignment vertical="center"/>
    </xf>
    <xf numFmtId="0" fontId="16" fillId="13" borderId="4" xfId="0" applyFont="1" applyFill="1" applyBorder="1" applyAlignment="1">
      <alignment vertical="center" wrapText="1"/>
    </xf>
    <xf numFmtId="0" fontId="17" fillId="0" borderId="1" xfId="0" applyFont="1" applyBorder="1" applyAlignment="1">
      <alignment vertical="top" wrapText="1"/>
    </xf>
    <xf numFmtId="164" fontId="17" fillId="0" borderId="1" xfId="0" applyNumberFormat="1" applyFont="1" applyBorder="1" applyAlignment="1">
      <alignment vertical="top" wrapText="1"/>
    </xf>
    <xf numFmtId="9" fontId="17" fillId="0" borderId="1" xfId="0" applyNumberFormat="1" applyFont="1" applyBorder="1" applyAlignment="1">
      <alignment vertical="top" wrapText="1"/>
    </xf>
    <xf numFmtId="9" fontId="17" fillId="6" borderId="1" xfId="0" applyNumberFormat="1" applyFont="1" applyFill="1" applyBorder="1" applyAlignment="1">
      <alignment vertical="top" wrapText="1"/>
    </xf>
    <xf numFmtId="0" fontId="18" fillId="16" borderId="1" xfId="0" applyFont="1" applyFill="1" applyBorder="1" applyAlignment="1">
      <alignment vertical="center" wrapText="1"/>
    </xf>
    <xf numFmtId="0" fontId="19" fillId="17" borderId="1" xfId="0" applyFont="1" applyFill="1" applyBorder="1" applyAlignment="1">
      <alignment vertical="center" wrapText="1"/>
    </xf>
    <xf numFmtId="164" fontId="17" fillId="6" borderId="1" xfId="0" applyNumberFormat="1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20" fillId="16" borderId="1" xfId="0" applyFont="1" applyFill="1" applyBorder="1" applyAlignment="1">
      <alignment vertical="center" wrapText="1"/>
    </xf>
    <xf numFmtId="165" fontId="17" fillId="0" borderId="1" xfId="0" applyNumberFormat="1" applyFont="1" applyBorder="1" applyAlignment="1">
      <alignment vertical="top" wrapText="1"/>
    </xf>
    <xf numFmtId="165" fontId="17" fillId="6" borderId="1" xfId="0" applyNumberFormat="1" applyFont="1" applyFill="1" applyBorder="1" applyAlignment="1">
      <alignment vertical="top" wrapText="1"/>
    </xf>
    <xf numFmtId="1" fontId="17" fillId="0" borderId="1" xfId="0" applyNumberFormat="1" applyFont="1" applyBorder="1" applyAlignment="1">
      <alignment vertical="top" wrapText="1"/>
    </xf>
    <xf numFmtId="1" fontId="17" fillId="6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9C4A2B"/>
      </font>
      <fill>
        <patternFill patternType="solid">
          <bgColor rgb="FFF2EEE5"/>
        </patternFill>
      </fill>
    </dxf>
    <dxf>
      <font>
        <b/>
        <color rgb="FF4A7C5E"/>
      </font>
      <fill>
        <patternFill patternType="solid">
          <bgColor rgb="FFEAF3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showGridLines="0" topLeftCell="A8" workbookViewId="0">
      <selection activeCell="C6" sqref="C6"/>
    </sheetView>
  </sheetViews>
  <sheetFormatPr baseColWidth="10" defaultColWidth="42.1640625" defaultRowHeight="29" x14ac:dyDescent="0.35"/>
  <cols>
    <col min="1" max="1" width="42.1640625" style="37"/>
    <col min="2" max="2" width="100.6640625" style="37" customWidth="1"/>
    <col min="3" max="16384" width="42.1640625" style="37"/>
  </cols>
  <sheetData>
    <row r="1" spans="1:8" x14ac:dyDescent="0.35">
      <c r="A1" s="36" t="s">
        <v>0</v>
      </c>
      <c r="B1" s="36"/>
    </row>
    <row r="2" spans="1:8" x14ac:dyDescent="0.35">
      <c r="A2" s="38" t="s">
        <v>1</v>
      </c>
      <c r="B2" s="38"/>
    </row>
    <row r="4" spans="1:8" x14ac:dyDescent="0.35">
      <c r="A4" s="39" t="s">
        <v>2</v>
      </c>
      <c r="B4" s="40"/>
      <c r="C4" s="41"/>
      <c r="D4" s="41"/>
      <c r="E4" s="41"/>
      <c r="F4" s="41"/>
      <c r="G4" s="41"/>
      <c r="H4" s="42"/>
    </row>
    <row r="5" spans="1:8" ht="60" x14ac:dyDescent="0.35">
      <c r="A5" s="43" t="s">
        <v>3</v>
      </c>
      <c r="B5" s="44" t="s">
        <v>4</v>
      </c>
      <c r="C5" s="41"/>
      <c r="D5" s="41"/>
      <c r="E5" s="41"/>
      <c r="F5" s="41"/>
      <c r="G5" s="41"/>
      <c r="H5" s="42"/>
    </row>
    <row r="6" spans="1:8" ht="60" x14ac:dyDescent="0.35">
      <c r="A6" s="43" t="s">
        <v>5</v>
      </c>
      <c r="B6" s="44" t="s">
        <v>6</v>
      </c>
      <c r="C6" s="41"/>
      <c r="D6" s="41"/>
      <c r="E6" s="41"/>
      <c r="F6" s="41"/>
      <c r="G6" s="41"/>
      <c r="H6" s="42"/>
    </row>
    <row r="7" spans="1:8" ht="60" x14ac:dyDescent="0.35">
      <c r="A7" s="43" t="s">
        <v>7</v>
      </c>
      <c r="B7" s="44" t="s">
        <v>8</v>
      </c>
      <c r="C7" s="41"/>
      <c r="D7" s="41"/>
      <c r="E7" s="41"/>
      <c r="F7" s="41"/>
      <c r="G7" s="41"/>
      <c r="H7" s="42"/>
    </row>
    <row r="8" spans="1:8" ht="60" x14ac:dyDescent="0.35">
      <c r="A8" s="43" t="s">
        <v>9</v>
      </c>
      <c r="B8" s="44" t="s">
        <v>10</v>
      </c>
      <c r="C8" s="41"/>
      <c r="D8" s="41"/>
      <c r="E8" s="41"/>
      <c r="F8" s="41"/>
      <c r="G8" s="41"/>
      <c r="H8" s="42"/>
    </row>
    <row r="9" spans="1:8" x14ac:dyDescent="0.35">
      <c r="A9" s="39" t="s">
        <v>11</v>
      </c>
      <c r="B9" s="40"/>
      <c r="C9" s="41"/>
      <c r="D9" s="41"/>
      <c r="E9" s="41"/>
      <c r="F9" s="41"/>
      <c r="G9" s="41"/>
      <c r="H9" s="42"/>
    </row>
    <row r="10" spans="1:8" ht="60" x14ac:dyDescent="0.35">
      <c r="A10" s="43" t="s">
        <v>3</v>
      </c>
      <c r="B10" s="44" t="s">
        <v>12</v>
      </c>
      <c r="C10" s="41"/>
      <c r="D10" s="41"/>
      <c r="E10" s="41"/>
      <c r="F10" s="41"/>
      <c r="G10" s="41"/>
      <c r="H10" s="42"/>
    </row>
    <row r="11" spans="1:8" ht="60" x14ac:dyDescent="0.35">
      <c r="A11" s="43" t="s">
        <v>5</v>
      </c>
      <c r="B11" s="44" t="s">
        <v>13</v>
      </c>
      <c r="C11" s="41"/>
      <c r="D11" s="41"/>
      <c r="E11" s="41"/>
      <c r="F11" s="41"/>
      <c r="G11" s="41"/>
      <c r="H11" s="42"/>
    </row>
    <row r="12" spans="1:8" ht="60" x14ac:dyDescent="0.35">
      <c r="A12" s="43" t="s">
        <v>7</v>
      </c>
      <c r="B12" s="44" t="s">
        <v>14</v>
      </c>
      <c r="C12" s="41"/>
      <c r="D12" s="41"/>
      <c r="E12" s="41"/>
      <c r="F12" s="41"/>
      <c r="G12" s="41"/>
      <c r="H12" s="42"/>
    </row>
    <row r="13" spans="1:8" ht="60" x14ac:dyDescent="0.35">
      <c r="A13" s="43" t="s">
        <v>9</v>
      </c>
      <c r="B13" s="44" t="s">
        <v>15</v>
      </c>
      <c r="C13" s="41"/>
      <c r="D13" s="41"/>
      <c r="E13" s="41"/>
      <c r="F13" s="41"/>
      <c r="G13" s="41"/>
      <c r="H13" s="42"/>
    </row>
    <row r="14" spans="1:8" ht="60" x14ac:dyDescent="0.35">
      <c r="A14" s="43" t="s">
        <v>16</v>
      </c>
      <c r="B14" s="44" t="s">
        <v>17</v>
      </c>
      <c r="C14" s="41"/>
      <c r="D14" s="41"/>
      <c r="E14" s="41"/>
      <c r="F14" s="41"/>
      <c r="G14" s="41"/>
      <c r="H14" s="42"/>
    </row>
    <row r="15" spans="1:8" x14ac:dyDescent="0.35">
      <c r="A15" s="39" t="s">
        <v>18</v>
      </c>
      <c r="B15" s="40"/>
      <c r="C15" s="41"/>
      <c r="D15" s="41"/>
      <c r="E15" s="41"/>
      <c r="F15" s="41"/>
      <c r="G15" s="41"/>
      <c r="H15" s="42"/>
    </row>
    <row r="16" spans="1:8" ht="30" x14ac:dyDescent="0.35">
      <c r="A16" s="45" t="s">
        <v>19</v>
      </c>
      <c r="B16" s="46" t="s">
        <v>20</v>
      </c>
      <c r="C16" s="41"/>
      <c r="D16" s="41"/>
      <c r="E16" s="41"/>
      <c r="F16" s="41"/>
      <c r="G16" s="41"/>
      <c r="H16" s="42"/>
    </row>
    <row r="17" spans="1:8" ht="30" x14ac:dyDescent="0.35">
      <c r="A17" s="47" t="s">
        <v>21</v>
      </c>
      <c r="B17" s="48" t="s">
        <v>22</v>
      </c>
      <c r="C17" s="41"/>
      <c r="D17" s="41"/>
      <c r="E17" s="41"/>
      <c r="F17" s="41"/>
      <c r="G17" s="41"/>
      <c r="H17" s="42"/>
    </row>
    <row r="18" spans="1:8" ht="60" x14ac:dyDescent="0.35">
      <c r="A18" s="49" t="s">
        <v>23</v>
      </c>
      <c r="B18" s="50" t="s">
        <v>24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abSelected="1" workbookViewId="0">
      <selection activeCell="D9" sqref="D9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5" width="15" customWidth="1"/>
    <col min="6" max="6" width="21" customWidth="1"/>
    <col min="7" max="7" width="45" customWidth="1"/>
    <col min="8" max="8" width="30" customWidth="1"/>
  </cols>
  <sheetData>
    <row r="1" spans="1:8" ht="30" customHeight="1" x14ac:dyDescent="0.2">
      <c r="A1" s="30" t="s">
        <v>25</v>
      </c>
      <c r="B1" s="26"/>
      <c r="C1" s="26"/>
      <c r="D1" s="26"/>
      <c r="E1" s="26"/>
      <c r="F1" s="26"/>
      <c r="G1" s="26"/>
      <c r="H1" s="26"/>
    </row>
    <row r="2" spans="1:8" ht="38" customHeight="1" x14ac:dyDescent="0.2">
      <c r="A2" s="25" t="s">
        <v>26</v>
      </c>
      <c r="B2" s="26"/>
      <c r="C2" s="26"/>
      <c r="D2" s="26"/>
      <c r="E2" s="26"/>
      <c r="F2" s="26"/>
      <c r="G2" s="26"/>
      <c r="H2" s="26"/>
    </row>
    <row r="4" spans="1:8" ht="26" customHeight="1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2" t="s">
        <v>33</v>
      </c>
      <c r="H4" s="22" t="s">
        <v>34</v>
      </c>
    </row>
    <row r="5" spans="1:8" ht="42" customHeight="1" x14ac:dyDescent="0.2">
      <c r="A5" s="51">
        <v>8</v>
      </c>
      <c r="B5" s="51" t="s">
        <v>35</v>
      </c>
      <c r="C5" s="52">
        <v>148.5</v>
      </c>
      <c r="D5" s="53">
        <v>0.24</v>
      </c>
      <c r="E5" s="51"/>
      <c r="F5" s="54"/>
      <c r="G5" s="55" t="str">
        <f>IF(F5="","Enter a formula, then check.",IF(ROUND(F5,4)=ROUND(1-D5,4),"Correct - complement is 76%.","Try again - what percent remains after the discount?"))</f>
        <v>Enter a formula, then check.</v>
      </c>
      <c r="H5" s="56" t="s">
        <v>36</v>
      </c>
    </row>
    <row r="6" spans="1:8" ht="42" customHeight="1" x14ac:dyDescent="0.2">
      <c r="A6" s="51">
        <v>8</v>
      </c>
      <c r="B6" s="51" t="s">
        <v>37</v>
      </c>
      <c r="C6" s="52">
        <v>148.5</v>
      </c>
      <c r="D6" s="53">
        <v>0.24</v>
      </c>
      <c r="E6" s="51"/>
      <c r="F6" s="57"/>
      <c r="G6" s="55" t="str">
        <f>IF(F6="","Enter a formula, then check.",IF(ROUND(F6,2)=ROUND(C6*D6,2),"Correct - discount amount is $35.64.","Try again - this row asks for dollars saved, not the payment."))</f>
        <v>Enter a formula, then check.</v>
      </c>
      <c r="H6" s="56" t="s">
        <v>38</v>
      </c>
    </row>
    <row r="7" spans="1:8" ht="42" customHeight="1" x14ac:dyDescent="0.2">
      <c r="A7" s="51">
        <v>8</v>
      </c>
      <c r="B7" s="51" t="s">
        <v>39</v>
      </c>
      <c r="C7" s="52">
        <v>148.5</v>
      </c>
      <c r="D7" s="53">
        <v>0.24</v>
      </c>
      <c r="E7" s="51"/>
      <c r="F7" s="57"/>
      <c r="G7" s="55" t="str">
        <f>IF(F7="","Enter a formula, then check.",IF(ROUND(F7,2)=ROUND(C7*(1-D7),2),"Correct - net price is $112.86.","Try again - multiply the list price by the complement."))</f>
        <v>Enter a formula, then check.</v>
      </c>
      <c r="H7" s="56" t="s">
        <v>40</v>
      </c>
    </row>
    <row r="8" spans="1:8" ht="42" customHeight="1" x14ac:dyDescent="0.2">
      <c r="A8" s="58" t="s">
        <v>41</v>
      </c>
      <c r="B8" s="58" t="s">
        <v>41</v>
      </c>
      <c r="C8" s="58" t="s">
        <v>41</v>
      </c>
      <c r="D8" s="58" t="s">
        <v>41</v>
      </c>
      <c r="E8" s="58" t="s">
        <v>41</v>
      </c>
      <c r="F8" s="58"/>
      <c r="G8" s="59" t="s">
        <v>41</v>
      </c>
      <c r="H8" s="56"/>
    </row>
    <row r="9" spans="1:8" ht="42" customHeight="1" x14ac:dyDescent="0.2">
      <c r="A9" s="51">
        <v>13</v>
      </c>
      <c r="B9" s="51" t="s">
        <v>42</v>
      </c>
      <c r="C9" s="52">
        <v>240</v>
      </c>
      <c r="D9" s="53">
        <v>0.25</v>
      </c>
      <c r="E9" s="53">
        <v>0.12</v>
      </c>
      <c r="F9" s="57"/>
      <c r="G9" s="55" t="str">
        <f>IF(F9="","Enter a formula, then check.",IF(ROUND(F9,2)=ROUND(C9*(1-D9)*(1-E9)*(1-C10),2),"Correct - chain net price is $150.48.","Try again - use all three complements in sequence."))</f>
        <v>Enter a formula, then check.</v>
      </c>
      <c r="H9" s="56" t="s">
        <v>43</v>
      </c>
    </row>
    <row r="10" spans="1:8" ht="42" customHeight="1" x14ac:dyDescent="0.2">
      <c r="A10" s="51">
        <v>13</v>
      </c>
      <c r="B10" s="51" t="s">
        <v>44</v>
      </c>
      <c r="C10" s="60">
        <v>0.05</v>
      </c>
      <c r="D10" s="51"/>
      <c r="E10" s="51"/>
      <c r="F10" s="61"/>
      <c r="G10" s="55" t="str">
        <f>IF(F10="","Enter a formula, then check.",IF(ROUND(F10,4)=ROUND(1-((1-D9)*(1-E9)*(1-C10)),4),"Correct - equivalent discount is 37.3%.","Try again - subtract the combined complement from 1."))</f>
        <v>Enter a formula, then check.</v>
      </c>
      <c r="H10" s="56" t="s">
        <v>45</v>
      </c>
    </row>
    <row r="11" spans="1:8" ht="42" customHeight="1" x14ac:dyDescent="0.2">
      <c r="A11" s="51">
        <v>13</v>
      </c>
      <c r="B11" s="51" t="s">
        <v>46</v>
      </c>
      <c r="C11" s="60">
        <v>0.42</v>
      </c>
      <c r="D11" s="51"/>
      <c r="E11" s="51"/>
      <c r="F11" s="57"/>
      <c r="G11" s="55" t="str">
        <f>IF(F11="","Enter a formula, then check.",IF(ROUND(F11,2)=ROUND((C9*(1-D9)*(1-E9)*(1-C10))-(C9*(1-C11)),2),"Correct - shortcut difference is $11.28.","Try again - compare the chain price with the 42% shortcut price."))</f>
        <v>Enter a formula, then check.</v>
      </c>
      <c r="H11" s="56" t="s">
        <v>47</v>
      </c>
    </row>
    <row r="12" spans="1:8" ht="42" customHeight="1" x14ac:dyDescent="0.2">
      <c r="A12" s="58" t="s">
        <v>41</v>
      </c>
      <c r="B12" s="58" t="s">
        <v>41</v>
      </c>
      <c r="C12" s="58" t="s">
        <v>41</v>
      </c>
      <c r="D12" s="58" t="s">
        <v>41</v>
      </c>
      <c r="E12" s="58" t="s">
        <v>41</v>
      </c>
      <c r="F12" s="58"/>
      <c r="G12" s="59" t="s">
        <v>41</v>
      </c>
      <c r="H12" s="56"/>
    </row>
    <row r="13" spans="1:8" ht="42" customHeight="1" x14ac:dyDescent="0.2">
      <c r="A13" s="51">
        <v>17</v>
      </c>
      <c r="B13" s="51" t="s">
        <v>48</v>
      </c>
      <c r="C13" s="52">
        <v>3750</v>
      </c>
      <c r="D13" s="53">
        <v>0.03</v>
      </c>
      <c r="E13" s="51" t="s">
        <v>49</v>
      </c>
      <c r="F13" s="57"/>
      <c r="G13" s="55" t="str">
        <f>IF(F13="","Enter a formula, then check.",IF(ROUND(F13,2)=ROUND(C13*D13,2),"Correct - discount amount is $112.50.","Try again - this row asks for the dollars saved."))</f>
        <v>Enter a formula, then check.</v>
      </c>
      <c r="H13" s="56" t="s">
        <v>50</v>
      </c>
    </row>
    <row r="14" spans="1:8" ht="42" customHeight="1" x14ac:dyDescent="0.2">
      <c r="A14" s="51">
        <v>17</v>
      </c>
      <c r="B14" s="51" t="s">
        <v>51</v>
      </c>
      <c r="C14" s="52">
        <v>3750</v>
      </c>
      <c r="D14" s="53">
        <v>0.03</v>
      </c>
      <c r="E14" s="51" t="s">
        <v>49</v>
      </c>
      <c r="F14" s="57"/>
      <c r="G14" s="55" t="str">
        <f>IF(F14="","Enter a formula, then check.",IF(ROUND(F14,2)=ROUND(C14*(1-D14),2),"Correct - early payment is $3,637.50.","Try again - multiply the invoice by the complement."))</f>
        <v>Enter a formula, then check.</v>
      </c>
      <c r="H14" s="56" t="s">
        <v>52</v>
      </c>
    </row>
    <row r="15" spans="1:8" ht="42" customHeight="1" x14ac:dyDescent="0.2">
      <c r="A15" s="51">
        <v>17</v>
      </c>
      <c r="B15" s="51" t="s">
        <v>53</v>
      </c>
      <c r="C15" s="62">
        <v>12</v>
      </c>
      <c r="D15" s="62">
        <v>15</v>
      </c>
      <c r="E15" s="51" t="s">
        <v>54</v>
      </c>
      <c r="F15" s="63"/>
      <c r="G15" s="55" t="str">
        <f>IF(F15="","Enter a formula, then check.",IF(F15=IF(C15&lt;=D15,1,0),"Correct - day 12 qualifies, so eligibility is 1.","Try again - compare planned payment day 12 with deadline day 15."))</f>
        <v>Enter a formula, then check.</v>
      </c>
      <c r="H15" s="56" t="s">
        <v>55</v>
      </c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ht="32" x14ac:dyDescent="0.2">
      <c r="A17" s="1" t="s">
        <v>56</v>
      </c>
      <c r="B17" s="27" t="str">
        <f>COUNTIF(G5:G15,"Correct*")&amp;" of 9 complete"</f>
        <v>0 of 9 complete</v>
      </c>
      <c r="C17" s="28"/>
      <c r="D17" s="28"/>
      <c r="E17" s="28"/>
      <c r="F17" s="28"/>
      <c r="G17" s="28"/>
      <c r="H17" s="29"/>
    </row>
  </sheetData>
  <mergeCells count="3">
    <mergeCell ref="A2:H2"/>
    <mergeCell ref="B17:H17"/>
    <mergeCell ref="A1:H1"/>
  </mergeCells>
  <conditionalFormatting sqref="G5:G15">
    <cfRule type="containsText" dxfId="1" priority="1" operator="containsText" text="Correct"/>
    <cfRule type="containsText" dxfId="0" priority="2" operator="containsText" text="Try again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23" customWidth="1"/>
    <col min="3" max="3" width="13" customWidth="1"/>
    <col min="4" max="4" width="15" customWidth="1"/>
    <col min="5" max="5" width="14" customWidth="1"/>
    <col min="6" max="6" width="15" customWidth="1"/>
    <col min="7" max="7" width="16" customWidth="1"/>
    <col min="8" max="8" width="14" customWidth="1"/>
    <col min="9" max="9" width="16" customWidth="1"/>
    <col min="10" max="10" width="14" customWidth="1"/>
    <col min="11" max="11" width="15" customWidth="1"/>
    <col min="12" max="12" width="16" customWidth="1"/>
  </cols>
  <sheetData>
    <row r="1" spans="1:12" ht="34" customHeight="1" x14ac:dyDescent="0.2">
      <c r="A1" s="23" t="s">
        <v>57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8" customHeight="1" x14ac:dyDescent="0.2">
      <c r="A2" s="24" t="s">
        <v>58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30" customHeight="1" x14ac:dyDescent="0.2">
      <c r="A3" s="31" t="s">
        <v>59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5" spans="1:12" ht="42" customHeight="1" x14ac:dyDescent="0.2">
      <c r="A5" s="12" t="s">
        <v>60</v>
      </c>
      <c r="B5" s="13"/>
      <c r="C5" s="12" t="s">
        <v>61</v>
      </c>
      <c r="D5" s="3"/>
    </row>
    <row r="6" spans="1:12" ht="42" customHeight="1" x14ac:dyDescent="0.2">
      <c r="A6" s="32" t="s">
        <v>62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</row>
    <row r="7" spans="1:12" ht="36" customHeight="1" x14ac:dyDescent="0.2">
      <c r="A7" s="8" t="s">
        <v>63</v>
      </c>
      <c r="B7" s="8" t="s">
        <v>64</v>
      </c>
      <c r="C7" s="8" t="s">
        <v>65</v>
      </c>
      <c r="D7" s="8" t="s">
        <v>66</v>
      </c>
      <c r="E7" s="8" t="s">
        <v>67</v>
      </c>
      <c r="F7" s="8" t="s">
        <v>68</v>
      </c>
      <c r="G7" s="8" t="s">
        <v>69</v>
      </c>
      <c r="H7" s="8" t="s">
        <v>70</v>
      </c>
      <c r="I7" s="8" t="s">
        <v>71</v>
      </c>
      <c r="J7" s="8" t="s">
        <v>72</v>
      </c>
    </row>
    <row r="8" spans="1:12" ht="25" customHeight="1" x14ac:dyDescent="0.2">
      <c r="A8" s="16"/>
      <c r="B8" s="16"/>
      <c r="C8" s="16"/>
      <c r="D8" s="14"/>
      <c r="E8" s="15"/>
      <c r="F8" s="15"/>
      <c r="G8" s="15"/>
      <c r="H8" s="15"/>
      <c r="I8" s="16"/>
      <c r="J8" s="16"/>
    </row>
    <row r="9" spans="1:12" ht="25" customHeight="1" x14ac:dyDescent="0.2">
      <c r="A9" s="16"/>
      <c r="B9" s="16"/>
      <c r="C9" s="16"/>
      <c r="D9" s="14"/>
      <c r="E9" s="15"/>
      <c r="F9" s="15"/>
      <c r="G9" s="15"/>
      <c r="H9" s="15"/>
      <c r="I9" s="16"/>
      <c r="J9" s="16"/>
    </row>
    <row r="10" spans="1:12" ht="25" customHeight="1" x14ac:dyDescent="0.2">
      <c r="A10" s="16"/>
      <c r="B10" s="16"/>
      <c r="C10" s="16"/>
      <c r="D10" s="14"/>
      <c r="E10" s="15"/>
      <c r="F10" s="15"/>
      <c r="G10" s="15"/>
      <c r="H10" s="15"/>
      <c r="I10" s="16"/>
      <c r="J10" s="16"/>
    </row>
    <row r="11" spans="1:12" ht="25" customHeight="1" x14ac:dyDescent="0.2">
      <c r="A11" s="16"/>
      <c r="B11" s="16"/>
      <c r="C11" s="16"/>
      <c r="D11" s="14"/>
      <c r="E11" s="15"/>
      <c r="F11" s="15"/>
      <c r="G11" s="15"/>
      <c r="H11" s="15"/>
      <c r="I11" s="16"/>
      <c r="J11" s="16"/>
    </row>
    <row r="12" spans="1:12" ht="25" customHeight="1" x14ac:dyDescent="0.2">
      <c r="A12" s="16"/>
      <c r="B12" s="16"/>
      <c r="C12" s="16"/>
      <c r="D12" s="14"/>
      <c r="E12" s="15"/>
      <c r="F12" s="15"/>
      <c r="G12" s="15"/>
      <c r="H12" s="15"/>
      <c r="I12" s="16"/>
      <c r="J12" s="16"/>
    </row>
    <row r="13" spans="1:12" ht="25" customHeight="1" x14ac:dyDescent="0.2"/>
    <row r="14" spans="1:12" ht="25" customHeight="1" x14ac:dyDescent="0.2">
      <c r="A14" s="32" t="s">
        <v>73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ht="25" customHeight="1" x14ac:dyDescent="0.2"/>
    <row r="16" spans="1:12" ht="40" customHeight="1" x14ac:dyDescent="0.2">
      <c r="A16" s="8" t="s">
        <v>63</v>
      </c>
      <c r="B16" s="8" t="s">
        <v>64</v>
      </c>
      <c r="C16" s="8" t="s">
        <v>74</v>
      </c>
      <c r="D16" s="8" t="s">
        <v>75</v>
      </c>
      <c r="E16" s="8" t="s">
        <v>76</v>
      </c>
      <c r="F16" s="8" t="s">
        <v>77</v>
      </c>
      <c r="G16" s="8" t="s">
        <v>78</v>
      </c>
      <c r="H16" s="8" t="s">
        <v>79</v>
      </c>
      <c r="I16" s="8" t="s">
        <v>80</v>
      </c>
      <c r="J16" s="8" t="s">
        <v>81</v>
      </c>
      <c r="K16" s="8" t="s">
        <v>82</v>
      </c>
      <c r="L16" s="8" t="s">
        <v>83</v>
      </c>
    </row>
    <row r="17" spans="1:12" ht="25" customHeight="1" x14ac:dyDescent="0.2">
      <c r="A17" s="16"/>
      <c r="B17" s="16"/>
      <c r="C17" s="16"/>
      <c r="D17" s="5"/>
      <c r="E17" s="14"/>
      <c r="F17" s="14"/>
      <c r="G17" s="14"/>
      <c r="H17" s="14"/>
      <c r="I17" s="14"/>
      <c r="J17" s="14"/>
      <c r="K17" s="14"/>
      <c r="L17" s="14"/>
    </row>
    <row r="18" spans="1:12" ht="25" customHeight="1" x14ac:dyDescent="0.2">
      <c r="A18" s="16"/>
      <c r="B18" s="16"/>
      <c r="C18" s="16"/>
      <c r="D18" s="5"/>
      <c r="E18" s="14"/>
      <c r="F18" s="14"/>
      <c r="G18" s="14"/>
      <c r="H18" s="14"/>
      <c r="I18" s="14"/>
      <c r="J18" s="14"/>
      <c r="K18" s="14"/>
      <c r="L18" s="14"/>
    </row>
    <row r="19" spans="1:12" ht="25" customHeight="1" x14ac:dyDescent="0.2">
      <c r="A19" s="16"/>
      <c r="B19" s="16"/>
      <c r="C19" s="16"/>
      <c r="D19" s="5"/>
      <c r="E19" s="14"/>
      <c r="F19" s="14"/>
      <c r="G19" s="14"/>
      <c r="H19" s="14"/>
      <c r="I19" s="14"/>
      <c r="J19" s="14"/>
      <c r="K19" s="14"/>
      <c r="L19" s="14"/>
    </row>
    <row r="20" spans="1:12" ht="25" customHeight="1" x14ac:dyDescent="0.2">
      <c r="A20" s="16"/>
      <c r="B20" s="16"/>
      <c r="C20" s="16"/>
      <c r="D20" s="5"/>
      <c r="E20" s="14"/>
      <c r="F20" s="14"/>
      <c r="G20" s="14"/>
      <c r="H20" s="14"/>
      <c r="I20" s="14"/>
      <c r="J20" s="14"/>
      <c r="K20" s="14"/>
      <c r="L20" s="14"/>
    </row>
    <row r="21" spans="1:12" ht="25" customHeight="1" x14ac:dyDescent="0.2">
      <c r="A21" s="16"/>
      <c r="B21" s="16"/>
      <c r="C21" s="16"/>
      <c r="D21" s="5"/>
      <c r="E21" s="14"/>
      <c r="F21" s="14"/>
      <c r="G21" s="14"/>
      <c r="H21" s="14"/>
      <c r="I21" s="14"/>
      <c r="J21" s="14"/>
      <c r="K21" s="14"/>
      <c r="L21" s="14"/>
    </row>
    <row r="22" spans="1:12" ht="25" customHeight="1" x14ac:dyDescent="0.2"/>
    <row r="23" spans="1:12" ht="25" customHeight="1" x14ac:dyDescent="0.2">
      <c r="A23" s="33" t="s">
        <v>84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1:12" ht="25" customHeight="1" x14ac:dyDescent="0.2"/>
    <row r="25" spans="1:12" ht="34" customHeight="1" x14ac:dyDescent="0.2">
      <c r="A25" s="17" t="s">
        <v>85</v>
      </c>
      <c r="B25" s="18"/>
    </row>
    <row r="26" spans="1:12" ht="34" customHeight="1" x14ac:dyDescent="0.2">
      <c r="A26" s="17" t="s">
        <v>86</v>
      </c>
      <c r="B26" s="19"/>
    </row>
    <row r="27" spans="1:12" ht="34" customHeight="1" x14ac:dyDescent="0.2">
      <c r="A27" s="17" t="s">
        <v>87</v>
      </c>
      <c r="B27" s="18"/>
    </row>
    <row r="28" spans="1:12" ht="34" customHeight="1" x14ac:dyDescent="0.2">
      <c r="A28" s="17" t="s">
        <v>88</v>
      </c>
      <c r="B28" s="18"/>
    </row>
    <row r="29" spans="1:12" ht="58" customHeight="1" x14ac:dyDescent="0.2">
      <c r="A29" s="17" t="s">
        <v>89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</row>
    <row r="30" spans="1:12" ht="58" customHeight="1" x14ac:dyDescent="0.2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spans="1:12" ht="58" customHeight="1" x14ac:dyDescent="0.2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</sheetData>
  <mergeCells count="7">
    <mergeCell ref="A23:L23"/>
    <mergeCell ref="B29:L31"/>
    <mergeCell ref="A1:L1"/>
    <mergeCell ref="A2:L2"/>
    <mergeCell ref="A3:L3"/>
    <mergeCell ref="A6:L6"/>
    <mergeCell ref="A14:L14"/>
  </mergeCells>
  <dataValidations count="1">
    <dataValidation type="whole" sqref="B26" xr:uid="{00000000-0002-0000-0200-000000000000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/>
  </sheetViews>
  <sheetFormatPr baseColWidth="10" defaultColWidth="8.83203125" defaultRowHeight="15" x14ac:dyDescent="0.2"/>
  <cols>
    <col min="1" max="1" width="25" customWidth="1"/>
    <col min="2" max="2" width="51" customWidth="1"/>
    <col min="3" max="3" width="43" customWidth="1"/>
    <col min="4" max="4" width="42" customWidth="1"/>
  </cols>
  <sheetData>
    <row r="1" spans="1:4" ht="34" customHeight="1" x14ac:dyDescent="0.2">
      <c r="A1" s="23" t="s">
        <v>90</v>
      </c>
      <c r="B1" s="23"/>
      <c r="C1" s="23"/>
      <c r="D1" s="23"/>
    </row>
    <row r="2" spans="1:4" ht="28" customHeight="1" x14ac:dyDescent="0.2">
      <c r="A2" s="24" t="s">
        <v>91</v>
      </c>
      <c r="B2" s="24"/>
      <c r="C2" s="24"/>
      <c r="D2" s="24"/>
    </row>
    <row r="3" spans="1:4" ht="31.5" customHeight="1" x14ac:dyDescent="0.2"/>
    <row r="4" spans="1:4" ht="36" customHeight="1" x14ac:dyDescent="0.2">
      <c r="A4" s="8" t="s">
        <v>92</v>
      </c>
      <c r="B4" s="8" t="s">
        <v>93</v>
      </c>
      <c r="C4" s="8" t="s">
        <v>94</v>
      </c>
      <c r="D4" s="8" t="s">
        <v>95</v>
      </c>
    </row>
    <row r="5" spans="1:4" ht="36" customHeight="1" x14ac:dyDescent="0.2">
      <c r="A5" s="6" t="s">
        <v>96</v>
      </c>
      <c r="B5" s="20" t="s">
        <v>97</v>
      </c>
      <c r="C5" s="6" t="s">
        <v>98</v>
      </c>
      <c r="D5" s="21" t="s">
        <v>99</v>
      </c>
    </row>
    <row r="6" spans="1:4" ht="36" customHeight="1" x14ac:dyDescent="0.2">
      <c r="A6" s="6" t="s">
        <v>100</v>
      </c>
      <c r="B6" s="20" t="s">
        <v>101</v>
      </c>
      <c r="C6" s="6" t="s">
        <v>102</v>
      </c>
      <c r="D6" s="21" t="s">
        <v>103</v>
      </c>
    </row>
    <row r="7" spans="1:4" ht="36" customHeight="1" x14ac:dyDescent="0.2">
      <c r="A7" s="6" t="s">
        <v>104</v>
      </c>
      <c r="B7" s="20" t="s">
        <v>105</v>
      </c>
      <c r="C7" s="6" t="s">
        <v>106</v>
      </c>
      <c r="D7" s="21" t="s">
        <v>107</v>
      </c>
    </row>
    <row r="8" spans="1:4" ht="36" customHeight="1" x14ac:dyDescent="0.2">
      <c r="A8" s="6" t="s">
        <v>108</v>
      </c>
      <c r="B8" s="20" t="s">
        <v>109</v>
      </c>
      <c r="C8" s="6" t="s">
        <v>110</v>
      </c>
      <c r="D8" s="21" t="s">
        <v>111</v>
      </c>
    </row>
    <row r="9" spans="1:4" ht="36" customHeight="1" x14ac:dyDescent="0.2">
      <c r="A9" s="6" t="s">
        <v>112</v>
      </c>
      <c r="B9" s="20" t="s">
        <v>113</v>
      </c>
      <c r="C9" s="6" t="s">
        <v>114</v>
      </c>
      <c r="D9" s="21" t="s">
        <v>115</v>
      </c>
    </row>
    <row r="10" spans="1:4" ht="36" customHeight="1" x14ac:dyDescent="0.2">
      <c r="A10" s="6" t="s">
        <v>116</v>
      </c>
      <c r="B10" s="20" t="s">
        <v>117</v>
      </c>
      <c r="C10" s="6" t="s">
        <v>118</v>
      </c>
      <c r="D10" s="21" t="s">
        <v>119</v>
      </c>
    </row>
    <row r="11" spans="1:4" ht="36" customHeight="1" x14ac:dyDescent="0.2">
      <c r="A11" s="6" t="s">
        <v>120</v>
      </c>
      <c r="B11" s="20" t="s">
        <v>121</v>
      </c>
      <c r="C11" s="6" t="s">
        <v>122</v>
      </c>
      <c r="D11" s="21" t="s">
        <v>123</v>
      </c>
    </row>
    <row r="12" spans="1:4" ht="36" customHeight="1" x14ac:dyDescent="0.2">
      <c r="A12" s="6" t="s">
        <v>124</v>
      </c>
      <c r="B12" s="20" t="s">
        <v>125</v>
      </c>
      <c r="C12" s="6" t="s">
        <v>126</v>
      </c>
      <c r="D12" s="21" t="s">
        <v>127</v>
      </c>
    </row>
    <row r="13" spans="1:4" ht="36" customHeight="1" x14ac:dyDescent="0.2">
      <c r="A13" s="6" t="s">
        <v>128</v>
      </c>
      <c r="B13" s="20" t="s">
        <v>129</v>
      </c>
      <c r="C13" s="6" t="s">
        <v>130</v>
      </c>
      <c r="D13" s="21" t="s">
        <v>131</v>
      </c>
    </row>
    <row r="14" spans="1:4" ht="36" customHeight="1" x14ac:dyDescent="0.2">
      <c r="A14" s="6" t="s">
        <v>132</v>
      </c>
      <c r="B14" s="20" t="s">
        <v>133</v>
      </c>
      <c r="C14" s="6" t="s">
        <v>134</v>
      </c>
      <c r="D14" s="21" t="s">
        <v>135</v>
      </c>
    </row>
    <row r="15" spans="1:4" ht="36" customHeight="1" x14ac:dyDescent="0.2">
      <c r="A15" s="6" t="s">
        <v>136</v>
      </c>
      <c r="B15" s="20" t="s">
        <v>137</v>
      </c>
      <c r="C15" s="6" t="s">
        <v>138</v>
      </c>
      <c r="D15" s="21" t="s">
        <v>139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showGridLines="0" workbookViewId="0"/>
  </sheetViews>
  <sheetFormatPr baseColWidth="10" defaultColWidth="8.83203125" defaultRowHeight="15" x14ac:dyDescent="0.2"/>
  <cols>
    <col min="1" max="1" width="18" customWidth="1"/>
    <col min="2" max="2" width="25" customWidth="1"/>
    <col min="3" max="3" width="14" customWidth="1"/>
    <col min="4" max="4" width="16" customWidth="1"/>
    <col min="5" max="7" width="13" customWidth="1"/>
    <col min="8" max="9" width="14" customWidth="1"/>
    <col min="10" max="10" width="10" customWidth="1"/>
    <col min="11" max="11" width="17" customWidth="1"/>
  </cols>
  <sheetData>
    <row r="1" spans="1:11" ht="34" customHeight="1" x14ac:dyDescent="0.2">
      <c r="A1" s="23" t="s">
        <v>140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8" customHeight="1" x14ac:dyDescent="0.2">
      <c r="A2" s="24" t="s">
        <v>141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2">
      <c r="A3" s="33" t="s">
        <v>142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x14ac:dyDescent="0.2">
      <c r="A4" s="3" t="s">
        <v>143</v>
      </c>
      <c r="B4" s="7">
        <v>50</v>
      </c>
    </row>
    <row r="5" spans="1:11" x14ac:dyDescent="0.2">
      <c r="A5" s="3" t="s">
        <v>144</v>
      </c>
      <c r="B5" s="7">
        <v>10</v>
      </c>
    </row>
    <row r="6" spans="1:11" x14ac:dyDescent="0.2">
      <c r="A6" s="3" t="s">
        <v>145</v>
      </c>
      <c r="B6" s="4" t="s">
        <v>146</v>
      </c>
    </row>
    <row r="8" spans="1:11" ht="27" customHeight="1" x14ac:dyDescent="0.2">
      <c r="A8" s="8" t="s">
        <v>63</v>
      </c>
      <c r="B8" s="8" t="s">
        <v>64</v>
      </c>
      <c r="C8" s="8" t="s">
        <v>65</v>
      </c>
      <c r="D8" s="8" t="s">
        <v>66</v>
      </c>
      <c r="E8" s="8" t="s">
        <v>67</v>
      </c>
      <c r="F8" s="8" t="s">
        <v>68</v>
      </c>
      <c r="G8" s="8" t="s">
        <v>69</v>
      </c>
      <c r="H8" s="8" t="s">
        <v>70</v>
      </c>
      <c r="I8" s="8" t="s">
        <v>71</v>
      </c>
      <c r="J8" s="8" t="s">
        <v>72</v>
      </c>
      <c r="K8" s="8" t="s">
        <v>147</v>
      </c>
    </row>
    <row r="9" spans="1:11" ht="27" customHeight="1" x14ac:dyDescent="0.2">
      <c r="A9" s="11">
        <v>1</v>
      </c>
      <c r="B9" s="11" t="s">
        <v>148</v>
      </c>
      <c r="C9" s="11">
        <v>50</v>
      </c>
      <c r="D9" s="9">
        <v>189.99</v>
      </c>
      <c r="E9" s="10">
        <v>0.3</v>
      </c>
      <c r="F9" s="10">
        <v>0</v>
      </c>
      <c r="G9" s="10">
        <v>0</v>
      </c>
      <c r="H9" s="10">
        <v>0.02</v>
      </c>
      <c r="I9" s="11">
        <v>10</v>
      </c>
      <c r="J9" s="11">
        <v>30</v>
      </c>
      <c r="K9" s="4" t="s">
        <v>149</v>
      </c>
    </row>
    <row r="10" spans="1:11" ht="27" customHeight="1" x14ac:dyDescent="0.2">
      <c r="A10" s="11">
        <v>2</v>
      </c>
      <c r="B10" s="11" t="s">
        <v>150</v>
      </c>
      <c r="C10" s="11">
        <v>60</v>
      </c>
      <c r="D10" s="9">
        <v>196</v>
      </c>
      <c r="E10" s="10">
        <v>0.25</v>
      </c>
      <c r="F10" s="10">
        <v>0.1</v>
      </c>
      <c r="G10" s="10">
        <v>0</v>
      </c>
      <c r="H10" s="10">
        <v>0.02</v>
      </c>
      <c r="I10" s="11">
        <v>10</v>
      </c>
      <c r="J10" s="11">
        <v>30</v>
      </c>
      <c r="K10" s="4" t="s">
        <v>149</v>
      </c>
    </row>
    <row r="11" spans="1:11" ht="27" customHeight="1" x14ac:dyDescent="0.2">
      <c r="A11" s="11">
        <v>3</v>
      </c>
      <c r="B11" s="11" t="s">
        <v>151</v>
      </c>
      <c r="C11" s="11">
        <v>40</v>
      </c>
      <c r="D11" s="9">
        <v>177.5</v>
      </c>
      <c r="E11" s="10">
        <v>0.3</v>
      </c>
      <c r="F11" s="10">
        <v>0.05</v>
      </c>
      <c r="G11" s="10">
        <v>0</v>
      </c>
      <c r="H11" s="10">
        <v>0.03</v>
      </c>
      <c r="I11" s="11">
        <v>15</v>
      </c>
      <c r="J11" s="11">
        <v>45</v>
      </c>
      <c r="K11" s="4" t="s">
        <v>49</v>
      </c>
    </row>
    <row r="12" spans="1:11" ht="27" customHeight="1" x14ac:dyDescent="0.2">
      <c r="A12" s="11">
        <v>4</v>
      </c>
      <c r="B12" s="11" t="s">
        <v>152</v>
      </c>
      <c r="C12" s="11">
        <v>55</v>
      </c>
      <c r="D12" s="9">
        <v>205</v>
      </c>
      <c r="E12" s="10">
        <v>0.2</v>
      </c>
      <c r="F12" s="10">
        <v>0.1</v>
      </c>
      <c r="G12" s="10">
        <v>0.05</v>
      </c>
      <c r="H12" s="10">
        <v>0.03</v>
      </c>
      <c r="I12" s="11">
        <v>5</v>
      </c>
      <c r="J12" s="11">
        <v>30</v>
      </c>
      <c r="K12" s="4" t="s">
        <v>153</v>
      </c>
    </row>
    <row r="13" spans="1:11" ht="27" customHeight="1" x14ac:dyDescent="0.2">
      <c r="A13" s="11">
        <v>5</v>
      </c>
      <c r="B13" s="11" t="s">
        <v>154</v>
      </c>
      <c r="C13" s="11">
        <v>50</v>
      </c>
      <c r="D13" s="9">
        <v>184.5</v>
      </c>
      <c r="E13" s="10">
        <v>0.22</v>
      </c>
      <c r="F13" s="10">
        <v>0</v>
      </c>
      <c r="G13" s="10">
        <v>0</v>
      </c>
      <c r="H13" s="10">
        <v>0.01</v>
      </c>
      <c r="I13" s="11">
        <v>10</v>
      </c>
      <c r="J13" s="11">
        <v>30</v>
      </c>
      <c r="K13" s="4" t="s">
        <v>155</v>
      </c>
    </row>
    <row r="15" spans="1:11" ht="32" customHeight="1" x14ac:dyDescent="0.2">
      <c r="A15" s="35" t="s">
        <v>156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</row>
  </sheetData>
  <mergeCells count="4">
    <mergeCell ref="A1:K1"/>
    <mergeCell ref="A2:K2"/>
    <mergeCell ref="A3:K3"/>
    <mergeCell ref="A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Live You Try It</vt:lpstr>
      <vt:lpstr>Class Challenge</vt:lpstr>
      <vt:lpstr>FormulaReferenceCard</vt:lpstr>
      <vt:lpstr>Vendor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Bethany Evitts</cp:lastModifiedBy>
  <dcterms:modified xsi:type="dcterms:W3CDTF">2026-09-28T12:29:58Z</dcterms:modified>
</cp:coreProperties>
</file>