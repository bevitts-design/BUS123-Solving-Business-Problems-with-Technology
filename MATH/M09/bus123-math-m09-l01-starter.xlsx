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Part A · FV Annual" sheetId="2" state="visible" r:id="rId2"/>
    <sheet xmlns:r="http://schemas.openxmlformats.org/officeDocument/2006/relationships" name="Part B · Compounding Freq" sheetId="3" state="visible" r:id="rId3"/>
    <sheet xmlns:r="http://schemas.openxmlformats.org/officeDocument/2006/relationships" name="Part C · Rule of 72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[$$-409]#,##0.00;[Red]\-[$$-409]#,##0.00"/>
    <numFmt numFmtId="165" formatCode="0.0"/>
  </numFmts>
  <fonts count="23">
    <font>
      <name val="Calibri"/>
      <color theme="1"/>
      <sz val="11"/>
    </font>
    <font>
      <name val="Calibri"/>
      <b val="1"/>
      <color rgb="FFFFFFFF"/>
      <sz val="18"/>
    </font>
    <font>
      <name val="Calibri"/>
      <color rgb="FFC9A84C"/>
      <sz val="13"/>
    </font>
    <font>
      <name val="Calibri"/>
      <b val="1"/>
      <color rgb="FFFFFFFF"/>
      <sz val="12"/>
    </font>
    <font>
      <name val="Calibri"/>
      <b val="1"/>
      <color rgb="FF0E1116"/>
      <sz val="11"/>
    </font>
    <font>
      <name val="Calibri"/>
      <color rgb="FF4A5567"/>
      <sz val="11"/>
    </font>
    <font>
      <name val="Calibri"/>
      <color rgb="FF0E1116"/>
      <sz val="11"/>
    </font>
    <font>
      <name val="Calibri"/>
      <b val="1"/>
      <color rgb="FF4A7C5E"/>
      <sz val="11"/>
    </font>
    <font>
      <name val="Calibri"/>
      <b val="1"/>
      <color rgb="FFFFFFFF"/>
      <sz val="15"/>
    </font>
    <font>
      <name val="Calibri"/>
      <b val="1"/>
      <color rgb="FFFFFFFF"/>
      <sz val="10"/>
    </font>
    <font>
      <name val="Calibri"/>
      <color rgb="FF0A3D6B"/>
      <sz val="11"/>
    </font>
    <font>
      <name val="Calibri"/>
      <b val="1"/>
      <color rgb="FF1A6B3C"/>
      <sz val="11"/>
    </font>
    <font>
      <name val="Calibri"/>
      <i val="1"/>
      <color rgb="FF1A6B3C"/>
      <sz val="11"/>
    </font>
    <font>
      <name val="Calibri"/>
      <i val="1"/>
      <color rgb="FF7A8290"/>
      <sz val="10"/>
    </font>
    <font>
      <name val="Calibri"/>
      <i val="1"/>
      <color rgb="FF4A7C5E"/>
      <sz val="10"/>
    </font>
    <font>
      <name val="Calibri"/>
      <color rgb="FF4A7C5E"/>
      <sz val="11"/>
    </font>
    <font>
      <name val="Calibri"/>
      <color rgb="FF7A8290"/>
      <sz val="11"/>
    </font>
    <font>
      <name val="Calibri"/>
      <i val="1"/>
      <color rgb="FF9C4A2B"/>
      <sz val="10"/>
    </font>
    <font>
      <name val="Calibri"/>
      <color rgb="FFC9A84C"/>
      <sz val="11"/>
    </font>
    <font>
      <name val="Calibri"/>
      <color rgb="FF1A6B3C"/>
      <sz val="11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2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F2EEE5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1A1A2E"/>
      </patternFill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F0FAF4"/>
      </patternFill>
    </fill>
    <fill>
      <patternFill patternType="solid">
        <fgColor rgb="FFFFF5F0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3">
    <border/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17" fillId="11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10" borderId="0" applyAlignment="1" pivotButton="0" quotePrefix="0" xfId="0">
      <alignment vertical="center" wrapText="1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3" fillId="5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11" fillId="9" borderId="1" applyAlignment="1" pivotButton="0" quotePrefix="0" xfId="0">
      <alignment horizontal="center" vertical="center"/>
    </xf>
    <xf numFmtId="164" fontId="10" fillId="8" borderId="2" applyAlignment="1" pivotButton="0" quotePrefix="0" xfId="0">
      <alignment horizontal="center" vertical="center"/>
    </xf>
    <xf numFmtId="0" fontId="0" fillId="12" borderId="0" pivotButton="0" quotePrefix="0" xfId="0"/>
    <xf numFmtId="0" fontId="20" fillId="12" borderId="0" pivotButton="0" quotePrefix="0" xfId="0"/>
    <xf numFmtId="0" fontId="20" fillId="12" borderId="0" applyAlignment="1" pivotButton="0" quotePrefix="0" xfId="0">
      <alignment wrapText="1"/>
    </xf>
    <xf numFmtId="0" fontId="0" fillId="13" borderId="0" pivotButton="0" quotePrefix="0" xfId="0"/>
    <xf numFmtId="0" fontId="21" fillId="13" borderId="0" pivotButton="0" quotePrefix="0" xfId="0"/>
    <xf numFmtId="0" fontId="21" fillId="13" borderId="2" pivotButton="0" quotePrefix="0" xfId="0"/>
    <xf numFmtId="0" fontId="21" fillId="13" borderId="2" applyAlignment="1" pivotButton="0" quotePrefix="0" xfId="0">
      <alignment wrapText="1"/>
    </xf>
    <xf numFmtId="0" fontId="21" fillId="14" borderId="2" applyAlignment="1" pivotButton="0" quotePrefix="0" xfId="0">
      <alignment wrapText="1"/>
    </xf>
    <xf numFmtId="0" fontId="22" fillId="14" borderId="2" applyAlignment="1" pivotButton="0" quotePrefix="0" xfId="0">
      <alignment wrapText="1"/>
    </xf>
    <xf numFmtId="0" fontId="21" fillId="15" borderId="2" applyAlignment="1" pivotButton="0" quotePrefix="0" xfId="0">
      <alignment wrapText="1"/>
    </xf>
    <xf numFmtId="0" fontId="0" fillId="16" borderId="0" pivotButton="0" quotePrefix="0" xfId="0"/>
    <xf numFmtId="0" fontId="20" fillId="16" borderId="0" pivotButton="0" quotePrefix="0" xfId="0"/>
    <xf numFmtId="0" fontId="20" fillId="16" borderId="2" pivotButton="0" quotePrefix="0" xfId="0"/>
    <xf numFmtId="0" fontId="20" fillId="16" borderId="2" applyAlignment="1" pivotButton="0" quotePrefix="0" xfId="0">
      <alignment wrapText="1"/>
    </xf>
    <xf numFmtId="0" fontId="0" fillId="17" borderId="0" pivotButton="0" quotePrefix="0" xfId="0"/>
    <xf numFmtId="0" fontId="21" fillId="17" borderId="0" pivotButton="0" quotePrefix="0" xfId="0"/>
    <xf numFmtId="0" fontId="21" fillId="17" borderId="2" pivotButton="0" quotePrefix="0" xfId="0"/>
    <xf numFmtId="0" fontId="21" fillId="17" borderId="2" applyAlignment="1" pivotButton="0" quotePrefix="0" xfId="0">
      <alignment wrapText="1"/>
    </xf>
    <xf numFmtId="0" fontId="21" fillId="18" borderId="2" applyAlignment="1" pivotButton="0" quotePrefix="0" xfId="0">
      <alignment wrapText="1"/>
    </xf>
    <xf numFmtId="0" fontId="22" fillId="18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</cellXfs>
  <cellStyles count="1">
    <cellStyle name="Normal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0FAF4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5F0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E1116"/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8" customWidth="1" min="2" max="2"/>
    <col width="52" customWidth="1" min="3" max="3"/>
    <col width="2" customWidth="1" min="4" max="4"/>
  </cols>
  <sheetData>
    <row r="1" ht="6" customHeight="1"/>
    <row r="2" ht="36" customHeight="1">
      <c r="B2" s="12" t="inlineStr">
        <is>
          <t>BUS123 · MATH-M09 · L01</t>
        </is>
      </c>
    </row>
    <row r="3" ht="24" customHeight="1">
      <c r="B3" s="11" t="inlineStr">
        <is>
          <t>Compound Interest &amp; Future Value</t>
        </is>
      </c>
    </row>
    <row r="4" ht="7.5" customHeight="1"/>
    <row r="5" ht="21.75" customHeight="1">
      <c r="B5" s="10" t="inlineStr">
        <is>
          <t>Color Key</t>
        </is>
      </c>
    </row>
    <row r="6" ht="19.5" customHeight="1">
      <c r="B6" s="13" t="inlineStr">
        <is>
          <t>Yellow cell</t>
        </is>
      </c>
      <c r="C6" s="14" t="inlineStr">
        <is>
          <t>Your input — every yellow cell must be filled</t>
        </is>
      </c>
    </row>
    <row r="7" ht="19.5" customHeight="1">
      <c r="B7" s="13" t="inlineStr">
        <is>
          <t>Green / italic text</t>
        </is>
      </c>
      <c r="C7" s="14" t="inlineStr">
        <is>
          <t>Formula result — do not edit</t>
        </is>
      </c>
    </row>
    <row r="8" ht="19.5" customHeight="1">
      <c r="B8" s="13" t="inlineStr">
        <is>
          <t>Cream row</t>
        </is>
      </c>
      <c r="C8" s="14" t="inlineStr">
        <is>
          <t>Read-only reference</t>
        </is>
      </c>
    </row>
    <row r="9" ht="7.5" customHeight="1"/>
    <row r="10" ht="21.75" customHeight="1">
      <c r="B10" s="9" t="inlineStr">
        <is>
          <t>Learning Objectives — I Can…</t>
        </is>
      </c>
    </row>
    <row r="11" ht="19.5" customHeight="1">
      <c r="B11" s="8" t="inlineStr">
        <is>
          <t xml:space="preserve">  1. Explain the difference between simple and compound interest</t>
        </is>
      </c>
    </row>
    <row r="12" ht="19.5" customHeight="1">
      <c r="B12" s="8" t="inlineStr">
        <is>
          <t xml:space="preserve">  2. Calculate FV using FV = PV × (1+i)^n manually and with =FV()</t>
        </is>
      </c>
    </row>
    <row r="13" ht="19.5" customHeight="1">
      <c r="B13" s="8" t="inlineStr">
        <is>
          <t xml:space="preserve">  3. Use =FV() with correct sign convention (pv negative, pmt=0)</t>
        </is>
      </c>
    </row>
    <row r="14" ht="19.5" customHeight="1">
      <c r="B14" s="8" t="inlineStr">
        <is>
          <t xml:space="preserve">  4. Adjust rate and nper for non-annual compounding (quarterly, monthly)</t>
        </is>
      </c>
    </row>
    <row r="15" ht="19.5" customHeight="1">
      <c r="B15" s="8" t="inlineStr">
        <is>
          <t xml:space="preserve">  5. Estimate doubling time using the Rule of 72 and verify with =FV()</t>
        </is>
      </c>
    </row>
    <row r="16" ht="7.5" customHeight="1"/>
    <row r="17" ht="21.75" customHeight="1">
      <c r="B17" s="7" t="inlineStr">
        <is>
          <t>Tabs in This Workbook</t>
        </is>
      </c>
    </row>
    <row r="18" ht="21.75" customHeight="1">
      <c r="B18" s="15" t="inlineStr">
        <is>
          <t>Part A · FV Annual</t>
        </is>
      </c>
      <c r="C18" s="16" t="inlineStr">
        <is>
          <t>Three Meridian investments — annual compounding. Build =FV() and manual verify.</t>
        </is>
      </c>
    </row>
    <row r="19" ht="21.75" customHeight="1">
      <c r="B19" s="15" t="inlineStr">
        <is>
          <t>Part B · Compounding Freq</t>
        </is>
      </c>
      <c r="C19" s="16" t="inlineStr">
        <is>
          <t>Same investment, four frequencies. Adjust rate and nper for each.</t>
        </is>
      </c>
    </row>
    <row r="20" ht="21.75" customHeight="1">
      <c r="B20" s="15" t="inlineStr">
        <is>
          <t>Part C · Rule of 72</t>
        </is>
      </c>
      <c r="C20" s="16" t="inlineStr">
        <is>
          <t>Estimate doubling time, then verify with =FV().</t>
        </is>
      </c>
    </row>
    <row r="21" ht="21.75" customHeight="1">
      <c r="B21" s="15" t="inlineStr">
        <is>
          <t>FormulaReferenceCard</t>
        </is>
      </c>
      <c r="C21" s="16" t="inlineStr">
        <is>
          <t>All compound interest formulas for this lesson.</t>
        </is>
      </c>
    </row>
  </sheetData>
  <mergeCells count="10">
    <mergeCell ref="B13:C13"/>
    <mergeCell ref="B2:C2"/>
    <mergeCell ref="B15:C15"/>
    <mergeCell ref="B11:C11"/>
    <mergeCell ref="B3:C3"/>
    <mergeCell ref="B5:C5"/>
    <mergeCell ref="B10:C10"/>
    <mergeCell ref="B14:C14"/>
    <mergeCell ref="B17:C17"/>
    <mergeCell ref="B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7C5E"/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2" customWidth="1" min="2" max="2"/>
    <col width="16" customWidth="1" min="3" max="3"/>
    <col width="14" customWidth="1" min="4" max="4"/>
    <col width="12" customWidth="1" min="5" max="5"/>
    <col width="18" customWidth="1" min="6" max="6"/>
    <col width="20" customWidth="1" min="7" max="7"/>
    <col width="24" customWidth="1" min="8" max="8"/>
  </cols>
  <sheetData>
    <row r="1" ht="6" customHeight="1"/>
    <row r="2" ht="30" customHeight="1">
      <c r="B2" s="6" t="inlineStr">
        <is>
          <t>Meridian Advisory Group · Compound Interest — Annual Compounding</t>
        </is>
      </c>
    </row>
    <row r="3" ht="9.75" customHeight="1"/>
    <row r="4" ht="21.75" customHeight="1">
      <c r="B4" s="10" t="inlineStr">
        <is>
          <t>Section 1 — Annual Compounding   FV = PV × (1 + i)ⁿ   and   =FV(rate, nper, 0, pv)</t>
        </is>
      </c>
    </row>
    <row r="5" ht="19.5" customHeight="1">
      <c r="B5" s="17" t="inlineStr">
        <is>
          <t>Investment</t>
        </is>
      </c>
      <c r="C5" s="17" t="inlineStr">
        <is>
          <t>PV (enter negative)</t>
        </is>
      </c>
      <c r="D5" s="17" t="inlineStr">
        <is>
          <t>Annual Rate (i)</t>
        </is>
      </c>
      <c r="E5" s="17" t="inlineStr">
        <is>
          <t>Years (n)</t>
        </is>
      </c>
      <c r="F5" s="17" t="inlineStr">
        <is>
          <t>=FV() Result</t>
        </is>
      </c>
      <c r="G5" s="17" t="inlineStr">
        <is>
          <t>Manual Verify</t>
        </is>
      </c>
      <c r="H5" s="17" t="inlineStr">
        <is>
          <t>Notes</t>
        </is>
      </c>
    </row>
    <row r="6" ht="21.75" customHeight="1">
      <c r="B6" s="18" t="inlineStr">
        <is>
          <t>Client Inv. A</t>
        </is>
      </c>
      <c r="C6" s="19" t="n"/>
      <c r="D6" s="19" t="n"/>
      <c r="E6" s="19" t="n"/>
      <c r="F6" s="20">
        <f>IFERROR(FV(D6,E6,0,C6),"")</f>
        <v/>
      </c>
      <c r="G6" s="21">
        <f>IFERROR(ABS(C6)*(1+D6)^E6,"")</f>
        <v/>
      </c>
      <c r="H6" s="22" t="inlineStr">
        <is>
          <t>Retirement account</t>
        </is>
      </c>
    </row>
    <row r="7" ht="21.75" customHeight="1">
      <c r="B7" s="18" t="inlineStr">
        <is>
          <t>Client Inv. B</t>
        </is>
      </c>
      <c r="C7" s="19" t="n"/>
      <c r="D7" s="19" t="n"/>
      <c r="E7" s="19" t="n"/>
      <c r="F7" s="20">
        <f>IFERROR(FV(D7,E7,0,C7),"")</f>
        <v/>
      </c>
      <c r="G7" s="21">
        <f>IFERROR(ABS(C7)*(1+D7)^E7,"")</f>
        <v/>
      </c>
      <c r="H7" s="22" t="inlineStr">
        <is>
          <t>Education fund</t>
        </is>
      </c>
    </row>
    <row r="8" ht="21.75" customHeight="1">
      <c r="B8" s="18" t="inlineStr">
        <is>
          <t>Client Inv. C</t>
        </is>
      </c>
      <c r="C8" s="19" t="n"/>
      <c r="D8" s="19" t="n"/>
      <c r="E8" s="19" t="n"/>
      <c r="F8" s="20">
        <f>IFERROR(FV(D8,E8,0,C8),"")</f>
        <v/>
      </c>
      <c r="G8" s="21">
        <f>IFERROR(ABS(C8)*(1+D8)^E8,"")</f>
        <v/>
      </c>
      <c r="H8" s="22" t="inlineStr">
        <is>
          <t>Business reserve</t>
        </is>
      </c>
    </row>
    <row r="9" ht="7.5" customHeight="1"/>
    <row r="10" ht="21.75" customHeight="1">
      <c r="B10" s="5" t="inlineStr">
        <is>
          <t xml:space="preserve">  ✓  Rows F and G must match. If they don't, check that pv in column C is entered as a negative number.</t>
        </is>
      </c>
    </row>
    <row r="11" ht="21.75" customHeight="1">
      <c r="B11" s="9" t="inlineStr">
        <is>
          <t>Section 2 — Solve for the Unknown (Rearrange the Formula)</t>
        </is>
      </c>
    </row>
    <row r="12" ht="19.5" customHeight="1">
      <c r="B12" s="17" t="inlineStr">
        <is>
          <t>Problem</t>
        </is>
      </c>
      <c r="C12" s="17" t="inlineStr">
        <is>
          <t>PV</t>
        </is>
      </c>
      <c r="D12" s="17" t="inlineStr">
        <is>
          <t>Rate (i)</t>
        </is>
      </c>
      <c r="E12" s="17" t="inlineStr">
        <is>
          <t>Years (n)</t>
        </is>
      </c>
      <c r="F12" s="17" t="inlineStr">
        <is>
          <t>FV (given)</t>
        </is>
      </c>
      <c r="G12" s="17" t="inlineStr">
        <is>
          <t>Solve For</t>
        </is>
      </c>
      <c r="H12" s="17" t="inlineStr">
        <is>
          <t>Answer</t>
        </is>
      </c>
    </row>
    <row r="13" ht="21.75" customHeight="1">
      <c r="B13" s="18" t="inlineStr">
        <is>
          <t>Find PV</t>
        </is>
      </c>
      <c r="C13" s="19" t="n"/>
      <c r="D13" s="23" t="n">
        <v>0.06</v>
      </c>
      <c r="E13" s="23" t="n">
        <v>5</v>
      </c>
      <c r="F13" s="23" t="inlineStr">
        <is>
          <t>$33,455.64</t>
        </is>
      </c>
      <c r="G13" s="24" t="inlineStr">
        <is>
          <t>PV</t>
        </is>
      </c>
      <c r="H13" s="20">
        <f>IFERROR(PV(D13,E13,0,F13),"")</f>
        <v/>
      </c>
    </row>
    <row r="14" ht="21.75" customHeight="1">
      <c r="B14" s="18" t="inlineStr">
        <is>
          <t>Find n</t>
        </is>
      </c>
      <c r="C14" s="33" t="n">
        <v>-25000</v>
      </c>
      <c r="D14" s="23" t="n">
        <v>0.06</v>
      </c>
      <c r="E14" s="19" t="n"/>
      <c r="F14" s="23" t="inlineStr">
        <is>
          <t>$33,455.64</t>
        </is>
      </c>
      <c r="G14" s="24" t="inlineStr">
        <is>
          <t>Years</t>
        </is>
      </c>
      <c r="H14" s="34">
        <f>IFERROR(LOG(F14/ABS(C14))/LOG(1+D14),"")</f>
        <v/>
      </c>
    </row>
  </sheetData>
  <mergeCells count="4">
    <mergeCell ref="B2:H2"/>
    <mergeCell ref="B4:H4"/>
    <mergeCell ref="B10:H10"/>
    <mergeCell ref="B11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C4A2B"/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2" customWidth="1" min="2" max="2"/>
    <col width="18" customWidth="1" min="3" max="3"/>
    <col width="16" customWidth="1" min="4" max="5"/>
    <col width="20" customWidth="1" min="6" max="6"/>
    <col width="24" customWidth="1" min="7" max="7"/>
  </cols>
  <sheetData>
    <row r="1" ht="6" customHeight="1"/>
    <row r="2" ht="30" customHeight="1">
      <c r="B2" s="6" t="inlineStr">
        <is>
          <t>Meridian Advisory Group · Compounding Frequency Comparison</t>
        </is>
      </c>
    </row>
    <row r="3" ht="9.75" customHeight="1"/>
    <row r="4" ht="21.75" customHeight="1">
      <c r="B4" s="7" t="inlineStr">
        <is>
          <t>Shared Assumptions — Enter Once</t>
        </is>
      </c>
    </row>
    <row r="5" ht="21.75" customHeight="1">
      <c r="B5" s="18" t="inlineStr">
        <is>
          <t>Present Value (PV)</t>
        </is>
      </c>
      <c r="C5" s="19" t="n"/>
      <c r="D5" s="18" t="inlineStr">
        <is>
          <t>Annual Rate</t>
        </is>
      </c>
      <c r="E5" s="19" t="n"/>
      <c r="F5" s="18" t="inlineStr">
        <is>
          <t>Years</t>
        </is>
      </c>
      <c r="G5" s="19" t="n"/>
    </row>
    <row r="6" ht="21.75" customHeight="1">
      <c r="B6" s="22" t="inlineStr">
        <is>
          <t xml:space="preserve">  Enter PV as negative. Enter rate as decimal (e.g. 0.06). Then fill in rate per period and nper for each row below.</t>
        </is>
      </c>
    </row>
    <row r="7" ht="9.75" customHeight="1"/>
    <row r="8" ht="21.75" customHeight="1">
      <c r="B8" s="9" t="inlineStr">
        <is>
          <t>Frequency Comparison — Adjust Rate and Nper for Each Row</t>
        </is>
      </c>
    </row>
    <row r="9" ht="19.5" customHeight="1">
      <c r="B9" s="17" t="inlineStr">
        <is>
          <t>Frequency</t>
        </is>
      </c>
      <c r="C9" s="17" t="inlineStr">
        <is>
          <t>Periods/Year</t>
        </is>
      </c>
      <c r="D9" s="17" t="inlineStr">
        <is>
          <t>Rate per Period</t>
        </is>
      </c>
      <c r="E9" s="17" t="inlineStr">
        <is>
          <t>Nper</t>
        </is>
      </c>
      <c r="F9" s="17" t="inlineStr">
        <is>
          <t>=FV() Result</t>
        </is>
      </c>
      <c r="G9" s="17" t="inlineStr">
        <is>
          <t>Difference vs Annual</t>
        </is>
      </c>
    </row>
    <row r="10" ht="21.75" customHeight="1">
      <c r="B10" s="18" t="inlineStr">
        <is>
          <t>Annually</t>
        </is>
      </c>
      <c r="C10" s="23" t="n">
        <v>1</v>
      </c>
      <c r="D10" s="19" t="n"/>
      <c r="E10" s="19" t="n"/>
      <c r="F10" s="20">
        <f>IFERROR(FV(D10,E10,0,$C$5),"")</f>
        <v/>
      </c>
      <c r="G10" s="26" t="inlineStr">
        <is>
          <t>—</t>
        </is>
      </c>
    </row>
    <row r="11" ht="21.75" customHeight="1">
      <c r="B11" s="18" t="inlineStr">
        <is>
          <t>Semiannually</t>
        </is>
      </c>
      <c r="C11" s="23" t="n">
        <v>2</v>
      </c>
      <c r="D11" s="19" t="n"/>
      <c r="E11" s="19" t="n"/>
      <c r="F11" s="20">
        <f>IFERROR(FV(D11,E11,0,$C$5),"")</f>
        <v/>
      </c>
      <c r="G11" s="27">
        <f>IFERROR(F11-F10,"")</f>
        <v/>
      </c>
    </row>
    <row r="12" ht="21.75" customHeight="1">
      <c r="B12" s="18" t="inlineStr">
        <is>
          <t>Quarterly</t>
        </is>
      </c>
      <c r="C12" s="23" t="n">
        <v>4</v>
      </c>
      <c r="D12" s="19" t="n"/>
      <c r="E12" s="19" t="n"/>
      <c r="F12" s="20">
        <f>IFERROR(FV(D12,E12,0,$C$5),"")</f>
        <v/>
      </c>
      <c r="G12" s="27">
        <f>IFERROR(F12-F10,"")</f>
        <v/>
      </c>
    </row>
    <row r="13" ht="21.75" customHeight="1">
      <c r="B13" s="18" t="inlineStr">
        <is>
          <t>Monthly</t>
        </is>
      </c>
      <c r="C13" s="23" t="n">
        <v>12</v>
      </c>
      <c r="D13" s="19" t="n"/>
      <c r="E13" s="19" t="n"/>
      <c r="F13" s="20">
        <f>IFERROR(FV(D13,E13,0,$C$5),"")</f>
        <v/>
      </c>
      <c r="G13" s="27">
        <f>IFERROR(F13-F10,"")</f>
        <v/>
      </c>
    </row>
    <row r="14" ht="7.5" customHeight="1"/>
    <row r="15" ht="21.75" customHeight="1">
      <c r="B15" s="3" t="inlineStr">
        <is>
          <t xml:space="preserve">  Hint for Rate per Period: =$E$5/C10  ·  Hint for Nper: =$G$5*C10  ·  Use cell references — not hardcoded numbers.</t>
        </is>
      </c>
    </row>
  </sheetData>
  <mergeCells count="5">
    <mergeCell ref="B2:G2"/>
    <mergeCell ref="B8:G8"/>
    <mergeCell ref="B4:G4"/>
    <mergeCell ref="B15:G15"/>
    <mergeCell ref="B6:G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B8843D"/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8" customWidth="1" min="2" max="2"/>
    <col width="20" customWidth="1" min="3" max="4"/>
    <col width="28" customWidth="1" min="5" max="5"/>
  </cols>
  <sheetData>
    <row r="1" ht="6" customHeight="1"/>
    <row r="2" ht="30" customHeight="1">
      <c r="B2" s="6" t="inlineStr">
        <is>
          <t>Meridian Advisory Group · Rule of 72</t>
        </is>
      </c>
    </row>
    <row r="3" ht="9.75" customHeight="1"/>
    <row r="4" ht="21.75" customHeight="1">
      <c r="B4" s="10" t="inlineStr">
        <is>
          <t>Rule of 72 — Estimate, Then Verify</t>
        </is>
      </c>
    </row>
    <row r="5" ht="19.5" customHeight="1">
      <c r="B5" s="17" t="inlineStr">
        <is>
          <t>Investment / Rate</t>
        </is>
      </c>
      <c r="C5" s="17" t="inlineStr">
        <is>
          <t>R72 Estimate (years)</t>
        </is>
      </c>
      <c r="D5" s="17" t="inlineStr">
        <is>
          <t>=FV() Verify</t>
        </is>
      </c>
      <c r="E5" s="17" t="inlineStr">
        <is>
          <t>Notes</t>
        </is>
      </c>
    </row>
    <row r="6" ht="24" customHeight="1">
      <c r="B6" s="13" t="inlineStr">
        <is>
          <t>5% annual — estimate years to double</t>
        </is>
      </c>
      <c r="C6" s="25">
        <f>IFERROR(72/5,"")</f>
        <v/>
      </c>
      <c r="D6" s="35">
        <f>IFERROR(FV(5%,C6,0,-1000),"")</f>
        <v/>
      </c>
      <c r="E6" s="22" t="inlineStr">
        <is>
          <t>Is result close to $2,000?</t>
        </is>
      </c>
    </row>
    <row r="7" ht="24" customHeight="1">
      <c r="B7" s="13" t="inlineStr">
        <is>
          <t>8% annual — estimate years to double</t>
        </is>
      </c>
      <c r="C7" s="25">
        <f>IFERROR(72/8,"")</f>
        <v/>
      </c>
      <c r="D7" s="35">
        <f>IFERROR(FV(8%,C7,0,-1000),"")</f>
        <v/>
      </c>
      <c r="E7" s="22" t="inlineStr">
        <is>
          <t>Is result close to $2,000?</t>
        </is>
      </c>
    </row>
    <row r="8" ht="24" customHeight="1">
      <c r="B8" s="13" t="inlineStr">
        <is>
          <t>3% annual — estimate years to double</t>
        </is>
      </c>
      <c r="C8" s="25">
        <f>IFERROR(72/3,"")</f>
        <v/>
      </c>
      <c r="D8" s="35">
        <f>IFERROR(FV(3%,C8,0,-1000),"")</f>
        <v/>
      </c>
      <c r="E8" s="22" t="inlineStr">
        <is>
          <t>Is result close to $2,000?</t>
        </is>
      </c>
    </row>
    <row r="9" ht="9.75" customHeight="1"/>
    <row r="10" ht="21.75" customHeight="1">
      <c r="B10" s="9" t="inlineStr">
        <is>
          <t>Reflection</t>
        </is>
      </c>
    </row>
    <row r="11" ht="39.75" customHeight="1">
      <c r="B11" s="8" t="inlineStr">
        <is>
          <t>The Rule of 72 is an estimate. How close was your estimate to the exact answer from =FV()? What does the error tell you about the accuracy of the rule at different rates?</t>
        </is>
      </c>
    </row>
  </sheetData>
  <mergeCells count="4">
    <mergeCell ref="B10:E10"/>
    <mergeCell ref="B11:E11"/>
    <mergeCell ref="B2:E2"/>
    <mergeCell ref="B4:E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26" customWidth="1" min="5" max="5"/>
  </cols>
  <sheetData>
    <row r="1" ht="31.5" customHeight="1">
      <c r="A1" s="49" t="inlineStr">
        <is>
          <t>Concept</t>
        </is>
      </c>
      <c r="B1" s="49" t="inlineStr">
        <is>
          <t>Excel Pattern</t>
        </is>
      </c>
      <c r="C1" s="49" t="inlineStr">
        <is>
          <t>Plain-English Meaning</t>
        </is>
      </c>
      <c r="D1" s="49" t="inlineStr">
        <is>
          <t>Watch Out For</t>
        </is>
      </c>
    </row>
    <row r="2" ht="31.5" customHeight="1">
      <c r="A2" s="53" t="inlineStr">
        <is>
          <t>Compound FV manual</t>
        </is>
      </c>
      <c r="B2" s="55" t="inlineStr">
        <is>
          <t>=PV*(1+Rate)^Nper</t>
        </is>
      </c>
      <c r="C2" s="53" t="inlineStr">
        <is>
          <t>Applies interest on interest over multiple periods.</t>
        </is>
      </c>
      <c r="D2" s="56" t="inlineStr">
        <is>
          <t>Rate and periods must use the same timing.</t>
        </is>
      </c>
    </row>
    <row r="3" ht="31.5" customHeight="1">
      <c r="A3" s="53" t="inlineStr">
        <is>
          <t>FV function</t>
        </is>
      </c>
      <c r="B3" s="55" t="inlineStr">
        <is>
          <t>=FV(rate,nper,0,pv)</t>
        </is>
      </c>
      <c r="C3" s="53" t="inlineStr">
        <is>
          <t>Lets Excel calculate future value for a lump sum.</t>
        </is>
      </c>
      <c r="D3" s="56" t="inlineStr">
        <is>
          <t>Use a negative pv for money invested today.</t>
        </is>
      </c>
    </row>
    <row r="4" ht="31.5" customHeight="1">
      <c r="A4" s="53" t="inlineStr">
        <is>
          <t>Rate per period</t>
        </is>
      </c>
      <c r="B4" s="55" t="inlineStr">
        <is>
          <t>=AnnualRate/PeriodsPerYear</t>
        </is>
      </c>
      <c r="C4" s="53" t="inlineStr">
        <is>
          <t>Converts an annual rate to the compounding period.</t>
        </is>
      </c>
      <c r="D4" s="56" t="inlineStr">
        <is>
          <t>Adjust the rate when compounding is not annual.</t>
        </is>
      </c>
    </row>
    <row r="5" ht="31.5" customHeight="1">
      <c r="A5" s="53" t="inlineStr">
        <is>
          <t>Total periods</t>
        </is>
      </c>
      <c r="B5" s="55" t="inlineStr">
        <is>
          <t>=Years*PeriodsPerYear</t>
        </is>
      </c>
      <c r="C5" s="53" t="inlineStr">
        <is>
          <t>Converts years into total compounding periods.</t>
        </is>
      </c>
      <c r="D5" s="56" t="inlineStr">
        <is>
          <t>Adjust nper whenever you adjust the rate.</t>
        </is>
      </c>
    </row>
    <row r="6" ht="31.5" customHeight="1">
      <c r="A6" s="53" t="inlineStr">
        <is>
          <t>Rule of 72</t>
        </is>
      </c>
      <c r="B6" s="55" t="inlineStr">
        <is>
          <t>=72/RatePercent</t>
        </is>
      </c>
      <c r="C6" s="53" t="inlineStr">
        <is>
          <t>Estimates how many years it takes money to double.</t>
        </is>
      </c>
      <c r="D6" s="56" t="inlineStr">
        <is>
          <t>It is an estimate; verify with FV.</t>
        </is>
      </c>
    </row>
    <row r="7" ht="31.5" customHeight="1">
      <c r="A7" s="53" t="inlineStr">
        <is>
          <t>Sanity check</t>
        </is>
      </c>
      <c r="B7" s="55" t="inlineStr">
        <is>
          <t>=ABS(FVResult)&gt;ABS(PV)</t>
        </is>
      </c>
      <c r="C7" s="53" t="inlineStr">
        <is>
          <t>Confirms future value is larger than the starting investment.</t>
        </is>
      </c>
      <c r="D7" s="56" t="inlineStr">
        <is>
          <t>If it fails, check signs and timing.</t>
        </is>
      </c>
    </row>
    <row r="8" ht="19.5" customHeight="1"/>
    <row r="9" ht="19.5" customHeight="1"/>
    <row r="10" ht="7.5" customHeight="1"/>
    <row r="11" ht="21.75" customHeight="1"/>
    <row r="12" ht="18" customHeight="1"/>
    <row r="13" ht="19.5" customHeight="1"/>
    <row r="14" ht="19.5" customHeight="1"/>
    <row r="15" ht="19.5" customHeight="1"/>
    <row r="16" ht="19.5" customHeight="1"/>
    <row r="17" ht="7.5" customHeight="1"/>
    <row r="18" ht="21.75" customHeight="1"/>
    <row r="19" ht="18" customHeight="1"/>
    <row r="20" ht="19.5" customHeight="1"/>
    <row r="21" ht="19.5" customHeight="1"/>
    <row r="22" ht="19.5" customHeight="1"/>
    <row r="23" ht="7.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