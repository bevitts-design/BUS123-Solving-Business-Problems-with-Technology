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5b3342112a43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acae173d8d9b4ecb"/>
    <x:sheet xmlns:r="http://schemas.openxmlformats.org/officeDocument/2006/relationships" name="Live You Try It" sheetId="2" r:id="R9cebfb2d1bcc419f"/>
    <x:sheet xmlns:r="http://schemas.openxmlformats.org/officeDocument/2006/relationships" name="Class Challenge" sheetId="3" r:id="Rd1e4368d20994feb"/>
    <x:sheet xmlns:r="http://schemas.openxmlformats.org/officeDocument/2006/relationships" name="FormulaReferenceCard" sheetId="4" r:id="R54d5e694f48046cc"/>
  </x:sheets>
</x:workbook>
</file>

<file path=xl/sharedStrings.xml><?xml version="1.0" encoding="utf-8"?>
<x:sst xmlns:x="http://schemas.openxmlformats.org/spreadsheetml/2006/main">
  <x:si>
    <x:t xml:space="preserve">BUS123 · MATH-M08-L01 · Simple Interest, Discounting &amp; Present Value</x:t>
  </x:si>
  <x:si>
    <x:t xml:space="preserve">Meridian Advisory Group — Live You Try It + Class Challenge Workbook</x:t>
  </x:si>
  <x:si>
    <x:t xml:space="preserve">How This Workbook Fits the Lesson</x:t>
  </x:si>
  <x:si>
    <x:t xml:space="preserve">1</x:t>
  </x:si>
  <x:si>
    <x:t xml:space="preserve">Open this workbook during the slide presentation.</x:t>
  </x:si>
  <x:si>
    <x:t xml:space="preserve">2</x:t>
  </x:si>
  <x:si>
    <x:t xml:space="preserve">Use the Live You Try It tab when the deck pauses. First copy the slide givens into yellow cells, then build formulas that reference those cells.</x:t>
  </x:si>
  <x:si>
    <x:t xml:space="preserve">3</x:t>
  </x:si>
  <x:si>
    <x:t xml:space="preserve">Read the feedback cells on Live You Try It as coaching only. This practice is self-graded and is not part of the private rubric.</x:t>
  </x:si>
  <x:si>
    <x:t xml:space="preserve">4</x:t>
  </x:si>
  <x:si>
    <x:t xml:space="preserve">Use the Class Challenge tab for the graded or next-level activity. Its answer/formula cells are intentionally blank in the student starter.</x:t>
  </x:si>
  <x:si>
    <x:t xml:space="preserve">5</x:t>
  </x:si>
  <x:si>
    <x:t xml:space="preserve">Keep FormulaReferenceCard open for syntax reminders while you work.</x:t>
  </x:si>
  <x:si>
    <x:t xml:space="preserve">Tabs in This Workbook</x:t>
  </x:si>
  <x:si>
    <x:t xml:space="preserve">Tab</x:t>
  </x:si>
  <x:si>
    <x:t xml:space="preserve">Purpose</x:t>
  </x:si>
  <x:si>
    <x:t xml:space="preserve">Live You Try It</x:t>
  </x:si>
  <x:si>
    <x:t xml:space="preserve">Self-graded slide pauses using the exact M08 slide numbers: corporate note, unknown principal, receivable PV, and DCF stream.</x:t>
  </x:si>
  <x:si>
    <x:t xml:space="preserve">Class Challenge</x:t>
  </x:si>
  <x:si>
    <x:t xml:space="preserve">Harder formula-building task with 16 formula questions. Use the provided input cells and build formulas in the yellow answer cells.</x:t>
  </x:si>
  <x:si>
    <x:t xml:space="preserve">FormulaReferenceCard</x:t>
  </x:si>
  <x:si>
    <x:t xml:space="preserve">Color Key</x:t>
  </x:si>
  <x:si>
    <x:t xml:space="preserve">Yellow cells</x:t>
  </x:si>
  <x:si>
    <x:t xml:space="preserve">Student entry cells. In Live You Try It, enter givens first; in Class Challenge, build the formula/answer.</x:t>
  </x:si>
  <x:si>
    <x:t xml:space="preserve">Blue cells</x:t>
  </x:si>
  <x:si>
    <x:t xml:space="preserve">Given input cells for the Class Challenge. Use cell references to these values.</x:t>
  </x:si>
  <x:si>
    <x:t xml:space="preserve">Green cells</x:t>
  </x:si>
  <x:si>
    <x:t xml:space="preserve">Feedback formulas for self-check practice only.</x:t>
  </x:si>
  <x:si>
    <x:t xml:space="preserve">Live You Try It · Match the Slide Numbers</x:t>
  </x:si>
  <x:si>
    <x:t xml:space="preserve">Self-graded Excel pauses. Type the slide givens into yellow cells first, then build formulas with cell references.</x:t>
  </x:si>
  <x:si>
    <x:t xml:space="preserve">Pause</x:t>
  </x:si>
  <x:si>
    <x:t xml:space="preserve">Slide</x:t>
  </x:si>
  <x:si>
    <x:t xml:space="preserve">What to model</x:t>
  </x:si>
  <x:si>
    <x:t xml:space="preserve">Input 1</x:t>
  </x:si>
  <x:si>
    <x:t xml:space="preserve">Input 2</x:t>
  </x:si>
  <x:si>
    <x:t xml:space="preserve">Input 3</x:t>
  </x:si>
  <x:si>
    <x:t xml:space="preserve">Your formula / result</x:t>
  </x:si>
  <x:si>
    <x:t xml:space="preserve">Feedback</x:t>
  </x:si>
  <x:si>
    <x:t xml:space="preserve">Hint</x:t>
  </x:si>
  <x:si>
    <x:t xml:space="preserve">1A</x:t>
  </x:si>
  <x:si>
    <x:t xml:space="preserve">Slide 10</x:t>
  </x:si>
  <x:si>
    <x:t xml:space="preserve">Convert the 9-month term to years</x:t>
  </x:si>
  <x:si>
    <x:t xml:space="preserve">Use months ÷ 12.</x:t>
  </x:si>
  <x:si>
    <x:t xml:space="preserve">1B</x:t>
  </x:si>
  <x:si>
    <x:t xml:space="preserve">Calculate interest on the corporate note</x:t>
  </x:si>
  <x:si>
    <x:t xml:space="preserve">Interest = principal × rate × time.</x:t>
  </x:si>
  <x:si>
    <x:t xml:space="preserve">1C</x:t>
  </x:si>
  <x:si>
    <x:t xml:space="preserve">Calculate future value of the note</x:t>
  </x:si>
  <x:si>
    <x:t xml:space="preserve">FV = principal × (1 + rate × time).</x:t>
  </x:si>
  <x:si>
    <x:t xml:space="preserve">Pause 2 · Unknown principal</x:t>
  </x:si>
  <x:si>
    <x:t xml:space="preserve">2A</x:t>
  </x:si>
  <x:si>
    <x:t xml:space="preserve">Slide 11</x:t>
  </x:si>
  <x:si>
    <x:t xml:space="preserve">Convert 90 ordinary-interest days to years</x:t>
  </x:si>
  <x:si>
    <x:t xml:space="preserve">Ordinary interest uses a 360-day year.</x:t>
  </x:si>
  <x:si>
    <x:t xml:space="preserve">2B</x:t>
  </x:si>
  <x:si>
    <x:t xml:space="preserve">Solve for the original principal</x:t>
  </x:si>
  <x:si>
    <x:t xml:space="preserve">P = interest ÷ (rate × time).</x:t>
  </x:si>
  <x:si>
    <x:t xml:space="preserve">Pause 3 · Discount the receivable</x:t>
  </x:si>
  <x:si>
    <x:t xml:space="preserve">3A</x:t>
  </x:si>
  <x:si>
    <x:t xml:space="preserve">Slide 14</x:t>
  </x:si>
  <x:si>
    <x:t xml:space="preserve">Convert 18 months to years</x:t>
  </x:si>
  <x:si>
    <x:t xml:space="preserve">Use months ÷ 12 before discounting.</x:t>
  </x:si>
  <x:si>
    <x:t xml:space="preserve">3B</x:t>
  </x:si>
  <x:si>
    <x:t xml:space="preserve">Calculate the discount factor</x:t>
  </x:si>
  <x:si>
    <x:t xml:space="preserve">Discount factor = 1 + rate × time.</x:t>
  </x:si>
  <x:si>
    <x:t xml:space="preserve">3C</x:t>
  </x:si>
  <x:si>
    <x:t xml:space="preserve">3D</x:t>
  </x:si>
  <x:si>
    <x:t xml:space="preserve">Slide 15</x:t>
  </x:si>
  <x:si>
    <x:t xml:space="preserve">Pause 4 · DCF stream</x:t>
  </x:si>
  <x:si>
    <x:t xml:space="preserve">4A</x:t>
  </x:si>
  <x:si>
    <x:t xml:space="preserve">Slide 20</x:t>
  </x:si>
  <x:si>
    <x:t xml:space="preserve">DCF payment 1 present value</x:t>
  </x:si>
  <x:si>
    <x:t xml:space="preserve">Manual PV for one row.</x:t>
  </x:si>
  <x:si>
    <x:t xml:space="preserve">4B</x:t>
  </x:si>
  <x:si>
    <x:t xml:space="preserve">DCF payment 2 present value</x:t>
  </x:si>
  <x:si>
    <x:t xml:space="preserve">Keep the rate in its own cell.</x:t>
  </x:si>
  <x:si>
    <x:t xml:space="preserve">4C</x:t>
  </x:si>
  <x:si>
    <x:t xml:space="preserve">DCF payment 3 present value</x:t>
  </x:si>
  <x:si>
    <x:t xml:space="preserve">Each row discounts independently.</x:t>
  </x:si>
  <x:si>
    <x:t xml:space="preserve">4D</x:t>
  </x:si>
  <x:si>
    <x:t xml:space="preserve">DCF payment 4 present value</x:t>
  </x:si>
  <x:si>
    <x:t xml:space="preserve">Longer time means a smaller PV.</x:t>
  </x:si>
  <x:si>
    <x:t xml:space="preserve">4E</x:t>
  </x:si>
  <x:si>
    <x:t xml:space="preserve">DCF payment 5 present value</x:t>
  </x:si>
  <x:si>
    <x:t xml:space="preserve">Do not sum future values first.</x:t>
  </x:si>
  <x:si>
    <x:t xml:space="preserve">4F</x:t>
  </x:si>
  <x:si>
    <x:t xml:space="preserve">Total present value of the stream</x:t>
  </x:si>
  <x:si>
    <x:t xml:space="preserve">Sum the present values, not the future values.</x:t>
  </x:si>
  <x:si>
    <x:t xml:space="preserve">Self-check score</x:t>
  </x:si>
  <x:si>
    <x:t xml:space="preserve">Use during class only</x:t>
  </x:si>
  <x:si>
    <x:t xml:space="preserve">Live You Try It is self-graded practice. It is intentionally not included in the private graded rubric.</x:t>
  </x:si>
  <x:si>
    <x:t xml:space="preserve">Class Challenge · Simple Interest and Discounting</x:t>
  </x:si>
  <x:si>
    <x:t xml:space="preserve">Graded or next-level activity. Use the separated input cells and build formulas in the yellow answer cells.</x:t>
  </x:si>
  <x:si>
    <x:t xml:space="preserve">#</x:t>
  </x:si>
  <x:si>
    <x:t xml:space="preserve">Skill</x:t>
  </x:si>
  <x:si>
    <x:t xml:space="preserve">Scenario</x:t>
  </x:si>
  <x:si>
    <x:t xml:space="preserve">Input A</x:t>
  </x:si>
  <x:si>
    <x:t xml:space="preserve">Input B</x:t>
  </x:si>
  <x:si>
    <x:t xml:space="preserve">Input C</x:t>
  </x:si>
  <x:si>
    <x:t xml:space="preserve">Input D</x:t>
  </x:si>
  <x:si>
    <x:t xml:space="preserve">Formula / Answer</x:t>
  </x:si>
  <x:si>
    <x:t xml:space="preserve">Build Hint</x:t>
  </x:si>
  <x:si>
    <x:t xml:space="preserve">C1</x:t>
  </x:si>
  <x:si>
    <x:t xml:space="preserve">Day-count</x:t>
  </x:si>
  <x:si>
    <x:t xml:space="preserve">Exact interest on the $50,000 Meridian note for 124 days</x:t>
  </x:si>
  <x:si>
    <x:t xml:space="preserve">Use days ÷ 365.</x:t>
  </x:si>
  <x:si>
    <x:t xml:space="preserve">C2</x:t>
  </x:si>
  <x:si>
    <x:t xml:space="preserve">Ordinary interest on the same note</x:t>
  </x:si>
  <x:si>
    <x:t xml:space="preserve">Use days ÷ 360.</x:t>
  </x:si>
  <x:si>
    <x:t xml:space="preserve">C3</x:t>
  </x:si>
  <x:si>
    <x:t xml:space="preserve">Extra interest from the banker's rule</x:t>
  </x:si>
  <x:si>
    <x:t xml:space="preserve">Compare ordinary minus exact.</x:t>
  </x:si>
  <x:si>
    <x:t xml:space="preserve">C4</x:t>
  </x:si>
  <x:si>
    <x:t xml:space="preserve">Forward value</x:t>
  </x:si>
  <x:si>
    <x:t xml:space="preserve">Slide worksheet Loan B interest</x:t>
  </x:si>
  <x:si>
    <x:t xml:space="preserve">Interest = PRT.</x:t>
  </x:si>
  <x:si>
    <x:t xml:space="preserve">C5</x:t>
  </x:si>
  <x:si>
    <x:t xml:space="preserve">Slide worksheet Loan C future value</x:t>
  </x:si>
  <x:si>
    <x:t xml:space="preserve">Future value = P(1+RT).</x:t>
  </x:si>
  <x:si>
    <x:t xml:space="preserve">C6</x:t>
  </x:si>
  <x:si>
    <x:t xml:space="preserve">Unknowns</x:t>
  </x:si>
  <x:si>
    <x:t xml:space="preserve">Find principal from $19.48 interest at 9.5% for 90 ordinary-interest days</x:t>
  </x:si>
  <x:si>
    <x:t xml:space="preserve">Convert time inside the formula.</x:t>
  </x:si>
  <x:si>
    <x:t xml:space="preserve">C7</x:t>
  </x:si>
  <x:si>
    <x:t xml:space="preserve">Manual PV</x:t>
  </x:si>
  <x:si>
    <x:t xml:space="preserve">C8</x:t>
  </x:si>
  <x:si>
    <x:t xml:space="preserve">Excel PV</x:t>
  </x:si>
  <x:si>
    <x:t xml:space="preserve">C9</x:t>
  </x:si>
  <x:si>
    <x:t xml:space="preserve">Round trip</x:t>
  </x:si>
  <x:si>
    <x:t xml:space="preserve">C10</x:t>
  </x:si>
  <x:si>
    <x:t xml:space="preserve">DCF</x:t>
  </x:si>
  <x:si>
    <x:t xml:space="preserve">Payment 1 present value</x:t>
  </x:si>
  <x:si>
    <x:t xml:space="preserve">Manual PV for payment 1.</x:t>
  </x:si>
  <x:si>
    <x:t xml:space="preserve">C11</x:t>
  </x:si>
  <x:si>
    <x:t xml:space="preserve">Payment 2 present value</x:t>
  </x:si>
  <x:si>
    <x:t xml:space="preserve">Manual PV for payment 2.</x:t>
  </x:si>
  <x:si>
    <x:t xml:space="preserve">C12</x:t>
  </x:si>
  <x:si>
    <x:t xml:space="preserve">Payment 3 present value</x:t>
  </x:si>
  <x:si>
    <x:t xml:space="preserve">Manual PV for payment 3.</x:t>
  </x:si>
  <x:si>
    <x:t xml:space="preserve">C13</x:t>
  </x:si>
  <x:si>
    <x:t xml:space="preserve">Payment 4 present value</x:t>
  </x:si>
  <x:si>
    <x:t xml:space="preserve">Manual PV for payment 4.</x:t>
  </x:si>
  <x:si>
    <x:t xml:space="preserve">C14</x:t>
  </x:si>
  <x:si>
    <x:t xml:space="preserve">Payment 5 present value</x:t>
  </x:si>
  <x:si>
    <x:t xml:space="preserve">Manual PV for payment 5.</x:t>
  </x:si>
  <x:si>
    <x:t xml:space="preserve">C15</x:t>
  </x:si>
  <x:si>
    <x:t xml:space="preserve">DCF total</x:t>
  </x:si>
  <x:si>
    <x:t xml:space="preserve">Total present value of all five payments</x:t>
  </x:si>
  <x:si>
    <x:t xml:space="preserve">Sum the present values only.</x:t>
  </x:si>
  <x:si>
    <x:t xml:space="preserve">C16</x:t>
  </x:si>
  <x:si>
    <x:t xml:space="preserve">Decision</x:t>
  </x:si>
  <x:si>
    <x:t xml:space="preserve">Dollar spread versus the $75,000 cash offer</x:t>
  </x:si>
  <x:si>
    <x:t xml:space="preserve">Positive means the stream is worth more than the offer.</x:t>
  </x:si>
  <x:si>
    <x:t xml:space="preserve">Submission reminder</x:t>
  </x:si>
  <x:si>
    <x:t xml:space="preserve">Only the Class Challenge tab is part of the private graded rubric for this workbook. Live You Try It is self-graded practice.</x:t>
  </x:si>
  <x:si>
    <x:t xml:space="preserve">FormulaReferenceCard · MATH-M08-L01</x:t>
  </x:si>
  <x:si>
    <x:t xml:space="preserve">Concept</x:t>
  </x:si>
  <x:si>
    <x:t xml:space="preserve">Excel Pattern</x:t>
  </x:si>
  <x:si>
    <x:t xml:space="preserve">Plain-English Meaning</x:t>
  </x:si>
  <x:si>
    <x:t xml:space="preserve">Watch Out For</x:t>
  </x:si>
  <x:si>
    <x:t xml:space="preserve">Months to years</x:t>
  </x:si>
  <x:si>
    <x:t xml:space="preserve">Converts months into a year fraction before using an annual rate.</x:t>
  </x:si>
  <x:si>
    <x:t xml:space="preserve">Do not type 9 as time when the rate is annual.</x:t>
  </x:si>
  <x:si>
    <x:t xml:space="preserve">Days to years · exact</x:t>
  </x:si>
  <x:si>
    <x:t xml:space="preserve">Converts days using exact interest.</x:t>
  </x:si>
  <x:si>
    <x:t xml:space="preserve">Use when the problem says exact interest.</x:t>
  </x:si>
  <x:si>
    <x:t xml:space="preserve">Days to years · ordinary</x:t>
  </x:si>
  <x:si>
    <x:t xml:space="preserve">Converts days using banker's rule.</x:t>
  </x:si>
  <x:si>
    <x:t xml:space="preserve">Produces slightly more interest than exact interest.</x:t>
  </x:si>
  <x:si>
    <x:t xml:space="preserve">Simple interest</x:t>
  </x:si>
  <x:si>
    <x:t xml:space="preserve">Calculates interest for one principal, rate, and time.</x:t>
  </x:si>
  <x:si>
    <x:t xml:space="preserve">Time must already be in years.</x:t>
  </x:si>
  <x:si>
    <x:t xml:space="preserve">Future value · simple</x:t>
  </x:si>
  <x:si>
    <x:t xml:space="preserve">Moves money forward by adding simple interest.</x:t>
  </x:si>
  <x:si>
    <x:t xml:space="preserve">Use cell references for all inputs.</x:t>
  </x:si>
  <x:si>
    <x:t xml:space="preserve">Solve for principal</x:t>
  </x:si>
  <x:si>
    <x:t xml:space="preserve">Back-solves the original principal.</x:t>
  </x:si>
  <x:si>
    <x:t xml:space="preserve">Convert days/months before solving.</x:t>
  </x:si>
  <x:si>
    <x:t xml:space="preserve">Discount factor</x:t>
  </x:si>
  <x:si>
    <x:t xml:space="preserve">Builds the denominator for manual present value.</x:t>
  </x:si>
  <x:si>
    <x:t xml:space="preserve">The factor should be greater than 1.</x:t>
  </x:si>
  <x:si>
    <x:t xml:space="preserve">Manual present value</x:t>
  </x:si>
  <x:si>
    <x:t xml:space="preserve">Excel PV function</x:t>
  </x:si>
  <x:si>
    <x:t xml:space="preserve">Excel FV round trip</x:t>
  </x:si>
  <x:si>
    <x:t xml:space="preserve">Adds present values from a stream of future payments.</x:t>
  </x:si>
  <x:si>
    <x:t xml:space="preserve">Discount each payment before summing.</x:t>
  </x:si>
</x:sst>
</file>

<file path=xl/styles.xml><?xml version="1.0" encoding="utf-8"?>
<x:styleSheet xmlns:x="http://schemas.openxmlformats.org/spreadsheetml/2006/main">
  <x:numFmts count="3">
    <x:numFmt numFmtId="164" formatCode="\$#,##0.00"/>
    <x:numFmt numFmtId="165" formatCode="0.0%"/>
    <x:numFmt numFmtId="166" formatCode="0.0000"/>
  </x:numFmts>
  <x:fonts count="10">
    <x:font>
      <x:sz val="11"/>
      <x:color theme="1"/>
      <x:name val="Calibri"/>
    </x:font>
    <x:font>
      <x:b/>
      <x:sz val="16"/>
      <x:color rgb="FFFFFFFF"/>
      <x:name val="Aptos Display"/>
    </x:font>
    <x:font>
      <x:i/>
      <x:sz val="11"/>
      <x:color rgb="FF4A5567"/>
      <x:name val="Aptos"/>
    </x:font>
    <x:font>
      <x:b/>
      <x:sz val="13"/>
      <x:color rgb="FF1A1F2C"/>
      <x:name val="Aptos Display"/>
    </x:font>
    <x:font>
      <x:sz val="10"/>
      <x:color rgb="FF1A1F2C"/>
      <x:name val="Aptos"/>
    </x:font>
    <x:font>
      <x:b/>
      <x:sz val="10"/>
      <x:color rgb="FFFFFFFF"/>
      <x:name val="Aptos"/>
    </x:font>
    <x:font>
      <x:b/>
      <x:sz val="11"/>
      <x:color rgb="FF355773"/>
      <x:name val="Aptos"/>
    </x:font>
    <x:font>
      <x:b/>
      <x:sz val="11"/>
      <x:color rgb="FF1A1F2C"/>
      <x:name val="Aptos"/>
    </x:font>
    <x:font>
      <x:b/>
      <x:sz val="12"/>
      <x:color rgb="FF1A1F2C"/>
      <x:name val="Aptos Display"/>
    </x:font>
    <x:font>
      <x:b/>
      <x:sz val="10"/>
      <x:color rgb="FF355773"/>
      <x:name val="Aptos Mono"/>
    </x:font>
  </x:fonts>
  <x:fills count="10">
    <x:fill>
      <x:patternFill patternType="none"/>
    </x:fill>
    <x:fill>
      <x:patternFill patternType="gray125"/>
    </x:fill>
    <x:fill>
      <x:patternFill patternType="solid">
        <x:fgColor rgb="FF0E1116"/>
      </x:patternFill>
    </x:fill>
    <x:fill>
      <x:patternFill patternType="solid">
        <x:fgColor rgb="FFFAF8F3"/>
      </x:patternFill>
    </x:fill>
    <x:fill>
      <x:patternFill patternType="solid">
        <x:fgColor rgb="FFF2EEE5"/>
      </x:patternFill>
    </x:fill>
    <x:fill>
      <x:patternFill patternType="solid">
        <x:fgColor rgb="FFFFFFFF"/>
      </x:patternFill>
    </x:fill>
    <x:fill>
      <x:patternFill patternType="solid">
        <x:fgColor rgb="FF355773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EAF3EC"/>
      </x:patternFill>
    </x:fill>
  </x:fills>
  <x:borders count="6">
    <x:border/>
    <x:border>
      <x:left style="medium">
        <x:color rgb="FF4A7C5E"/>
      </x:left>
      <x:right style="thin">
        <x:color rgb="FFE5E1D6"/>
      </x:right>
      <x:top style="thin">
        <x:color rgb="FFE5E1D6"/>
      </x:top>
      <x:bottom style="thin">
        <x:color rgb="FFE5E1D6"/>
      </x:bottom>
    </x:border>
    <x:border>
      <x:left style="thin">
        <x:color rgb="FFE5E1D6"/>
      </x:left>
      <x:right style="thin">
        <x:color rgb="FFE5E1D6"/>
      </x:right>
      <x:top style="thin">
        <x:color rgb="FFE5E1D6"/>
      </x:top>
      <x:bottom style="thin">
        <x:color rgb="FFE5E1D6"/>
      </x:bottom>
    </x:border>
    <x:border>
      <x:left style="medium">
        <x:color rgb="FFB8843D"/>
      </x:left>
      <x:right style="thin">
        <x:color rgb="FFE5E1D6"/>
      </x:right>
      <x:top style="thin">
        <x:color rgb="FFE5E1D6"/>
      </x:top>
      <x:bottom style="thin">
        <x:color rgb="FFE5E1D6"/>
      </x:bottom>
    </x:border>
    <x:border>
      <x:top style="thin">
        <x:color rgb="FFE5E1D6"/>
      </x:top>
      <x:bottom style="thin">
        <x:color rgb="FFE5E1D6"/>
      </x:bottom>
    </x:border>
    <x:border>
      <x:right style="thin">
        <x:color rgb="FFE5E1D6"/>
      </x:right>
      <x:top style="thin">
        <x:color rgb="FFE5E1D6"/>
      </x:top>
      <x:bottom style="thin">
        <x:color rgb="FFE5E1D6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4" fillId="5" borderId="2" xfId="0" applyFont="1" applyFill="1" applyBorder="1" applyAlignment="1">
      <x:alignment vertical="top" wrapText="1"/>
    </x:xf>
    <x:xf numFmtId="0" fontId="5" fillId="6" borderId="2" xfId="0" applyFont="1" applyFill="1" applyBorder="1" applyAlignment="1">
      <x:alignment horizontal="center" vertical="center" wrapText="1"/>
    </x:xf>
    <x:xf numFmtId="0" fontId="4" fillId="7" borderId="2" xfId="0" applyFont="1" applyFill="1" applyBorder="1" applyAlignment="1">
      <x:alignment vertical="top" wrapText="1"/>
    </x:xf>
    <x:xf numFmtId="0" fontId="4" fillId="8" borderId="2" xfId="0" applyFont="1" applyFill="1" applyBorder="1" applyAlignment="1">
      <x:alignment vertical="top" wrapText="1"/>
    </x:xf>
    <x:xf numFmtId="0" fontId="4" fillId="9" borderId="2" xfId="0" applyFont="1" applyFill="1" applyBorder="1" applyAlignment="1">
      <x:alignment vertical="top" wrapText="1"/>
    </x:xf>
    <x:xf numFmtId="0" fontId="6" fillId="5" borderId="2" xfId="0" applyFont="1" applyFill="1" applyBorder="1" applyAlignment="1">
      <x:alignment vertical="top" wrapText="1"/>
    </x:xf>
    <x:xf numFmtId="0" fontId="7" fillId="5" borderId="2" xfId="0" applyFont="1" applyFill="1" applyBorder="1" applyAlignment="1">
      <x:alignment vertical="top" wrapText="1"/>
    </x:xf>
    <x:xf numFmtId="0" fontId="4" fillId="4" borderId="2" xfId="0" applyFont="1" applyFill="1" applyBorder="1" applyAlignment="1">
      <x:alignment vertical="top" wrapText="1"/>
    </x:xf>
    <x:xf numFmtId="164" fontId="4" fillId="7" borderId="2" xfId="0" applyNumberFormat="1" applyFont="1" applyFill="1" applyBorder="1" applyAlignment="1">
      <x:alignment vertical="top" wrapText="1"/>
    </x:xf>
    <x:xf numFmtId="165" fontId="4" fillId="7" borderId="2" xfId="0" applyNumberFormat="1" applyFont="1" applyFill="1" applyBorder="1" applyAlignment="1">
      <x:alignment vertical="top" wrapText="1"/>
    </x:xf>
    <x:xf numFmtId="166" fontId="4" fillId="7" borderId="2" xfId="0" applyNumberFormat="1" applyFont="1" applyFill="1" applyBorder="1" applyAlignment="1">
      <x:alignment vertical="top" wrapText="1"/>
    </x:xf>
    <x:xf numFmtId="0" fontId="7" fillId="4" borderId="2" xfId="0" applyFont="1" applyFill="1" applyBorder="1" applyAlignment="1">
      <x:alignment vertical="top" wrapText="1"/>
    </x:xf>
    <x:xf numFmtId="164" fontId="4" fillId="8" borderId="2" xfId="0" applyNumberFormat="1" applyFont="1" applyFill="1" applyBorder="1" applyAlignment="1">
      <x:alignment vertical="top" wrapText="1"/>
    </x:xf>
    <x:xf numFmtId="165" fontId="4" fillId="8" borderId="2" xfId="0" applyNumberFormat="1" applyFont="1" applyFill="1" applyBorder="1" applyAlignment="1">
      <x:alignment vertical="top" wrapText="1"/>
    </x:xf>
    <x:xf numFmtId="166" fontId="4" fillId="8" borderId="2" xfId="0" applyNumberFormat="1" applyFont="1" applyFill="1" applyBorder="1" applyAlignment="1">
      <x:alignment vertical="top" wrapText="1"/>
    </x:xf>
    <x:xf numFmtId="0" fontId="9" fillId="9" borderId="2" xfId="0" applyFont="1" applyFill="1" applyBorder="1" applyAlignment="1">
      <x:alignment vertical="top" wrapText="1"/>
    </x:xf>
    <x:xf numFmtId="0" fontId="2" fillId="3" borderId="0" xfId="0" applyFont="1" applyFill="1" applyAlignment="1">
      <x:alignment wrapText="1"/>
    </x:xf>
    <x:xf numFmtId="0" fontId="0" fillId="0" borderId="0" xfId="0"/>
    <x:xf numFmtId="0" fontId="3" fillId="4" borderId="1" xfId="0" applyFont="1" applyFill="1" applyBorder="1"/>
    <x:xf numFmtId="0" fontId="0" fillId="0" borderId="4" xfId="0" applyBorder="1"/>
    <x:xf numFmtId="0" fontId="0" fillId="0" borderId="5" xfId="0" applyBorder="1"/>
    <x:xf numFmtId="0" fontId="1" fillId="2" borderId="0" xfId="0" applyFont="1" applyFill="1" applyAlignment="1">
      <x:alignment horizontal="left" vertical="center"/>
    </x:xf>
    <x:xf numFmtId="0" fontId="8" fillId="4" borderId="3" xfId="0" applyFont="1" applyFill="1" applyBorder="1"/>
    <x:xf numFmtId="0" fontId="4" fillId="4" borderId="2" xfId="0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4c2f1c896b4724" /><Relationship Type="http://schemas.openxmlformats.org/officeDocument/2006/relationships/theme" Target="/xl/theme/theme1.xml" Id="R5d57e2a5756248e8" /><Relationship Type="http://schemas.openxmlformats.org/officeDocument/2006/relationships/sharedStrings" Target="/xl/sharedStrings.xml" Id="R58ba625db97b41e8" /><Relationship Type="http://schemas.openxmlformats.org/officeDocument/2006/relationships/worksheet" Target="/xl/worksheets/sheet1.xml" Id="Racae173d8d9b4ecb" /><Relationship Type="http://schemas.openxmlformats.org/officeDocument/2006/relationships/worksheet" Target="/xl/worksheets/sheet2.xml" Id="R9cebfb2d1bcc419f" /><Relationship Type="http://schemas.openxmlformats.org/officeDocument/2006/relationships/worksheet" Target="/xl/worksheets/sheet3.xml" Id="Rd1e4368d20994feb" /><Relationship Type="http://schemas.openxmlformats.org/officeDocument/2006/relationships/worksheet" Target="/xl/worksheets/sheet4.xml" Id="R54d5e694f48046c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18" customWidth="1"/>
    <x:col min="2" max="2" width="46" customWidth="1"/>
    <x:col min="3" max="3" width="58" customWidth="1"/>
    <x:col min="4" max="6" width="18" customWidth="1"/>
  </x:cols>
  <x:sheetData>
    <x:row r="1" ht="22" customHeight="1">
      <x:c r="A1" s="22" t="s">
        <x:v>0</x:v>
      </x:c>
      <x:c r="B1" s="18"/>
      <x:c r="C1" s="18"/>
      <x:c r="D1" s="18"/>
      <x:c r="E1" s="18"/>
      <x:c r="F1" s="18"/>
    </x:row>
    <x:row r="2" ht="22" customHeight="1">
      <x:c r="A2" s="17" t="s">
        <x:v>1</x:v>
      </x:c>
      <x:c r="B2" s="18"/>
      <x:c r="C2" s="18"/>
      <x:c r="D2" s="18"/>
      <x:c r="E2" s="18"/>
      <x:c r="F2" s="18"/>
    </x:row>
    <x:row r="3" ht="22" customHeight="1"/>
    <x:row r="4" ht="22" customHeight="1"/>
    <x:row r="5" ht="22" customHeight="1">
      <x:c r="A5" s="19" t="s">
        <x:v>2</x:v>
      </x:c>
      <x:c r="B5" s="20"/>
      <x:c r="C5" s="21"/>
    </x:row>
    <x:row r="6" ht="22" customHeight="1"/>
    <x:row r="7" ht="22" customHeight="1">
      <x:c r="A7" s="1" t="s">
        <x:v>3</x:v>
      </x:c>
      <x:c r="B7" s="1" t="s">
        <x:v>4</x:v>
      </x:c>
    </x:row>
    <x:row r="8" ht="22" customHeight="1">
      <x:c r="A8" s="1" t="s">
        <x:v>5</x:v>
      </x:c>
      <x:c r="B8" s="1" t="s">
        <x:v>6</x:v>
      </x:c>
    </x:row>
    <x:row r="9" ht="22" customHeight="1">
      <x:c r="A9" s="1" t="s">
        <x:v>7</x:v>
      </x:c>
      <x:c r="B9" s="1" t="s">
        <x:v>8</x:v>
      </x:c>
    </x:row>
    <x:row r="10" ht="22" customHeight="1">
      <x:c r="A10" s="1" t="s">
        <x:v>9</x:v>
      </x:c>
      <x:c r="B10" s="1" t="s">
        <x:v>10</x:v>
      </x:c>
    </x:row>
    <x:row r="11" ht="22" customHeight="1">
      <x:c r="A11" s="1" t="s">
        <x:v>11</x:v>
      </x:c>
      <x:c r="B11" s="1" t="s">
        <x:v>12</x:v>
      </x:c>
    </x:row>
    <x:row r="12" ht="22" customHeight="1"/>
    <x:row r="13" ht="22" customHeight="1"/>
    <x:row r="14" ht="22" customHeight="1">
      <x:c r="A14" s="19" t="s">
        <x:v>13</x:v>
      </x:c>
      <x:c r="B14" s="20"/>
      <x:c r="C14" s="21"/>
    </x:row>
    <x:row r="15" ht="22" customHeight="1"/>
    <x:row r="16" ht="22" customHeight="1">
      <x:c r="A16" s="2" t="s">
        <x:v>14</x:v>
      </x:c>
      <x:c r="B16" s="2" t="s">
        <x:v>15</x:v>
      </x:c>
    </x:row>
    <x:row r="17" ht="22" customHeight="1">
      <x:c r="A17" s="1" t="s">
        <x:v>16</x:v>
      </x:c>
      <x:c r="B17" s="1" t="s">
        <x:v>17</x:v>
      </x:c>
    </x:row>
    <x:row r="18" ht="22" customHeight="1">
      <x:c r="A18" s="1" t="s">
        <x:v>18</x:v>
      </x:c>
      <x:c r="B18" s="1" t="s">
        <x:v>19</x:v>
      </x:c>
    </x:row>
    <x:row r="19" ht="22" customHeight="1">
      <x:c r="A19" s="1" t="s">
        <x:v>20</x:v>
      </x:c>
      <x:c r="B19" s="1" t="str">
        <x:v>Quick syntax reminders that distinguish manual simple-interest PV from Excel's compound-periodic PV and FV functions.</x:v>
      </x:c>
    </x:row>
    <x:row r="20" ht="22" customHeight="1"/>
    <x:row r="21" ht="22" customHeight="1"/>
    <x:row r="22" ht="22" customHeight="1">
      <x:c r="A22" s="19" t="s">
        <x:v>21</x:v>
      </x:c>
      <x:c r="B22" s="20"/>
      <x:c r="C22" s="21"/>
    </x:row>
    <x:row r="23" ht="22" customHeight="1"/>
    <x:row r="24" ht="22" customHeight="1">
      <x:c r="A24" s="3" t="s">
        <x:v>22</x:v>
      </x:c>
      <x:c r="B24" s="1" t="s">
        <x:v>23</x:v>
      </x:c>
    </x:row>
    <x:row r="25" ht="22" customHeight="1">
      <x:c r="A25" s="4" t="s">
        <x:v>24</x:v>
      </x:c>
      <x:c r="B25" s="1" t="s">
        <x:v>25</x:v>
      </x:c>
    </x:row>
    <x:row r="26" ht="22" customHeight="1">
      <x:c r="A26" s="5" t="s">
        <x:v>26</x:v>
      </x:c>
      <x:c r="B26" s="1" t="s">
        <x:v>27</x:v>
      </x:c>
    </x:row>
  </x:sheetData>
  <x:mergeCells>
    <x:mergeCell ref="A2:F2"/>
    <x:mergeCell ref="A5:C5"/>
    <x:mergeCell ref="A14:C14"/>
    <x:mergeCell ref="A1:F1"/>
    <x:mergeCell ref="A22:C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10" customWidth="1"/>
    <x:col min="2" max="2" width="12" customWidth="1"/>
    <x:col min="3" max="3" width="40" customWidth="1"/>
    <x:col min="4" max="6" width="15" customWidth="1"/>
    <x:col min="7" max="7" width="22" customWidth="1"/>
    <x:col min="8" max="9" width="38" customWidth="1"/>
  </x:cols>
  <x:sheetData>
    <x:row r="1" ht="28" customHeight="1">
      <x:c r="A1" s="22" t="s">
        <x:v>28</x:v>
      </x:c>
      <x:c r="B1" s="18"/>
      <x:c r="C1" s="18"/>
      <x:c r="D1" s="18"/>
      <x:c r="E1" s="18"/>
      <x:c r="F1" s="18"/>
      <x:c r="G1" s="18"/>
      <x:c r="H1" s="18"/>
      <x:c r="I1" s="18"/>
    </x:row>
    <x:row r="2" ht="24" customHeight="1">
      <x:c r="A2" s="17" t="s">
        <x:v>29</x:v>
      </x:c>
      <x:c r="B2" s="18"/>
      <x:c r="C2" s="18"/>
      <x:c r="D2" s="18"/>
      <x:c r="E2" s="18"/>
      <x:c r="F2" s="18"/>
      <x:c r="G2" s="18"/>
      <x:c r="H2" s="18"/>
      <x:c r="I2" s="18"/>
    </x:row>
    <x:row r="5">
      <x:c r="A5" s="2" t="s">
        <x:v>30</x:v>
      </x:c>
      <x:c r="B5" s="2" t="s">
        <x:v>31</x:v>
      </x:c>
      <x:c r="C5" s="2" t="s">
        <x:v>32</x:v>
      </x:c>
      <x:c r="D5" s="2" t="s">
        <x:v>33</x:v>
      </x:c>
      <x:c r="E5" s="2" t="s">
        <x:v>34</x:v>
      </x:c>
      <x:c r="F5" s="2" t="s">
        <x:v>35</x:v>
      </x:c>
      <x:c r="G5" s="2" t="s">
        <x:v>36</x:v>
      </x:c>
      <x:c r="H5" s="2" t="s">
        <x:v>37</x:v>
      </x:c>
      <x:c r="I5" s="2" t="s">
        <x:v>38</x:v>
      </x:c>
    </x:row>
    <x:row r="6" ht="32" customHeight="1">
      <x:c r="A6" s="6" t="s">
        <x:v>39</x:v>
      </x:c>
      <x:c r="B6" s="7" t="s">
        <x:v>40</x:v>
      </x:c>
      <x:c r="C6" s="1" t="s">
        <x:v>41</x:v>
      </x:c>
      <x:c r="D6" s="3"/>
      <x:c r="E6" s="3"/>
      <x:c r="F6" s="3"/>
      <x:c r="G6" s="3"/>
      <x:c r="H6" s="5" t="str">
        <x:f>IF(COUNTA(D6,E6,G6)&lt;3,"Enter givens first, then build the formula",IF(NOT(AND(D6=9,E6=12)),"Check the slide givens in yellow cells",IF(ABS(G6-(D6/E6))&lt;0.0001,"Correct - self-check complete","Try again - use the hint and cell references")))</x:f>
        <x:v>Enter givens first, then build the formula</x:v>
      </x:c>
      <x:c r="I6" s="8" t="s">
        <x:v>42</x:v>
      </x:c>
    </x:row>
    <x:row r="7" ht="32" customHeight="1">
      <x:c r="A7" s="6" t="s">
        <x:v>43</x:v>
      </x:c>
      <x:c r="B7" s="7" t="s">
        <x:v>40</x:v>
      </x:c>
      <x:c r="C7" s="1" t="s">
        <x:v>44</x:v>
      </x:c>
      <x:c r="D7" s="9"/>
      <x:c r="E7" s="10"/>
      <x:c r="F7" s="11"/>
      <x:c r="G7" s="9"/>
      <x:c r="H7" s="5" t="str">
        <x:f>IF(COUNTA(D7,E7,F7,G7)&lt;4,"Enter givens first, then build the formula",IF(NOT(AND(D7=8000,ABS(E7-0.055)&lt;0.0001,ABS(F7-0.75)&lt;0.0001)),"Check the slide givens in yellow cells",IF(ABS(G7-(D7*E7*F7))&lt;0.05,"Correct - self-check complete","Try again - use the hint and cell references")))</x:f>
        <x:v>Enter givens first, then build the formula</x:v>
      </x:c>
      <x:c r="I7" s="8" t="s">
        <x:v>45</x:v>
      </x:c>
    </x:row>
    <x:row r="8" ht="32" customHeight="1">
      <x:c r="A8" s="6" t="s">
        <x:v>46</x:v>
      </x:c>
      <x:c r="B8" s="7" t="s">
        <x:v>40</x:v>
      </x:c>
      <x:c r="C8" s="1" t="s">
        <x:v>47</x:v>
      </x:c>
      <x:c r="D8" s="9"/>
      <x:c r="E8" s="10"/>
      <x:c r="F8" s="11"/>
      <x:c r="G8" s="9"/>
      <x:c r="H8" s="5" t="str">
        <x:f>IF(COUNTA(D8,E8,F8,G8)&lt;4,"Enter givens first, then build the formula",IF(NOT(AND(D8=8000,ABS(E8-0.055)&lt;0.0001,ABS(F8-0.75)&lt;0.0001)),"Check the slide givens in yellow cells",IF(ABS(G8-(D8*(1+E8*F8)))&lt;0.05,"Correct - self-check complete","Try again - use the hint and cell references")))</x:f>
        <x:v>Enter givens first, then build the formula</x:v>
      </x:c>
      <x:c r="I8" s="8" t="s">
        <x:v>48</x:v>
      </x:c>
    </x:row>
    <x:row r="9">
      <x:c r="A9" s="23" t="s">
        <x:v>49</x:v>
      </x:c>
      <x:c r="B9" s="20"/>
      <x:c r="C9" s="20"/>
      <x:c r="D9" s="20"/>
      <x:c r="E9" s="20"/>
      <x:c r="F9" s="20"/>
      <x:c r="G9" s="20"/>
      <x:c r="H9" s="20"/>
      <x:c r="I9" s="21"/>
    </x:row>
    <x:row r="10" ht="32" customHeight="1">
      <x:c r="A10" s="6" t="s">
        <x:v>50</x:v>
      </x:c>
      <x:c r="B10" s="7" t="s">
        <x:v>51</x:v>
      </x:c>
      <x:c r="C10" s="1" t="s">
        <x:v>52</x:v>
      </x:c>
      <x:c r="D10" s="3"/>
      <x:c r="E10" s="3"/>
      <x:c r="F10" s="3"/>
      <x:c r="G10" s="3"/>
      <x:c r="H10" s="5" t="str">
        <x:f>IF(COUNTA(D10,E10,G10)&lt;3,"Enter givens first, then build the formula",IF(NOT(AND(D10=90,E10=360)),"Check the slide givens in yellow cells",IF(ABS(G10-(D10/E10))&lt;0.0001,"Correct - self-check complete","Try again - use the hint and cell references")))</x:f>
        <x:v>Enter givens first, then build the formula</x:v>
      </x:c>
      <x:c r="I10" s="8" t="s">
        <x:v>53</x:v>
      </x:c>
    </x:row>
    <x:row r="11" ht="32" customHeight="1">
      <x:c r="A11" s="6" t="s">
        <x:v>54</x:v>
      </x:c>
      <x:c r="B11" s="7" t="s">
        <x:v>51</x:v>
      </x:c>
      <x:c r="C11" s="1" t="s">
        <x:v>55</x:v>
      </x:c>
      <x:c r="D11" s="3"/>
      <x:c r="E11" s="10"/>
      <x:c r="F11" s="11"/>
      <x:c r="G11" s="9"/>
      <x:c r="H11" s="5" t="str">
        <x:f>IF(COUNTA(D11,E11,F11,G11)&lt;4,"Enter givens first, then build the formula",IF(NOT(AND(ABS(D11-19.48)&lt;0.0001,ABS(E11-0.095)&lt;0.0001,ABS(F11-0.25)&lt;0.0001)),"Check the slide givens in yellow cells",IF(ABS(G11-(D11/(E11*F11)))&lt;0.05,"Correct - self-check complete","Try again - use the hint and cell references")))</x:f>
        <x:v>Enter givens first, then build the formula</x:v>
      </x:c>
      <x:c r="I11" s="8" t="s">
        <x:v>56</x:v>
      </x:c>
    </x:row>
    <x:row r="12">
      <x:c r="A12" s="23" t="s">
        <x:v>57</x:v>
      </x:c>
      <x:c r="B12" s="20"/>
      <x:c r="C12" s="20"/>
      <x:c r="D12" s="20"/>
      <x:c r="E12" s="20"/>
      <x:c r="F12" s="20"/>
      <x:c r="G12" s="20"/>
      <x:c r="H12" s="20"/>
      <x:c r="I12" s="21"/>
    </x:row>
    <x:row r="13" ht="32" customHeight="1">
      <x:c r="A13" s="6" t="s">
        <x:v>58</x:v>
      </x:c>
      <x:c r="B13" s="7" t="s">
        <x:v>59</x:v>
      </x:c>
      <x:c r="C13" s="1" t="s">
        <x:v>60</x:v>
      </x:c>
      <x:c r="D13" s="3"/>
      <x:c r="E13" s="3"/>
      <x:c r="F13" s="3"/>
      <x:c r="G13" s="3"/>
      <x:c r="H13" s="5" t="str">
        <x:f>IF(COUNTA(D13,E13,G13)&lt;3,"Enter givens first, then build the formula",IF(NOT(AND(D13=18,E13=12)),"Check the slide givens in yellow cells",IF(ABS(G13-(D13/E13))&lt;0.0001,"Correct - self-check complete","Try again - use the hint and cell references")))</x:f>
        <x:v>Enter givens first, then build the formula</x:v>
      </x:c>
      <x:c r="I13" s="8" t="s">
        <x:v>61</x:v>
      </x:c>
    </x:row>
    <x:row r="14" ht="32" customHeight="1">
      <x:c r="A14" s="6" t="s">
        <x:v>62</x:v>
      </x:c>
      <x:c r="B14" s="7" t="s">
        <x:v>59</x:v>
      </x:c>
      <x:c r="C14" s="1" t="s">
        <x:v>63</x:v>
      </x:c>
      <x:c r="D14" s="3"/>
      <x:c r="E14" s="11"/>
      <x:c r="F14" s="3"/>
      <x:c r="G14" s="9"/>
      <x:c r="H14" s="5" t="str">
        <x:f>IF(COUNTA(D14,E14,G14)&lt;3,"Enter givens first, then build the formula",IF(NOT(AND(ABS(D14-0.07)&lt;0.0001,ABS(E14-1.5)&lt;0.0001)),"Check the slide givens in yellow cells",IF(ABS(G14-(1+D14*E14))&lt;0.0001,"Correct - self-check complete","Try again - use the hint and cell references")))</x:f>
        <x:v>Enter givens first, then build the formula</x:v>
      </x:c>
      <x:c r="I14" s="8" t="s">
        <x:v>64</x:v>
      </x:c>
    </x:row>
    <x:row r="15" ht="32" customHeight="1">
      <x:c r="A15" s="6" t="s">
        <x:v>65</x:v>
      </x:c>
      <x:c r="B15" s="7" t="s">
        <x:v>59</x:v>
      </x:c>
      <x:c r="C15" s="1" t="str">
        <x:v>Discount the $25,000 receivable with manual simple-interest PV</x:v>
      </x:c>
      <x:c r="D15" s="9"/>
      <x:c r="E15" s="10"/>
      <x:c r="F15" s="11"/>
      <x:c r="G15" s="9"/>
      <x:c r="H15" s="5" t="str">
        <x:f>IF(COUNTA(D15,E15,F15,G15)&lt;4,"Enter givens first, then build the formula",IF(NOT(AND(D15=25000,ABS(E15-0.07)&lt;0.0001,ABS(F15-1.5)&lt;0.0001)),"Check the slide givens in yellow cells",IF(ABS(G15-(D15/(1+E15*F15)))&lt;0.05,"Correct - self-check complete","Try again - use the hint and cell references")))</x:f>
        <x:v>Enter givens first, then build the formula</x:v>
      </x:c>
      <x:c r="I15" s="8" t="str">
        <x:v>Manual simple-interest PV = FV ÷ (1 + rate × time).</x:v>
      </x:c>
    </x:row>
    <x:row r="16" ht="39" customHeight="1">
      <x:c r="A16" s="6" t="s">
        <x:v>66</x:v>
      </x:c>
      <x:c r="B16" s="7" t="s">
        <x:v>67</x:v>
      </x:c>
      <x:c r="C16" s="1" t="str">
        <x:v>Use Excel's compound-periodic =PV() for the same receivable</x:v>
      </x:c>
      <x:c r="D16" s="10"/>
      <x:c r="E16" s="11"/>
      <x:c r="F16" s="3"/>
      <x:c r="G16" s="9"/>
      <x:c r="H16" s="5" t="str">
        <x:f>IF(COUNTA(D16,E16,F16,G16)&lt;4,"Enter givens first, then build the formula",IF(NOT(AND(ABS(D16-0.07)&lt;0.0001,ABS(E16-1.5)&lt;0.0001,F16=25000)),"Check the slide givens in yellow cells",IF(ABS(G16-(PV(D16,E16,0,F16)))&lt;0.05,"Correct - self-check complete","Try again - use the hint and cell references")))</x:f>
        <x:v>Enter givens first, then build the formula</x:v>
      </x:c>
      <x:c r="I16" s="8" t="str">
        <x:v>PV() uses compound periodic discounting. A positive FV returns a negative PV, and its absolute value will differ slightly from row 3C.</x:v>
      </x:c>
    </x:row>
    <x:row r="18">
      <x:c r="A18" s="23" t="s">
        <x:v>68</x:v>
      </x:c>
      <x:c r="B18" s="20"/>
      <x:c r="C18" s="20"/>
      <x:c r="D18" s="20"/>
      <x:c r="E18" s="20"/>
      <x:c r="F18" s="20"/>
      <x:c r="G18" s="20"/>
      <x:c r="H18" s="20"/>
      <x:c r="I18" s="21"/>
    </x:row>
    <x:row r="19" ht="32" customHeight="1">
      <x:c r="A19" s="6" t="s">
        <x:v>69</x:v>
      </x:c>
      <x:c r="B19" s="7" t="s">
        <x:v>70</x:v>
      </x:c>
      <x:c r="C19" s="1" t="s">
        <x:v>71</x:v>
      </x:c>
      <x:c r="D19" s="9"/>
      <x:c r="E19" s="10"/>
      <x:c r="F19" s="11"/>
      <x:c r="G19" s="9"/>
      <x:c r="H19" s="5" t="str">
        <x:f>IF(COUNTA(D19,E19,F19,G19)&lt;4,"Enter givens first, then build the formula",IF(NOT(AND(D19=18000,ABS(E19-0.06)&lt;0.0001,F19=1)),"Check the slide givens in yellow cells",IF(ABS(G19-(D19/(1+E19*F19)))&lt;0.05,"Correct - self-check complete","Try again - use the hint and cell references")))</x:f>
        <x:v>Enter givens first, then build the formula</x:v>
      </x:c>
      <x:c r="I19" s="8" t="s">
        <x:v>72</x:v>
      </x:c>
    </x:row>
    <x:row r="20" ht="32" customHeight="1">
      <x:c r="A20" s="6" t="s">
        <x:v>73</x:v>
      </x:c>
      <x:c r="B20" s="7" t="s">
        <x:v>70</x:v>
      </x:c>
      <x:c r="C20" s="1" t="s">
        <x:v>74</x:v>
      </x:c>
      <x:c r="D20" s="9"/>
      <x:c r="E20" s="10"/>
      <x:c r="F20" s="11"/>
      <x:c r="G20" s="9"/>
      <x:c r="H20" s="5" t="str">
        <x:f>IF(COUNTA(D20,E20,F20,G20)&lt;4,"Enter givens first, then build the formula",IF(NOT(AND(D20=22000,ABS(E20-0.06)&lt;0.0001,F20=2)),"Check the slide givens in yellow cells",IF(ABS(G20-(D20/(1+E20*F20)))&lt;0.05,"Correct - self-check complete","Try again - use the hint and cell references")))</x:f>
        <x:v>Enter givens first, then build the formula</x:v>
      </x:c>
      <x:c r="I20" s="8" t="s">
        <x:v>75</x:v>
      </x:c>
    </x:row>
    <x:row r="21" ht="32" customHeight="1">
      <x:c r="A21" s="6" t="s">
        <x:v>76</x:v>
      </x:c>
      <x:c r="B21" s="7" t="s">
        <x:v>70</x:v>
      </x:c>
      <x:c r="C21" s="1" t="s">
        <x:v>77</x:v>
      </x:c>
      <x:c r="D21" s="9"/>
      <x:c r="E21" s="10"/>
      <x:c r="F21" s="11"/>
      <x:c r="G21" s="9"/>
      <x:c r="H21" s="5" t="str">
        <x:f>IF(COUNTA(D21,E21,F21,G21)&lt;4,"Enter givens first, then build the formula",IF(NOT(AND(D21=25000,ABS(E21-0.06)&lt;0.0001,F21=3)),"Check the slide givens in yellow cells",IF(ABS(G21-(D21/(1+E21*F21)))&lt;0.05,"Correct - self-check complete","Try again - use the hint and cell references")))</x:f>
        <x:v>Enter givens first, then build the formula</x:v>
      </x:c>
      <x:c r="I21" s="8" t="s">
        <x:v>78</x:v>
      </x:c>
    </x:row>
    <x:row r="22" ht="32" customHeight="1">
      <x:c r="A22" s="6" t="s">
        <x:v>79</x:v>
      </x:c>
      <x:c r="B22" s="7" t="s">
        <x:v>70</x:v>
      </x:c>
      <x:c r="C22" s="1" t="s">
        <x:v>80</x:v>
      </x:c>
      <x:c r="D22" s="9"/>
      <x:c r="E22" s="10"/>
      <x:c r="F22" s="11"/>
      <x:c r="G22" s="9"/>
      <x:c r="H22" s="5" t="str">
        <x:f>IF(COUNTA(D22,E22,F22,G22)&lt;4,"Enter givens first, then build the formula",IF(NOT(AND(D22=20000,ABS(E22-0.06)&lt;0.0001,F22=4)),"Check the slide givens in yellow cells",IF(ABS(G22-(D22/(1+E22*F22)))&lt;0.05,"Correct - self-check complete","Try again - use the hint and cell references")))</x:f>
        <x:v>Enter givens first, then build the formula</x:v>
      </x:c>
      <x:c r="I22" s="8" t="s">
        <x:v>81</x:v>
      </x:c>
    </x:row>
    <x:row r="23" ht="32" customHeight="1">
      <x:c r="A23" s="6" t="s">
        <x:v>82</x:v>
      </x:c>
      <x:c r="B23" s="7" t="s">
        <x:v>70</x:v>
      </x:c>
      <x:c r="C23" s="1" t="s">
        <x:v>83</x:v>
      </x:c>
      <x:c r="D23" s="9"/>
      <x:c r="E23" s="10"/>
      <x:c r="F23" s="11"/>
      <x:c r="G23" s="9"/>
      <x:c r="H23" s="5" t="str">
        <x:f>IF(COUNTA(D23,E23,F23,G23)&lt;4,"Enter givens first, then build the formula",IF(NOT(AND(D23=15000,ABS(E23-0.06)&lt;0.0001,F23=5)),"Check the slide givens in yellow cells",IF(ABS(G23-(D23/(1+E23*F23)))&lt;0.05,"Correct - self-check complete","Try again - use the hint and cell references")))</x:f>
        <x:v>Enter givens first, then build the formula</x:v>
      </x:c>
      <x:c r="I23" s="8" t="s">
        <x:v>84</x:v>
      </x:c>
    </x:row>
    <x:row r="24" ht="32" customHeight="1">
      <x:c r="A24" s="6" t="s">
        <x:v>85</x:v>
      </x:c>
      <x:c r="B24" s="7" t="s">
        <x:v>70</x:v>
      </x:c>
      <x:c r="C24" s="1" t="s">
        <x:v>86</x:v>
      </x:c>
      <x:c r="D24" s="9"/>
      <x:c r="E24" s="3"/>
      <x:c r="F24" s="3"/>
      <x:c r="G24" s="9"/>
      <x:c r="H24" s="5" t="str">
        <x:f>IF(G24="","Build the total formula",IF(ABS(G24-SUM(G19:G23))&lt;0.05,"Correct - self-check complete","Try again - total the PV rows"))</x:f>
        <x:v>Build the total formula</x:v>
      </x:c>
      <x:c r="I24" s="8" t="s">
        <x:v>87</x:v>
      </x:c>
    </x:row>
    <x:row r="26" ht="48">
      <x:c r="A26" s="12" t="s">
        <x:v>88</x:v>
      </x:c>
      <x:c r="B26" s="8" t="str">
        <x:f>COUNTIF(H6:H24,"Correct*")&amp;" of 15 complete"</x:f>
        <x:v>0 of 15 complete</x:v>
      </x:c>
    </x:row>
    <x:row r="27" ht="105">
      <x:c r="A27" s="12" t="s">
        <x:v>89</x:v>
      </x:c>
      <x:c r="B27" s="8" t="s">
        <x:v>90</x:v>
      </x:c>
    </x:row>
  </x:sheetData>
  <x:mergeCells>
    <x:mergeCell ref="A2:I2"/>
    <x:mergeCell ref="A1:I1"/>
    <x:mergeCell ref="A9:I9"/>
    <x:mergeCell ref="A18:I18"/>
    <x:mergeCell ref="A12:I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9" customWidth="1"/>
    <x:col min="2" max="2" width="16" customWidth="1"/>
    <x:col min="3" max="3" width="42" customWidth="1"/>
    <x:col min="4" max="7" width="14" customWidth="1"/>
    <x:col min="8" max="8" width="24" customWidth="1"/>
    <x:col min="9" max="9" width="36" customWidth="1"/>
  </x:cols>
  <x:sheetData>
    <x:row r="1" ht="28" customHeight="1">
      <x:c r="A1" s="22" t="s">
        <x:v>91</x:v>
      </x:c>
      <x:c r="B1" s="18"/>
      <x:c r="C1" s="18"/>
      <x:c r="D1" s="18"/>
      <x:c r="E1" s="18"/>
      <x:c r="F1" s="18"/>
      <x:c r="G1" s="18"/>
      <x:c r="H1" s="18"/>
      <x:c r="I1" s="18"/>
    </x:row>
    <x:row r="2" ht="24" customHeight="1">
      <x:c r="A2" s="17" t="s">
        <x:v>92</x:v>
      </x:c>
      <x:c r="B2" s="18"/>
      <x:c r="C2" s="18"/>
      <x:c r="D2" s="18"/>
      <x:c r="E2" s="18"/>
      <x:c r="F2" s="18"/>
      <x:c r="G2" s="18"/>
      <x:c r="H2" s="18"/>
      <x:c r="I2" s="18"/>
    </x:row>
    <x:row r="5">
      <x:c r="A5" s="2" t="s">
        <x:v>93</x:v>
      </x:c>
      <x:c r="B5" s="2" t="s">
        <x:v>94</x:v>
      </x:c>
      <x:c r="C5" s="2" t="s">
        <x:v>95</x:v>
      </x:c>
      <x:c r="D5" s="2" t="s">
        <x:v>96</x:v>
      </x:c>
      <x:c r="E5" s="2" t="s">
        <x:v>97</x:v>
      </x:c>
      <x:c r="F5" s="2" t="s">
        <x:v>98</x:v>
      </x:c>
      <x:c r="G5" s="2" t="s">
        <x:v>99</x:v>
      </x:c>
      <x:c r="H5" s="2" t="s">
        <x:v>100</x:v>
      </x:c>
      <x:c r="I5" s="2" t="s">
        <x:v>101</x:v>
      </x:c>
    </x:row>
    <x:row r="6" ht="34" customHeight="1">
      <x:c r="A6" s="6" t="s">
        <x:v>102</x:v>
      </x:c>
      <x:c r="B6" s="1" t="s">
        <x:v>103</x:v>
      </x:c>
      <x:c r="C6" s="1" t="s">
        <x:v>104</x:v>
      </x:c>
      <x:c r="D6" s="13">
        <x:v>50000</x:v>
      </x:c>
      <x:c r="E6" s="14">
        <x:v>0.05</x:v>
      </x:c>
      <x:c r="F6" s="4">
        <x:v>124</x:v>
      </x:c>
      <x:c r="G6" s="4">
        <x:v>365</x:v>
      </x:c>
      <x:c r="H6" s="9"/>
      <x:c r="I6" s="8" t="s">
        <x:v>105</x:v>
      </x:c>
    </x:row>
    <x:row r="7" ht="34" customHeight="1">
      <x:c r="A7" s="6" t="s">
        <x:v>106</x:v>
      </x:c>
      <x:c r="B7" s="1" t="s">
        <x:v>103</x:v>
      </x:c>
      <x:c r="C7" s="1" t="s">
        <x:v>107</x:v>
      </x:c>
      <x:c r="D7" s="13">
        <x:v>50000</x:v>
      </x:c>
      <x:c r="E7" s="14">
        <x:v>0.05</x:v>
      </x:c>
      <x:c r="F7" s="4">
        <x:v>124</x:v>
      </x:c>
      <x:c r="G7" s="4">
        <x:v>360</x:v>
      </x:c>
      <x:c r="H7" s="9"/>
      <x:c r="I7" s="8" t="s">
        <x:v>108</x:v>
      </x:c>
    </x:row>
    <x:row r="8" ht="34" customHeight="1">
      <x:c r="A8" s="6" t="s">
        <x:v>109</x:v>
      </x:c>
      <x:c r="B8" s="1" t="s">
        <x:v>103</x:v>
      </x:c>
      <x:c r="C8" s="1" t="s">
        <x:v>110</x:v>
      </x:c>
      <x:c r="D8" s="13">
        <x:v>50000</x:v>
      </x:c>
      <x:c r="E8" s="14">
        <x:v>0.05</x:v>
      </x:c>
      <x:c r="F8" s="4">
        <x:v>124</x:v>
      </x:c>
      <x:c r="G8" s="4"/>
      <x:c r="H8" s="9"/>
      <x:c r="I8" s="8" t="s">
        <x:v>111</x:v>
      </x:c>
    </x:row>
    <x:row r="9" ht="34" customHeight="1">
      <x:c r="A9" s="6" t="s">
        <x:v>112</x:v>
      </x:c>
      <x:c r="B9" s="1" t="s">
        <x:v>113</x:v>
      </x:c>
      <x:c r="C9" s="1" t="s">
        <x:v>114</x:v>
      </x:c>
      <x:c r="D9" s="13">
        <x:v>12000</x:v>
      </x:c>
      <x:c r="E9" s="14">
        <x:v>5.5E-2</x:v>
      </x:c>
      <x:c r="F9" s="15">
        <x:v>0.75</x:v>
      </x:c>
      <x:c r="G9" s="4"/>
      <x:c r="H9" s="9"/>
      <x:c r="I9" s="8" t="s">
        <x:v>115</x:v>
      </x:c>
    </x:row>
    <x:row r="10" ht="34" customHeight="1">
      <x:c r="A10" s="6" t="s">
        <x:v>116</x:v>
      </x:c>
      <x:c r="B10" s="1" t="s">
        <x:v>113</x:v>
      </x:c>
      <x:c r="C10" s="1" t="s">
        <x:v>117</x:v>
      </x:c>
      <x:c r="D10" s="13">
        <x:v>30000</x:v>
      </x:c>
      <x:c r="E10" s="14">
        <x:v>7.1999999999999995E-2</x:v>
      </x:c>
      <x:c r="F10" s="15">
        <x:v>0.5</x:v>
      </x:c>
      <x:c r="G10" s="4"/>
      <x:c r="H10" s="9"/>
      <x:c r="I10" s="8" t="s">
        <x:v>118</x:v>
      </x:c>
    </x:row>
    <x:row r="11" ht="34" customHeight="1">
      <x:c r="A11" s="6" t="s">
        <x:v>119</x:v>
      </x:c>
      <x:c r="B11" s="1" t="s">
        <x:v>120</x:v>
      </x:c>
      <x:c r="C11" s="1" t="s">
        <x:v>121</x:v>
      </x:c>
      <x:c r="D11" s="4">
        <x:v>19.48</x:v>
      </x:c>
      <x:c r="E11" s="14">
        <x:v>9.5000000000000001E-2</x:v>
      </x:c>
      <x:c r="F11" s="4">
        <x:v>90</x:v>
      </x:c>
      <x:c r="G11" s="4">
        <x:v>360</x:v>
      </x:c>
      <x:c r="H11" s="9"/>
      <x:c r="I11" s="8" t="s">
        <x:v>122</x:v>
      </x:c>
    </x:row>
    <x:row r="12" ht="34" customHeight="1">
      <x:c r="A12" s="6" t="s">
        <x:v>123</x:v>
      </x:c>
      <x:c r="B12" s="1" t="s">
        <x:v>124</x:v>
      </x:c>
      <x:c r="C12" s="1" t="str">
        <x:v>Manual simple-interest PV for a $25,000 receivable due in 18 months at 7%</x:v>
      </x:c>
      <x:c r="D12" s="13">
        <x:v>25000</x:v>
      </x:c>
      <x:c r="E12" s="14">
        <x:v>7.0000000000000007E-2</x:v>
      </x:c>
      <x:c r="F12" s="4">
        <x:v>18</x:v>
      </x:c>
      <x:c r="G12" s="4">
        <x:v>12</x:v>
      </x:c>
      <x:c r="H12" s="9"/>
      <x:c r="I12" s="8" t="str">
        <x:v>Use the simple-interest denominator and convert months to years inside the formula.</x:v>
      </x:c>
    </x:row>
    <x:row r="13" ht="34" customHeight="1">
      <x:c r="A13" s="6" t="s">
        <x:v>125</x:v>
      </x:c>
      <x:c r="B13" s="1" t="s">
        <x:v>126</x:v>
      </x:c>
      <x:c r="C13" s="1" t="str">
        <x:v>Use Excel's compound-periodic =PV() for the same $25,000 receivable</x:v>
      </x:c>
      <x:c r="D13" s="13">
        <x:v>25000</x:v>
      </x:c>
      <x:c r="E13" s="14">
        <x:v>7.0000000000000007E-2</x:v>
      </x:c>
      <x:c r="F13" s="15">
        <x:v>1.5</x:v>
      </x:c>
      <x:c r="G13" s="4">
        <x:v>0</x:v>
      </x:c>
      <x:c r="H13" s="9"/>
      <x:c r="I13" s="8" t="str">
        <x:v>Use the pmt input cell even though it is 0. Expect a negative result that differs slightly from C7.</x:v>
      </x:c>
    </x:row>
    <x:row r="14" ht="34" customHeight="1">
      <x:c r="A14" s="6" t="s">
        <x:v>127</x:v>
      </x:c>
      <x:c r="B14" s="1" t="s">
        <x:v>128</x:v>
      </x:c>
      <x:c r="C14" s="1" t="str">
        <x:v>Verify the compound-periodic =PV() result grows back to $25,000</x:v>
      </x:c>
      <x:c r="D14" s="4"/>
      <x:c r="E14" s="14">
        <x:v>7.0000000000000007E-2</x:v>
      </x:c>
      <x:c r="F14" s="15">
        <x:v>1.5</x:v>
      </x:c>
      <x:c r="G14" s="4">
        <x:v>0</x:v>
      </x:c>
      <x:c r="H14" s="9"/>
      <x:c r="I14" s="8" t="str">
        <x:v>Reference your C8 result as the pv argument in =FV(). Do not use the manual C7 value.</x:v>
      </x:c>
    </x:row>
    <x:row r="15" ht="34" customHeight="1">
      <x:c r="A15" s="6" t="s">
        <x:v>129</x:v>
      </x:c>
      <x:c r="B15" s="1" t="s">
        <x:v>130</x:v>
      </x:c>
      <x:c r="C15" s="1" t="s">
        <x:v>131</x:v>
      </x:c>
      <x:c r="D15" s="13">
        <x:v>18000</x:v>
      </x:c>
      <x:c r="E15" s="14">
        <x:v>0.06</x:v>
      </x:c>
      <x:c r="F15" s="15">
        <x:v>1</x:v>
      </x:c>
      <x:c r="G15" s="4"/>
      <x:c r="H15" s="9"/>
      <x:c r="I15" s="8" t="s">
        <x:v>132</x:v>
      </x:c>
    </x:row>
    <x:row r="16" ht="34" customHeight="1">
      <x:c r="A16" s="6" t="s">
        <x:v>133</x:v>
      </x:c>
      <x:c r="B16" s="1" t="s">
        <x:v>130</x:v>
      </x:c>
      <x:c r="C16" s="1" t="s">
        <x:v>134</x:v>
      </x:c>
      <x:c r="D16" s="13">
        <x:v>22000</x:v>
      </x:c>
      <x:c r="E16" s="14">
        <x:v>0.06</x:v>
      </x:c>
      <x:c r="F16" s="15">
        <x:v>2</x:v>
      </x:c>
      <x:c r="G16" s="4"/>
      <x:c r="H16" s="9"/>
      <x:c r="I16" s="8" t="s">
        <x:v>135</x:v>
      </x:c>
    </x:row>
    <x:row r="17" ht="34" customHeight="1">
      <x:c r="A17" s="6" t="s">
        <x:v>136</x:v>
      </x:c>
      <x:c r="B17" s="1" t="s">
        <x:v>130</x:v>
      </x:c>
      <x:c r="C17" s="1" t="s">
        <x:v>137</x:v>
      </x:c>
      <x:c r="D17" s="13">
        <x:v>25000</x:v>
      </x:c>
      <x:c r="E17" s="14">
        <x:v>0.06</x:v>
      </x:c>
      <x:c r="F17" s="15">
        <x:v>3</x:v>
      </x:c>
      <x:c r="G17" s="4"/>
      <x:c r="H17" s="9"/>
      <x:c r="I17" s="8" t="s">
        <x:v>138</x:v>
      </x:c>
    </x:row>
    <x:row r="18" ht="34" customHeight="1">
      <x:c r="A18" s="6" t="s">
        <x:v>139</x:v>
      </x:c>
      <x:c r="B18" s="1" t="s">
        <x:v>130</x:v>
      </x:c>
      <x:c r="C18" s="1" t="s">
        <x:v>140</x:v>
      </x:c>
      <x:c r="D18" s="13">
        <x:v>20000</x:v>
      </x:c>
      <x:c r="E18" s="14">
        <x:v>0.06</x:v>
      </x:c>
      <x:c r="F18" s="15">
        <x:v>4</x:v>
      </x:c>
      <x:c r="G18" s="4"/>
      <x:c r="H18" s="9"/>
      <x:c r="I18" s="8" t="s">
        <x:v>141</x:v>
      </x:c>
    </x:row>
    <x:row r="19" ht="34" customHeight="1">
      <x:c r="A19" s="6" t="s">
        <x:v>142</x:v>
      </x:c>
      <x:c r="B19" s="1" t="s">
        <x:v>130</x:v>
      </x:c>
      <x:c r="C19" s="1" t="s">
        <x:v>143</x:v>
      </x:c>
      <x:c r="D19" s="13">
        <x:v>15000</x:v>
      </x:c>
      <x:c r="E19" s="14">
        <x:v>0.06</x:v>
      </x:c>
      <x:c r="F19" s="15">
        <x:v>5</x:v>
      </x:c>
      <x:c r="G19" s="4"/>
      <x:c r="H19" s="9"/>
      <x:c r="I19" s="8" t="s">
        <x:v>144</x:v>
      </x:c>
    </x:row>
    <x:row r="20" ht="34" customHeight="1">
      <x:c r="A20" s="6" t="s">
        <x:v>145</x:v>
      </x:c>
      <x:c r="B20" s="1" t="s">
        <x:v>146</x:v>
      </x:c>
      <x:c r="C20" s="1" t="s">
        <x:v>147</x:v>
      </x:c>
      <x:c r="D20" s="4"/>
      <x:c r="E20" s="4"/>
      <x:c r="F20" s="4"/>
      <x:c r="G20" s="4"/>
      <x:c r="H20" s="9"/>
      <x:c r="I20" s="8" t="s">
        <x:v>148</x:v>
      </x:c>
    </x:row>
    <x:row r="21" ht="34" customHeight="1">
      <x:c r="A21" s="6" t="s">
        <x:v>149</x:v>
      </x:c>
      <x:c r="B21" s="1" t="s">
        <x:v>150</x:v>
      </x:c>
      <x:c r="C21" s="1" t="s">
        <x:v>151</x:v>
      </x:c>
      <x:c r="D21" s="13">
        <x:v>75000</x:v>
      </x:c>
      <x:c r="E21" s="4"/>
      <x:c r="F21" s="4"/>
      <x:c r="G21" s="4"/>
      <x:c r="H21" s="9"/>
      <x:c r="I21" s="8" t="s">
        <x:v>152</x:v>
      </x:c>
    </x:row>
    <x:row r="23" ht="48">
      <x:c r="A23" s="12" t="s">
        <x:v>153</x:v>
      </x:c>
      <x:c r="B23" s="24" t="s">
        <x:v>154</x:v>
      </x:c>
      <x:c r="C23" s="20"/>
      <x:c r="D23" s="20"/>
      <x:c r="E23" s="20"/>
      <x:c r="F23" s="20"/>
      <x:c r="G23" s="20"/>
      <x:c r="H23" s="20"/>
      <x:c r="I23" s="21"/>
    </x:row>
  </x:sheetData>
  <x:mergeCells>
    <x:mergeCell ref="A1:I1"/>
    <x:mergeCell ref="A2:I2"/>
    <x:mergeCell ref="B23:I2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26" customWidth="1"/>
    <x:col min="2" max="2" width="32" customWidth="1"/>
    <x:col min="3" max="3" width="48" customWidth="1"/>
    <x:col min="4" max="4" width="46" customWidth="1"/>
    <x:col min="5" max="5" width="18" customWidth="1"/>
  </x:cols>
  <x:sheetData>
    <x:row r="1" ht="28" customHeight="1">
      <x:c r="A1" s="22" t="s">
        <x:v>155</x:v>
      </x:c>
      <x:c r="B1" s="18"/>
      <x:c r="C1" s="18"/>
      <x:c r="D1" s="18"/>
      <x:c r="E1" s="18"/>
    </x:row>
    <x:row r="2" ht="24" customHeight="1">
      <x:c r="A2" s="17" t="str">
        <x:v>Syntax reminders for simple interest, manual simple-interest PV, Excel's compound-periodic PV/FV functions, and DCF models.</x:v>
      </x:c>
      <x:c r="B2" s="18"/>
      <x:c r="C2" s="18"/>
      <x:c r="D2" s="18"/>
      <x:c r="E2" s="18"/>
    </x:row>
    <x:row r="5">
      <x:c r="A5" s="2" t="s">
        <x:v>156</x:v>
      </x:c>
      <x:c r="B5" s="2" t="s">
        <x:v>157</x:v>
      </x:c>
      <x:c r="C5" s="2" t="s">
        <x:v>158</x:v>
      </x:c>
      <x:c r="D5" s="2" t="s">
        <x:v>159</x:v>
      </x:c>
    </x:row>
    <x:row r="6" ht="31" customHeight="1">
      <x:c r="A6" s="1" t="s">
        <x:v>160</x:v>
      </x:c>
      <x:c r="B6" s="16" t="str">
        <x:v>=Months/12</x:v>
      </x:c>
      <x:c r="C6" s="1" t="s">
        <x:v>161</x:v>
      </x:c>
      <x:c r="D6" s="1" t="s">
        <x:v>162</x:v>
      </x:c>
    </x:row>
    <x:row r="7" ht="31" customHeight="1">
      <x:c r="A7" s="1" t="s">
        <x:v>163</x:v>
      </x:c>
      <x:c r="B7" s="16" t="str">
        <x:v>=Days/365</x:v>
      </x:c>
      <x:c r="C7" s="1" t="s">
        <x:v>164</x:v>
      </x:c>
      <x:c r="D7" s="1" t="s">
        <x:v>165</x:v>
      </x:c>
    </x:row>
    <x:row r="8" ht="31" customHeight="1">
      <x:c r="A8" s="1" t="s">
        <x:v>166</x:v>
      </x:c>
      <x:c r="B8" s="16" t="str">
        <x:v>=Days/360</x:v>
      </x:c>
      <x:c r="C8" s="1" t="s">
        <x:v>167</x:v>
      </x:c>
      <x:c r="D8" s="1" t="s">
        <x:v>168</x:v>
      </x:c>
    </x:row>
    <x:row r="9" ht="31" customHeight="1">
      <x:c r="A9" s="1" t="s">
        <x:v>169</x:v>
      </x:c>
      <x:c r="B9" s="16" t="str">
        <x:v>=Principal*rate*Time</x:v>
      </x:c>
      <x:c r="C9" s="1" t="s">
        <x:v>170</x:v>
      </x:c>
      <x:c r="D9" s="1" t="s">
        <x:v>171</x:v>
      </x:c>
    </x:row>
    <x:row r="10" ht="31" customHeight="1">
      <x:c r="A10" s="1" t="s">
        <x:v>172</x:v>
      </x:c>
      <x:c r="B10" s="16" t="str">
        <x:v>=Principal*(1+rate*Time)</x:v>
      </x:c>
      <x:c r="C10" s="1" t="s">
        <x:v>173</x:v>
      </x:c>
      <x:c r="D10" s="1" t="s">
        <x:v>174</x:v>
      </x:c>
    </x:row>
    <x:row r="11" ht="31" customHeight="1">
      <x:c r="A11" s="1" t="s">
        <x:v>175</x:v>
      </x:c>
      <x:c r="B11" s="16" t="str">
        <x:v>=Interest/(rate*Time)</x:v>
      </x:c>
      <x:c r="C11" s="1" t="s">
        <x:v>176</x:v>
      </x:c>
      <x:c r="D11" s="1" t="s">
        <x:v>177</x:v>
      </x:c>
    </x:row>
    <x:row r="12" ht="31" customHeight="1">
      <x:c r="A12" s="1" t="s">
        <x:v>178</x:v>
      </x:c>
      <x:c r="B12" s="16" t="str">
        <x:v>=1+rate*Time</x:v>
      </x:c>
      <x:c r="C12" s="1" t="s">
        <x:v>179</x:v>
      </x:c>
      <x:c r="D12" s="1" t="s">
        <x:v>180</x:v>
      </x:c>
    </x:row>
    <x:row r="13" ht="31" customHeight="1">
      <x:c r="A13" s="1" t="s">
        <x:v>181</x:v>
      </x:c>
      <x:c r="B13" s="16" t="str">
        <x:v>=fv/(1+rate*Time)</x:v>
      </x:c>
      <x:c r="C13" s="1" t="str">
        <x:v>Uses the lesson's simple-interest discount factor.</x:v>
      </x:c>
      <x:c r="D13" s="1" t="str">
        <x:v>Do not expect it to equal Excel PV() after multiple periods.</x:v>
      </x:c>
    </x:row>
    <x:row r="14" ht="31" customHeight="1">
      <x:c r="A14" s="1" t="s">
        <x:v>182</x:v>
      </x:c>
      <x:c r="B14" s="16" t="str">
        <x:v>=PV(rate,nper,0,fv)</x:v>
      </x:c>
      <x:c r="C14" s="1" t="str">
        <x:v>Uses Excel's compound-periodic model to discount one future lump sum.</x:v>
      </x:c>
      <x:c r="D14" s="1" t="str">
        <x:v>A positive future inflow returns a negative present outflow.</x:v>
      </x:c>
    </x:row>
    <x:row r="15" ht="31" customHeight="1">
      <x:c r="A15" s="1" t="s">
        <x:v>183</x:v>
      </x:c>
      <x:c r="B15" s="16" t="str">
        <x:v>=FV(rate,nper,0,pv)</x:v>
      </x:c>
      <x:c r="C15" s="1" t="str">
        <x:v>Checks that the Excel PV() result grows back to the future value.</x:v>
      </x:c>
      <x:c r="D15" s="1" t="str">
        <x:v>Use the negative result from PV(), not the manual simple-interest PV.</x:v>
      </x:c>
    </x:row>
    <x:row r="16" ht="31" customHeight="1">
      <x:c r="A16" s="1" t="s">
        <x:v>146</x:v>
      </x:c>
      <x:c r="B16" s="16" t="str">
        <x:v>=SUM(PVRange)</x:v>
      </x:c>
      <x:c r="C16" s="1" t="s">
        <x:v>184</x:v>
      </x:c>
      <x:c r="D16" s="1" t="s">
        <x:v>185</x:v>
      </x:c>
    </x:row>
  </x:sheetData>
  <x:mergeCells>
    <x:mergeCell ref="A2:E2"/>
    <x:mergeCell ref="A1:E1"/>
  </x:mergeCells>
  <x:pageMargins left="0.7" right="0.7" top="0.75" bottom="0.75" header="0.3" footer="0.3"/>
</x:worksheet>
</file>