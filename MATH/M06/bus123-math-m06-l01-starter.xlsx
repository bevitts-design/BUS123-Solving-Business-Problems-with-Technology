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21b4e54a3b47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9de7c5c7b70a4858"/>
    <x:sheet xmlns:r="http://schemas.openxmlformats.org/officeDocument/2006/relationships" name="Raw Data" sheetId="2" r:id="R3f8dda8344824aa9"/>
    <x:sheet xmlns:r="http://schemas.openxmlformats.org/officeDocument/2006/relationships" name="Management Model" sheetId="3" r:id="Rc643b68cd75946bc"/>
    <x:sheet xmlns:r="http://schemas.openxmlformats.org/officeDocument/2006/relationships" name="Decision Brief" sheetId="4" r:id="R741bea699ce24b73"/>
    <x:sheet xmlns:r="http://schemas.openxmlformats.org/officeDocument/2006/relationships" name="Formula Reference" sheetId="5" r:id="R78c78ba12a8e40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$#,##0.00"/>
    <x:numFmt numFmtId="201" formatCode="$#,##0"/>
    <x:numFmt numFmtId="202" formatCode="0"/>
    <x:numFmt numFmtId="203" formatCode="0.0%"/>
  </x:numFmts>
  <x:fonts count="11">
    <x:font>
      <x:sz val="11"/>
      <x:name val="Carlito"/>
    </x:font>
    <x:font>
      <x:sz val="11"/>
      <x:color rgb="FF1A1F2C"/>
      <x:name val="Aptos"/>
    </x:font>
    <x:font>
      <x:b/>
      <x:sz val="22"/>
      <x:color rgb="FFFFFFFF"/>
      <x:name val="Aptos Display"/>
    </x:font>
    <x:font>
      <x:i/>
      <x:sz val="11"/>
      <x:color rgb="FF4A5567"/>
      <x:name val="Aptos"/>
    </x:font>
    <x:font>
      <x:b/>
      <x:sz val="13"/>
      <x:color rgb="FFFFFFFF"/>
      <x:name val="Aptos Display"/>
    </x:font>
    <x:font>
      <x:b/>
      <x:sz val="10"/>
      <x:color rgb="FFFFFFFF"/>
      <x:name val="Aptos"/>
    </x:font>
    <x:font>
      <x:b/>
      <x:sz val="11"/>
      <x:color rgb="FF4A7C5E"/>
      <x:name val="Aptos"/>
    </x:font>
    <x:font>
      <x:b/>
      <x:sz val="11"/>
      <x:color rgb="FF1A1F2C"/>
      <x:name val="Aptos"/>
    </x:font>
    <x:font>
      <x:sz val="11"/>
      <x:color rgb="FF355773"/>
      <x:name val="Aptos"/>
    </x:font>
    <x:font>
      <x:b/>
      <x:sz val="11"/>
      <x:color rgb="FF355773"/>
      <x:name val="Aptos"/>
    </x:font>
    <x:font>
      <x:sz val="10"/>
      <x:color rgb="FF355773"/>
      <x:name val="Consolas"/>
    </x:font>
  </x:fonts>
  <x:fills count="14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0E1116"/>
      </x:patternFill>
    </x:fill>
    <x:fill>
      <x:patternFill patternType="solid">
        <x:fgColor rgb="FFF2EEE5"/>
      </x:patternFill>
    </x:fill>
    <x:fill>
      <x:patternFill patternType="solid">
        <x:fgColor rgb="FF4A7C5E"/>
      </x:patternFill>
    </x:fill>
    <x:fill>
      <x:patternFill patternType="solid">
        <x:fgColor rgb="FFB8843D"/>
      </x:patternFill>
    </x:fill>
    <x:fill>
      <x:patternFill patternType="solid">
        <x:fgColor rgb="FFEAF3EC"/>
      </x:patternFill>
    </x:fill>
    <x:fill>
      <x:patternFill patternType="solid">
        <x:fgColor rgb="FF355773"/>
      </x:patternFill>
    </x:fill>
    <x:fill>
      <x:patternFill patternType="solid">
        <x:fgColor rgb="FFE8EFF5"/>
      </x:patternFill>
    </x:fill>
    <x:fill>
      <x:patternFill patternType="solid">
        <x:fgColor rgb="FFFFF2B2"/>
      </x:patternFill>
    </x:fill>
    <x:fill>
      <x:patternFill patternType="solid">
        <x:fgColor rgb="FFDDEFE2"/>
      </x:patternFill>
    </x:fill>
    <x:fill>
      <x:patternFill patternType="solid">
        <x:fgColor rgb="FFF6E8E1"/>
      </x:patternFill>
    </x:fill>
    <x:fill>
      <x:patternFill patternType="solid">
        <x:fgColor rgb="FF9C4A2B"/>
      </x:patternFill>
    </x:fill>
  </x:fills>
  <x:borders count="10">
    <x:border/>
    <x:border>
      <x:left style="thin">
        <x:color rgb="FFDCD7CA"/>
      </x:left>
      <x:right style="thin">
        <x:color rgb="FFDCD7CA"/>
      </x:right>
      <x:top style="thin">
        <x:color rgb="FFDCD7CA"/>
      </x:top>
      <x:bottom style="thin">
        <x:color rgb="FFDCD7CA"/>
      </x:bottom>
    </x:border>
    <x:border>
      <x:left style="thin">
        <x:color rgb="FF355773"/>
      </x:left>
      <x:top style="thin">
        <x:color rgb="FF355773"/>
      </x:top>
    </x:border>
    <x:border>
      <x:top style="thin">
        <x:color rgb="FF355773"/>
      </x:top>
    </x:border>
    <x:border>
      <x:right style="thin">
        <x:color rgb="FF355773"/>
      </x:right>
      <x:top style="thin">
        <x:color rgb="FF355773"/>
      </x:top>
    </x:border>
    <x:border>
      <x:left style="thin">
        <x:color rgb="FF355773"/>
      </x:left>
    </x:border>
    <x:border>
      <x:right style="thin">
        <x:color rgb="FF355773"/>
      </x:right>
    </x:border>
    <x:border>
      <x:left style="thin">
        <x:color rgb="FF355773"/>
      </x:left>
      <x:bottom style="thin">
        <x:color rgb="FF355773"/>
      </x:bottom>
    </x:border>
    <x:border>
      <x:bottom style="thin">
        <x:color rgb="FF355773"/>
      </x:bottom>
    </x:border>
    <x:border>
      <x:right style="thin">
        <x:color rgb="FF355773"/>
      </x:right>
      <x:bottom style="thin">
        <x:color rgb="FF355773"/>
      </x:bottom>
    </x:border>
  </x:borders>
  <x:cellStyleXfs count="1">
    <x:xf numFmtId="0" fontId="0" fillId="0" borderId="0"/>
  </x:cellStyleXfs>
  <x:cellXfs count="9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1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horizontal="center" wrapText="1"/>
    </x:xf>
    <x:xf numFmtId="0" fontId="5" fillId="3" borderId="1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vertical="center"/>
    </x:xf>
    <x:xf numFmtId="0" fontId="1" fillId="7" borderId="1" xfId="0" applyNumberFormat="1" applyFont="1" applyFill="1" applyBorder="1" applyAlignment="1">
      <x:alignment vertical="center" wrapText="1"/>
    </x:xf>
    <x:xf numFmtId="0" fontId="6" fillId="7" borderId="1" xfId="0" applyNumberFormat="1" applyFont="1" applyFill="1" applyBorder="1" applyAlignment="1">
      <x:alignment vertical="center" wrapText="1"/>
    </x:xf>
    <x:xf numFmtId="0" fontId="6" fillId="7" borderId="1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0" xfId="0" applyNumberFormat="1" applyFont="1" applyFill="1" applyBorder="1" applyAlignment="1">
      <x:alignment vertical="center"/>
    </x:xf>
    <x:xf numFmtId="0" fontId="1" fillId="9" borderId="1" xfId="0" applyNumberFormat="1" applyFont="1" applyFill="1" applyBorder="1" applyAlignment="1">
      <x:alignment vertical="center" wrapText="1"/>
    </x:xf>
    <x:xf numFmtId="0" fontId="1" fillId="10" borderId="1" xfId="0" applyNumberFormat="1" applyFont="1" applyFill="1" applyBorder="1" applyAlignment="1">
      <x:alignment vertical="center" wrapText="1"/>
    </x:xf>
    <x:xf numFmtId="0" fontId="1" fillId="11" borderId="1" xfId="0" applyNumberFormat="1" applyFont="1" applyFill="1" applyBorder="1" applyAlignment="1">
      <x:alignment vertical="center" wrapText="1"/>
    </x:xf>
    <x:xf numFmtId="0" fontId="1" fillId="12" borderId="1" xfId="0" applyNumberFormat="1" applyFont="1" applyFill="1" applyBorder="1" applyAlignment="1">
      <x:alignment vertical="center" wrapText="1"/>
    </x:xf>
    <x:xf numFmtId="0" fontId="7" fillId="2" borderId="1" xfId="0" applyNumberFormat="1" applyFont="1" applyFill="1" applyBorder="1" applyAlignment="1">
      <x:alignment vertical="center" wrapText="1"/>
    </x:xf>
    <x:xf numFmtId="200" fontId="1" fillId="2" borderId="1" xfId="0" applyNumberFormat="1" applyFont="1" applyFill="1" applyBorder="1" applyAlignment="1">
      <x:alignment vertical="center" wrapText="1"/>
    </x:xf>
    <x:xf numFmtId="200" fontId="7" fillId="2" borderId="1" xfId="0" applyNumberFormat="1" applyFont="1" applyFill="1" applyBorder="1" applyAlignment="1">
      <x:alignment vertical="center" wrapText="1"/>
    </x:xf>
    <x:xf numFmtId="201" fontId="1" fillId="2" borderId="1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/>
    <x:xf numFmtId="0" fontId="4" fillId="13" borderId="0" xfId="0" applyNumberFormat="1" applyFont="1" applyFill="1" applyBorder="1"/>
    <x:xf numFmtId="0" fontId="4" fillId="13" borderId="0" xfId="0" applyNumberFormat="1" applyFont="1" applyFill="1" applyBorder="1" applyAlignment="1">
      <x:alignment vertical="center"/>
    </x:xf>
    <x:xf numFmtId="201" fontId="7" fillId="2" borderId="1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2" xfId="0" applyNumberFormat="1" applyFont="1" applyFill="1" applyBorder="1"/>
    <x:xf numFmtId="0" fontId="8" fillId="9" borderId="3" xfId="0" applyNumberFormat="1" applyFont="1" applyFill="1" applyBorder="1"/>
    <x:xf numFmtId="0" fontId="8" fillId="9" borderId="4" xfId="0" applyNumberFormat="1" applyFont="1" applyFill="1" applyBorder="1"/>
    <x:xf numFmtId="0" fontId="8" fillId="9" borderId="5" xfId="0" applyNumberFormat="1" applyFont="1" applyFill="1" applyBorder="1"/>
    <x:xf numFmtId="0" fontId="8" fillId="9" borderId="6" xfId="0" applyNumberFormat="1" applyFont="1" applyFill="1" applyBorder="1"/>
    <x:xf numFmtId="0" fontId="8" fillId="9" borderId="7" xfId="0" applyNumberFormat="1" applyFont="1" applyFill="1" applyBorder="1"/>
    <x:xf numFmtId="0" fontId="8" fillId="9" borderId="8" xfId="0" applyNumberFormat="1" applyFont="1" applyFill="1" applyBorder="1"/>
    <x:xf numFmtId="0" fontId="8" fillId="9" borderId="9" xfId="0" applyNumberFormat="1" applyFont="1" applyFill="1" applyBorder="1"/>
    <x:xf numFmtId="0" fontId="8" fillId="9" borderId="2" xfId="0" applyNumberFormat="1" applyFont="1" applyFill="1" applyBorder="1" applyAlignment="1">
      <x:alignment wrapText="1"/>
    </x:xf>
    <x:xf numFmtId="0" fontId="8" fillId="9" borderId="3" xfId="0" applyNumberFormat="1" applyFont="1" applyFill="1" applyBorder="1" applyAlignment="1">
      <x:alignment wrapText="1"/>
    </x:xf>
    <x:xf numFmtId="0" fontId="8" fillId="9" borderId="4" xfId="0" applyNumberFormat="1" applyFont="1" applyFill="1" applyBorder="1" applyAlignment="1">
      <x:alignment wrapText="1"/>
    </x:xf>
    <x:xf numFmtId="0" fontId="8" fillId="9" borderId="5" xfId="0" applyNumberFormat="1" applyFont="1" applyFill="1" applyBorder="1" applyAlignment="1">
      <x:alignment wrapText="1"/>
    </x:xf>
    <x:xf numFmtId="0" fontId="8" fillId="9" borderId="0" xfId="0" applyNumberFormat="1" applyFont="1" applyFill="1" applyBorder="1" applyAlignment="1">
      <x:alignment wrapText="1"/>
    </x:xf>
    <x:xf numFmtId="0" fontId="8" fillId="9" borderId="6" xfId="0" applyNumberFormat="1" applyFont="1" applyFill="1" applyBorder="1" applyAlignment="1">
      <x:alignment wrapText="1"/>
    </x:xf>
    <x:xf numFmtId="0" fontId="8" fillId="9" borderId="7" xfId="0" applyNumberFormat="1" applyFont="1" applyFill="1" applyBorder="1" applyAlignment="1">
      <x:alignment wrapText="1"/>
    </x:xf>
    <x:xf numFmtId="0" fontId="8" fillId="9" borderId="8" xfId="0" applyNumberFormat="1" applyFont="1" applyFill="1" applyBorder="1" applyAlignment="1">
      <x:alignment wrapText="1"/>
    </x:xf>
    <x:xf numFmtId="0" fontId="8" fillId="9" borderId="9" xfId="0" applyNumberFormat="1" applyFont="1" applyFill="1" applyBorder="1" applyAlignment="1">
      <x:alignment wrapText="1"/>
    </x:xf>
    <x:xf numFmtId="0" fontId="8" fillId="9" borderId="2" xfId="0" applyNumberFormat="1" applyFont="1" applyFill="1" applyBorder="1" applyAlignment="1">
      <x:alignment vertical="center" wrapText="1"/>
    </x:xf>
    <x:xf numFmtId="0" fontId="8" fillId="9" borderId="3" xfId="0" applyNumberFormat="1" applyFont="1" applyFill="1" applyBorder="1" applyAlignment="1">
      <x:alignment vertical="center" wrapText="1"/>
    </x:xf>
    <x:xf numFmtId="0" fontId="8" fillId="9" borderId="4" xfId="0" applyNumberFormat="1" applyFont="1" applyFill="1" applyBorder="1" applyAlignment="1">
      <x:alignment vertical="center" wrapText="1"/>
    </x:xf>
    <x:xf numFmtId="0" fontId="8" fillId="9" borderId="5" xfId="0" applyNumberFormat="1" applyFont="1" applyFill="1" applyBorder="1" applyAlignment="1">
      <x:alignment vertical="center" wrapText="1"/>
    </x:xf>
    <x:xf numFmtId="0" fontId="8" fillId="9" borderId="0" xfId="0" applyNumberFormat="1" applyFont="1" applyFill="1" applyBorder="1" applyAlignment="1">
      <x:alignment vertical="center" wrapText="1"/>
    </x:xf>
    <x:xf numFmtId="0" fontId="8" fillId="9" borderId="6" xfId="0" applyNumberFormat="1" applyFont="1" applyFill="1" applyBorder="1" applyAlignment="1">
      <x:alignment vertical="center" wrapText="1"/>
    </x:xf>
    <x:xf numFmtId="0" fontId="8" fillId="9" borderId="7" xfId="0" applyNumberFormat="1" applyFont="1" applyFill="1" applyBorder="1" applyAlignment="1">
      <x:alignment vertical="center" wrapText="1"/>
    </x:xf>
    <x:xf numFmtId="0" fontId="8" fillId="9" borderId="8" xfId="0" applyNumberFormat="1" applyFont="1" applyFill="1" applyBorder="1" applyAlignment="1">
      <x:alignment vertical="center" wrapText="1"/>
    </x:xf>
    <x:xf numFmtId="0" fontId="8" fillId="9" borderId="9" xfId="0" applyNumberFormat="1" applyFont="1" applyFill="1" applyBorder="1" applyAlignment="1">
      <x:alignment vertical="center" wrapText="1"/>
    </x:xf>
    <x:xf numFmtId="0" fontId="8" fillId="9" borderId="1" xfId="0" applyNumberFormat="1" applyFont="1" applyFill="1" applyBorder="1"/>
    <x:xf numFmtId="0" fontId="8" fillId="9" borderId="1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/>
    <x:xf numFmtId="0" fontId="1" fillId="10" borderId="1" xfId="0" applyNumberFormat="1" applyFont="1" applyFill="1" applyBorder="1"/>
    <x:xf numFmtId="0" fontId="1" fillId="10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7" fillId="9" borderId="1" xfId="0" applyNumberFormat="1" applyFont="1" applyFill="1" applyBorder="1" applyAlignment="1">
      <x:alignment vertical="center" wrapText="1"/>
    </x:xf>
    <x:xf numFmtId="0" fontId="9" fillId="9" borderId="1" xfId="0" applyNumberFormat="1" applyFont="1" applyFill="1" applyBorder="1" applyAlignment="1">
      <x:alignment vertical="center" wrapText="1"/>
    </x:xf>
    <x:xf numFmtId="0" fontId="7" fillId="10" borderId="1" xfId="0" applyNumberFormat="1" applyFont="1" applyFill="1" applyBorder="1" applyAlignment="1">
      <x:alignment vertical="center" wrapText="1"/>
    </x:xf>
    <x:xf numFmtId="200" fontId="8" fillId="9" borderId="1" xfId="0" applyNumberFormat="1" applyFont="1" applyFill="1" applyBorder="1" applyAlignment="1">
      <x:alignment vertical="center"/>
    </x:xf>
    <x:xf numFmtId="200" fontId="1" fillId="10" borderId="1" xfId="0" applyNumberFormat="1" applyFont="1" applyFill="1" applyBorder="1" applyAlignment="1">
      <x:alignment vertical="center"/>
    </x:xf>
    <x:xf numFmtId="200" fontId="9" fillId="9" borderId="1" xfId="0" applyNumberFormat="1" applyFont="1" applyFill="1" applyBorder="1" applyAlignment="1">
      <x:alignment vertical="center" wrapText="1"/>
    </x:xf>
    <x:xf numFmtId="200" fontId="7" fillId="10" borderId="1" xfId="0" applyNumberFormat="1" applyFont="1" applyFill="1" applyBorder="1" applyAlignment="1">
      <x:alignment vertical="center" wrapText="1"/>
    </x:xf>
    <x:xf numFmtId="0" fontId="8" fillId="9" borderId="1" xfId="0" applyNumberFormat="1" applyFont="1" applyFill="1" applyBorder="1" applyAlignment="1">
      <x:alignment vertical="center" wrapText="1"/>
    </x:xf>
    <x:xf numFmtId="200" fontId="1" fillId="10" borderId="1" xfId="0" applyNumberFormat="1" applyFont="1" applyFill="1" applyBorder="1" applyAlignment="1">
      <x:alignment vertical="center" wrapText="1"/>
    </x:xf>
    <x:xf numFmtId="202" fontId="1" fillId="10" borderId="1" xfId="0" applyNumberFormat="1" applyFont="1" applyFill="1" applyBorder="1" applyAlignment="1">
      <x:alignment vertical="center" wrapText="1"/>
    </x:xf>
    <x:xf numFmtId="200" fontId="8" fillId="9" borderId="1" xfId="0" applyNumberFormat="1" applyFont="1" applyFill="1" applyBorder="1" applyAlignment="1">
      <x:alignment vertical="center" wrapText="1"/>
    </x:xf>
    <x:xf numFmtId="203" fontId="1" fillId="10" borderId="1" xfId="0" applyNumberFormat="1" applyFont="1" applyFill="1" applyBorder="1" applyAlignment="1">
      <x:alignment vertical="center" wrapText="1"/>
    </x:xf>
    <x:xf numFmtId="0" fontId="8" fillId="2" borderId="1" xfId="0" applyNumberFormat="1" applyFont="1" applyFill="1" applyBorder="1" applyAlignment="1">
      <x:alignment vertical="center"/>
    </x:xf>
    <x:xf numFmtId="203" fontId="1" fillId="2" borderId="1" xfId="0" applyNumberFormat="1" applyFont="1" applyFill="1" applyBorder="1" applyAlignment="1">
      <x:alignment vertical="center" wrapText="1"/>
    </x:xf>
    <x:xf numFmtId="0" fontId="10" fillId="7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b/>
        <x:color rgb="FF4A7C5E"/>
      </x:font>
      <x:fill>
        <x:patternFill patternType="solid">
          <x:bgColor rgb="FFDDEFE2"/>
        </x:patternFill>
      </x:fill>
    </x:dxf>
    <x:dxf>
      <x:font>
        <x:b/>
        <x:color rgb="FF9C4A2B"/>
      </x:font>
      <x:fill>
        <x:patternFill patternType="solid">
          <x:bgColor rgb="FFF6E8E1"/>
        </x:patternFill>
      </x:fill>
    </x:dxf>
    <x:dxf>
      <x:font>
        <x:b/>
        <x:color rgb="FF4A7C5E"/>
      </x:font>
      <x:fill>
        <x:patternFill patternType="solid">
          <x:bgColor rgb="FFDDEFE2"/>
        </x:patternFill>
      </x:fill>
    </x:dxf>
    <x:dxf>
      <x:font>
        <x:b/>
        <x:color rgb="FF9C4A2B"/>
      </x:font>
      <x:fill>
        <x:patternFill patternType="solid">
          <x:bgColor rgb="FFF6E8E1"/>
        </x:patternFill>
      </x:fill>
    </x:dxf>
    <x:dxf>
      <x:font>
        <x:b/>
        <x:color rgb="FF4A7C5E"/>
      </x:font>
      <x:fill>
        <x:patternFill patternType="solid">
          <x:bgColor rgb="FFDDEFE2"/>
        </x:patternFill>
      </x:fill>
    </x:dxf>
    <x:dxf>
      <x:font>
        <x:b/>
        <x:color rgb="FF9C4A2B"/>
      </x:font>
      <x:fill>
        <x:patternFill patternType="solid">
          <x:bgColor rgb="FFF6E8E1"/>
        </x:patternFill>
      </x:fill>
    </x:dxf>
    <x:dxf>
      <x:font>
        <x:b/>
        <x:color rgb="FF4A7C5E"/>
      </x:font>
      <x:fill>
        <x:patternFill patternType="solid">
          <x:bgColor rgb="FFDDEFE2"/>
        </x:patternFill>
      </x:fill>
    </x:dxf>
    <x:dxf>
      <x:font>
        <x:b/>
        <x:color rgb="FF9C4A2B"/>
      </x:font>
      <x:fill>
        <x:patternFill patternType="solid">
          <x:bgColor rgb="FFF6E8E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ffce94993547d8" /><Relationship Type="http://schemas.openxmlformats.org/officeDocument/2006/relationships/theme" Target="/xl/theme/theme1.xml" Id="R03c5bbdd98fa4b7e" /><Relationship Type="http://schemas.openxmlformats.org/officeDocument/2006/relationships/sharedStrings" Target="/xl/sharedStrings.xml" Id="R978eb3376b6d4377" /><Relationship Type="http://schemas.openxmlformats.org/officeDocument/2006/relationships/worksheet" Target="/xl/worksheets/sheet1.xml" Id="R9de7c5c7b70a4858" /><Relationship Type="http://schemas.openxmlformats.org/officeDocument/2006/relationships/worksheet" Target="/xl/worksheets/sheet2.xml" Id="R3f8dda8344824aa9" /><Relationship Type="http://schemas.openxmlformats.org/officeDocument/2006/relationships/worksheet" Target="/xl/worksheets/sheet3.xml" Id="Rc643b68cd75946bc" /><Relationship Type="http://schemas.openxmlformats.org/officeDocument/2006/relationships/worksheet" Target="/xl/worksheets/sheet4.xml" Id="R741bea699ce24b73" /><Relationship Type="http://schemas.openxmlformats.org/officeDocument/2006/relationships/worksheet" Target="/xl/worksheets/sheet5.xml" Id="R78c78ba12a8e408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4" hidden="0" customWidth="1"/>
    <x:col min="3" max="3" width="58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1" ht="34" customHeight="1">
      <x:c r="A1" s="5" t="str">
        <x:v>BUS123 · MATH-M06 · Tidal Goods Co. — Inventory, COGS &amp; Overhead</x:v>
      </x:c>
      <x:c r="B1" s="5"/>
      <x:c r="C1" s="5"/>
      <x:c r="D1" s="5"/>
      <x:c r="E1" s="5"/>
      <x:c r="F1" s="5"/>
      <x:c r="G1" s="5"/>
      <x:c r="H1" s="5"/>
      <x:c r="I1" s="2"/>
      <x:c r="J1" s="2"/>
      <x:c r="K1" s="2"/>
    </x:row>
    <x:row r="2" ht="24" customHeight="1">
      <x:c r="A2" s="8" t="str">
        <x:v>Integrated in-class workbook · raw data → management model → controls → decision brief</x:v>
      </x:c>
      <x:c r="B2" s="8"/>
      <x:c r="C2" s="8"/>
      <x:c r="D2" s="8"/>
      <x:c r="E2" s="8"/>
      <x:c r="F2" s="8"/>
      <x:c r="G2" s="8"/>
      <x:c r="H2" s="8"/>
      <x:c r="I2" s="2"/>
      <x:c r="J2" s="2"/>
      <x:c r="K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4" customHeight="1">
      <x:c r="A4" s="11" t="str">
        <x:v>How to Use This Workbook</x:v>
      </x:c>
      <x:c r="B4" s="11" t="str">
        <x:v>How to Use This Workbook</x:v>
      </x:c>
      <x:c r="C4" s="11" t="str">
        <x:v>How to Use This Workbook</x:v>
      </x:c>
      <x:c r="D4" s="11" t="str">
        <x:v>How to Use This Workbook</x:v>
      </x:c>
      <x:c r="E4" s="11" t="str">
        <x:v>How to Use This Workbook</x:v>
      </x:c>
      <x:c r="F4" s="11" t="str">
        <x:v>How to Use This Workbook</x:v>
      </x:c>
      <x:c r="G4" s="11" t="str">
        <x:v>How to Use This Workbook</x:v>
      </x:c>
      <x:c r="H4" s="11" t="str">
        <x:v>How to Use This Workbook</x:v>
      </x:c>
      <x:c r="I4" s="2"/>
      <x:c r="J4" s="2"/>
      <x:c r="K4" s="2"/>
    </x:row>
    <x:row r="5" ht="30" customHeight="1">
      <x:c r="A5" s="16" t="str">
        <x:v>Step</x:v>
      </x:c>
      <x:c r="B5" s="16" t="str">
        <x:v>Sheet</x:v>
      </x:c>
      <x:c r="C5" s="16" t="str">
        <x:v>Student move</x:v>
      </x:c>
      <x:c r="D5" s="16" t="str">
        <x:v>Evidence of completion</x:v>
      </x:c>
      <x:c r="E5" s="2"/>
      <x:c r="F5" s="2"/>
      <x:c r="G5" s="2"/>
      <x:c r="H5" s="2"/>
      <x:c r="I5" s="2"/>
      <x:c r="J5" s="2"/>
      <x:c r="K5" s="2"/>
    </x:row>
    <x:row r="6" ht="42" customHeight="1">
      <x:c r="A6" s="20" t="n">
        <x:v>1</x:v>
      </x:c>
      <x:c r="B6" s="19" t="str">
        <x:v>Raw Data</x:v>
      </x:c>
      <x:c r="C6" s="19" t="str">
        <x:v>Read the case inputs. Do not overwrite the source table.</x:v>
      </x:c>
      <x:c r="D6" s="19" t="str">
        <x:v>You can explain the unit and cost totals.</x:v>
      </x:c>
      <x:c r="E6" s="2"/>
      <x:c r="F6" s="2"/>
      <x:c r="G6" s="2"/>
      <x:c r="H6" s="2"/>
      <x:c r="I6" s="2"/>
      <x:c r="J6" s="2"/>
      <x:c r="K6" s="2"/>
    </x:row>
    <x:row r="7" ht="42" customHeight="1">
      <x:c r="A7" s="20" t="n">
        <x:v>2</x:v>
      </x:c>
      <x:c r="B7" s="19" t="str">
        <x:v>Management Model</x:v>
      </x:c>
      <x:c r="C7" s="19" t="str">
        <x:v>Enter formulas only in yellow cells. Blue cells are linked source values.</x:v>
      </x:c>
      <x:c r="D7" s="19" t="str">
        <x:v>All unit, cost, and allocation controls show PASS.</x:v>
      </x:c>
      <x:c r="E7" s="2"/>
      <x:c r="F7" s="2"/>
      <x:c r="G7" s="2"/>
      <x:c r="H7" s="2"/>
      <x:c r="I7" s="2"/>
      <x:c r="J7" s="2"/>
      <x:c r="K7" s="2"/>
    </x:row>
    <x:row r="8" ht="42" customHeight="1">
      <x:c r="A8" s="20" t="n">
        <x:v>3</x:v>
      </x:c>
      <x:c r="B8" s="19" t="str">
        <x:v>Formula Reference</x:v>
      </x:c>
      <x:c r="C8" s="19" t="str">
        <x:v>Use after deciding what the numerator, denominator, and business logic should be.</x:v>
      </x:c>
      <x:c r="D8" s="19" t="str">
        <x:v>Your formula references cells instead of hard-coding answers.</x:v>
      </x:c>
      <x:c r="E8" s="2"/>
      <x:c r="F8" s="2"/>
      <x:c r="G8" s="2"/>
      <x:c r="H8" s="2"/>
      <x:c r="I8" s="2"/>
      <x:c r="J8" s="2"/>
      <x:c r="K8" s="2"/>
    </x:row>
    <x:row r="9" ht="42" customHeight="1">
      <x:c r="A9" s="20" t="n">
        <x:v>4</x:v>
      </x:c>
      <x:c r="B9" s="19" t="str">
        <x:v>Decision Brief</x:v>
      </x:c>
      <x:c r="C9" s="19" t="str">
        <x:v>Translate the model into an action, evidence, risk, and control.</x:v>
      </x:c>
      <x:c r="D9" s="19" t="str">
        <x:v>Another manager could reproduce your recommendation.</x:v>
      </x:c>
      <x:c r="E9" s="2"/>
      <x:c r="F9" s="2"/>
      <x:c r="G9" s="2"/>
      <x:c r="H9" s="2"/>
      <x:c r="I9" s="2"/>
      <x:c r="J9" s="2"/>
      <x:c r="K9" s="2"/>
    </x:row>
    <x:row r="10" ht="42" customHeight="1">
      <x:c r="A10" s="20" t="n">
        <x:v>5</x:v>
      </x:c>
      <x:c r="B10" s="19" t="str">
        <x:v>Final check</x:v>
      </x:c>
      <x:c r="C10" s="19" t="str">
        <x:v>Review the downside scenario and submit the completed workbook.</x:v>
      </x:c>
      <x:c r="D10" s="19" t="str">
        <x:v>Your recommendation changes if the evidence changes.</x:v>
      </x:c>
      <x:c r="E10" s="2"/>
      <x:c r="F10" s="2"/>
      <x:c r="G10" s="2"/>
      <x:c r="H10" s="2"/>
      <x:c r="I10" s="2"/>
      <x:c r="J10" s="2"/>
      <x:c r="K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</x:row>
    <x:row r="12" ht="24" customHeight="1">
      <x:c r="A12" s="23" t="str">
        <x:v>Learning Targets</x:v>
      </x:c>
      <x:c r="B12" s="23" t="str">
        <x:v>Learning Targets</x:v>
      </x:c>
      <x:c r="C12" s="23" t="str">
        <x:v>Learning Targets</x:v>
      </x:c>
      <x:c r="D12" s="23" t="str">
        <x:v>Learning Targets</x:v>
      </x:c>
      <x:c r="E12" s="23" t="str">
        <x:v>Learning Targets</x:v>
      </x:c>
      <x:c r="F12" s="23" t="str">
        <x:v>Learning Targets</x:v>
      </x:c>
      <x:c r="G12" s="23" t="str">
        <x:v>Learning Targets</x:v>
      </x:c>
      <x:c r="H12" s="23" t="str">
        <x:v>Learning Targets</x:v>
      </x:c>
      <x:c r="I12" s="2"/>
      <x:c r="J12" s="2"/>
      <x:c r="K12" s="2"/>
    </x:row>
    <x:row r="13" ht="30" customHeight="1">
      <x:c r="A13" s="26" t="str">
        <x:v>I can</x:v>
      </x:c>
      <x:c r="B13" s="19" t="str">
        <x:v>calculate FIFO and weighted-average COGS with unequal purchase quantities.</x:v>
      </x:c>
      <x:c r="C13" s="19"/>
      <x:c r="D13" s="19"/>
      <x:c r="E13" s="19"/>
      <x:c r="F13" s="19"/>
      <x:c r="G13" s="19"/>
      <x:c r="H13" s="19"/>
      <x:c r="I13" s="2"/>
      <x:c r="J13" s="2"/>
      <x:c r="K13" s="2"/>
    </x:row>
    <x:row r="14" ht="30" customHeight="1">
      <x:c r="A14" s="26" t="str">
        <x:v>I can</x:v>
      </x:c>
      <x:c r="B14" s="19" t="str">
        <x:v>build and reconcile a complete COGS schedule.</x:v>
      </x:c>
      <x:c r="C14" s="19"/>
      <x:c r="D14" s="19"/>
      <x:c r="E14" s="19"/>
      <x:c r="F14" s="19"/>
      <x:c r="G14" s="19"/>
      <x:c r="H14" s="19"/>
      <x:c r="I14" s="2"/>
      <x:c r="J14" s="2"/>
      <x:c r="K14" s="2"/>
    </x:row>
    <x:row r="15" ht="30" customHeight="1">
      <x:c r="A15" s="26" t="str">
        <x:v>I can</x:v>
      </x:c>
      <x:c r="B15" s="19" t="str">
        <x:v>choose a defensible allocation driver for each overhead cost pool.</x:v>
      </x:c>
      <x:c r="C15" s="19"/>
      <x:c r="D15" s="19"/>
      <x:c r="E15" s="19"/>
      <x:c r="F15" s="19"/>
      <x:c r="G15" s="19"/>
      <x:c r="H15" s="19"/>
      <x:c r="I15" s="2"/>
      <x:c r="J15" s="2"/>
      <x:c r="K15" s="2"/>
    </x:row>
    <x:row r="16" ht="30" customHeight="1">
      <x:c r="A16" s="26" t="str">
        <x:v>I can</x:v>
      </x:c>
      <x:c r="B16" s="19" t="str">
        <x:v>recommend an action and name the risk and control behind it.</x:v>
      </x:c>
      <x:c r="C16" s="19"/>
      <x:c r="D16" s="19"/>
      <x:c r="E16" s="19"/>
      <x:c r="F16" s="19"/>
      <x:c r="G16" s="19"/>
      <x:c r="H16" s="19"/>
      <x:c r="I16" s="2"/>
      <x:c r="J16" s="2"/>
      <x:c r="K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</x:row>
    <x:row r="18" ht="24" customHeight="1">
      <x:c r="A18" s="29" t="str">
        <x:v>Color Key</x:v>
      </x:c>
      <x:c r="B18" s="29" t="str">
        <x:v>Color Key</x:v>
      </x:c>
      <x:c r="C18" s="29" t="str">
        <x:v>Color Key</x:v>
      </x:c>
      <x:c r="D18" s="29" t="str">
        <x:v>Color Key</x:v>
      </x:c>
      <x:c r="E18" s="29" t="str">
        <x:v>Color Key</x:v>
      </x:c>
      <x:c r="F18" s="29" t="str">
        <x:v>Color Key</x:v>
      </x:c>
      <x:c r="G18" s="29" t="str">
        <x:v>Color Key</x:v>
      </x:c>
      <x:c r="H18" s="29" t="str">
        <x:v>Color Key</x:v>
      </x:c>
      <x:c r="I18" s="2"/>
      <x:c r="J18" s="2"/>
      <x:c r="K18" s="2"/>
    </x:row>
    <x:row r="19">
      <x:c r="A19" s="30" t="str">
        <x:v>BLUE</x:v>
      </x:c>
      <x:c r="B19" s="19" t="str">
        <x:v>Linked source value</x:v>
      </x:c>
      <x:c r="C19" s="31" t="str">
        <x:v>YELLOW</x:v>
      </x:c>
      <x:c r="D19" s="19" t="str">
        <x:v>Enter a formula or choice</x:v>
      </x:c>
      <x:c r="E19" s="2"/>
      <x:c r="F19" s="2"/>
      <x:c r="G19" s="2"/>
      <x:c r="H19" s="2"/>
      <x:c r="I19" s="2"/>
      <x:c r="J19" s="2"/>
      <x:c r="K19" s="2"/>
    </x:row>
    <x:row r="20">
      <x:c r="A20" s="32" t="str">
        <x:v>GREEN</x:v>
      </x:c>
      <x:c r="B20" s="19" t="str">
        <x:v>Control passed</x:v>
      </x:c>
      <x:c r="C20" s="33" t="str">
        <x:v>RED</x:v>
      </x:c>
      <x:c r="D20" s="19" t="str">
        <x:v>Review the model</x:v>
      </x:c>
      <x:c r="E20" s="2"/>
      <x:c r="F20" s="2"/>
      <x:c r="G20" s="2"/>
      <x:c r="H20" s="2"/>
      <x:c r="I20" s="2"/>
      <x:c r="J20" s="2"/>
      <x:c r="K20" s="2"/>
    </x:row>
    <x:row r="21">
      <x:c r="A21" s="19" t="str">
        <x:v>WHITE</x:v>
      </x:c>
      <x:c r="B21" s="19" t="str">
        <x:v>Instruction or explanation</x:v>
      </x:c>
      <x:c r="C21" s="19" t="str"/>
      <x:c r="D21" s="19" t="str"/>
      <x:c r="E21" s="2"/>
      <x:c r="F21" s="2"/>
      <x:c r="G21" s="2"/>
      <x:c r="H21" s="2"/>
      <x:c r="I21" s="2"/>
      <x:c r="J21" s="2"/>
      <x:c r="K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</x:row>
  </x:sheetData>
  <x:mergeCells>
    <x:mergeCell ref="A1:H1"/>
    <x:mergeCell ref="A2:H2"/>
    <x:mergeCell ref="A4:H4"/>
    <x:mergeCell ref="A12:H12"/>
    <x:mergeCell ref="B13:H13"/>
    <x:mergeCell ref="B14:H14"/>
    <x:mergeCell ref="B15:H15"/>
    <x:mergeCell ref="B16:H16"/>
    <x:mergeCell ref="A18:H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5" t="str">
        <x:v>M06 · L01 — Raw Data | Tidal Goods Co.</x:v>
      </x:c>
      <x:c r="B1" s="5"/>
      <x:c r="C1" s="5"/>
      <x:c r="D1" s="5"/>
      <x:c r="E1" s="5"/>
      <x:c r="F1" s="5"/>
      <x:c r="G1" s="5"/>
      <x:c r="H1" s="5"/>
      <x:c r="I1" s="2"/>
      <x:c r="J1" s="2"/>
      <x:c r="K1" s="2"/>
    </x:row>
    <x:row r="2" ht="24" customHeight="1">
      <x:c r="A2" s="8" t="str">
        <x:v>Source values only · preserve this sheet so every result remains traceable</x:v>
      </x:c>
      <x:c r="B2" s="8"/>
      <x:c r="C2" s="8"/>
      <x:c r="D2" s="8"/>
      <x:c r="E2" s="8"/>
      <x:c r="F2" s="8"/>
      <x:c r="G2" s="8"/>
      <x:c r="H2" s="8"/>
      <x:c r="I2" s="2"/>
      <x:c r="J2" s="2"/>
      <x:c r="K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4" customHeight="1">
      <x:c r="A4" s="11" t="str">
        <x:v>Inventory &amp; Sales Inputs</x:v>
      </x:c>
      <x:c r="B4" s="11" t="str">
        <x:v>Inventory &amp; Sales Inputs</x:v>
      </x:c>
      <x:c r="C4" s="11" t="str">
        <x:v>Inventory &amp; Sales Inputs</x:v>
      </x:c>
      <x:c r="D4" s="11" t="str">
        <x:v>Inventory &amp; Sales Inputs</x:v>
      </x:c>
      <x:c r="E4" s="11" t="str">
        <x:v>Inventory &amp; Sales Inputs</x:v>
      </x:c>
      <x:c r="F4" s="11" t="str">
        <x:v>Inventory &amp; Sales Inputs</x:v>
      </x:c>
      <x:c r="G4" s="11" t="str">
        <x:v>Inventory &amp; Sales Inputs</x:v>
      </x:c>
      <x:c r="H4" s="11" t="str">
        <x:v>Inventory &amp; Sales Inputs</x:v>
      </x:c>
      <x:c r="I4" s="2"/>
      <x:c r="J4" s="2"/>
      <x:c r="K4" s="2"/>
    </x:row>
    <x:row r="5" ht="30" customHeight="1">
      <x:c r="A5" s="16" t="str">
        <x:v>Inventory layer</x:v>
      </x:c>
      <x:c r="B5" s="16" t="str">
        <x:v>Quantity</x:v>
      </x:c>
      <x:c r="C5" s="16" t="str">
        <x:v>Unit cost</x:v>
      </x:c>
      <x:c r="D5" s="16" t="str">
        <x:v>Layer cost</x:v>
      </x:c>
      <x:c r="E5" s="2"/>
      <x:c r="F5" s="2"/>
      <x:c r="G5" s="2"/>
      <x:c r="H5" s="2"/>
      <x:c r="I5" s="2"/>
      <x:c r="J5" s="2"/>
      <x:c r="K5" s="2"/>
    </x:row>
    <x:row r="6">
      <x:c r="A6" s="19" t="str">
        <x:v>Beginning inventory</x:v>
      </x:c>
      <x:c r="B6" s="19" t="n">
        <x:v>8</x:v>
      </x:c>
      <x:c r="C6" s="35" t="n">
        <x:v>205</x:v>
      </x:c>
      <x:c r="D6" s="35" t="n">
        <x:f>B6*C6</x:f>
        <x:v>1640</x:v>
      </x:c>
      <x:c r="E6" s="2"/>
      <x:c r="F6" s="2"/>
      <x:c r="G6" s="2"/>
      <x:c r="H6" s="2"/>
      <x:c r="I6" s="2"/>
      <x:c r="J6" s="2"/>
      <x:c r="K6" s="2"/>
    </x:row>
    <x:row r="7">
      <x:c r="A7" s="19" t="str">
        <x:v>March purchase</x:v>
      </x:c>
      <x:c r="B7" s="19" t="n">
        <x:v>12</x:v>
      </x:c>
      <x:c r="C7" s="35" t="n">
        <x:v>232</x:v>
      </x:c>
      <x:c r="D7" s="35" t="n">
        <x:f>B7*C7</x:f>
        <x:v>2784</x:v>
      </x:c>
      <x:c r="E7" s="2"/>
      <x:c r="F7" s="2"/>
      <x:c r="G7" s="2"/>
      <x:c r="H7" s="2"/>
      <x:c r="I7" s="2"/>
      <x:c r="J7" s="2"/>
      <x:c r="K7" s="2"/>
    </x:row>
    <x:row r="8">
      <x:c r="A8" s="19" t="str">
        <x:v>April purchase</x:v>
      </x:c>
      <x:c r="B8" s="19" t="n">
        <x:v>10</x:v>
      </x:c>
      <x:c r="C8" s="35" t="n">
        <x:v>258</x:v>
      </x:c>
      <x:c r="D8" s="35" t="n">
        <x:f>B8*C8</x:f>
        <x:v>2580</x:v>
      </x:c>
      <x:c r="E8" s="2"/>
      <x:c r="F8" s="2"/>
      <x:c r="G8" s="2"/>
      <x:c r="H8" s="2"/>
      <x:c r="I8" s="2"/>
      <x:c r="J8" s="2"/>
      <x:c r="K8" s="2"/>
    </x:row>
    <x:row r="9">
      <x:c r="A9" s="34" t="str">
        <x:v>Goods available</x:v>
      </x:c>
      <x:c r="B9" s="34" t="n">
        <x:v>30</x:v>
      </x:c>
      <x:c r="C9" s="36"/>
      <x:c r="D9" s="36" t="n">
        <x:f>SUM(D6:D8)</x:f>
        <x:v>7004</x:v>
      </x:c>
      <x:c r="E9" s="2"/>
      <x:c r="F9" s="2"/>
      <x:c r="G9" s="2"/>
      <x:c r="H9" s="2"/>
      <x:c r="I9" s="2"/>
      <x:c r="J9" s="2"/>
      <x:c r="K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</x:row>
    <x:row r="11" ht="30" customHeight="1">
      <x:c r="A11" s="16" t="str">
        <x:v>Sales input</x:v>
      </x:c>
      <x:c r="B11" s="16" t="str">
        <x:v>Value</x:v>
      </x:c>
      <x:c r="C11" s="2"/>
      <x:c r="D11" s="2"/>
      <x:c r="E11" s="2"/>
      <x:c r="F11" s="2"/>
      <x:c r="G11" s="2"/>
      <x:c r="H11" s="2"/>
      <x:c r="I11" s="2"/>
      <x:c r="J11" s="2"/>
      <x:c r="K11" s="2"/>
    </x:row>
    <x:row r="12">
      <x:c r="A12" s="19" t="str">
        <x:v>Units sold</x:v>
      </x:c>
      <x:c r="B12" s="19" t="n">
        <x:v>19</x:v>
      </x:c>
      <x:c r="C12" s="2"/>
      <x:c r="D12" s="2"/>
      <x:c r="E12" s="2"/>
      <x:c r="F12" s="2"/>
      <x:c r="G12" s="2"/>
      <x:c r="H12" s="2"/>
      <x:c r="I12" s="2"/>
      <x:c r="J12" s="2"/>
      <x:c r="K12" s="2"/>
    </x:row>
    <x:row r="13">
      <x:c r="A13" s="19" t="str">
        <x:v>Selling price per unit</x:v>
      </x:c>
      <x:c r="B13" s="35" t="n">
        <x:v>420</x:v>
      </x:c>
      <x:c r="C13" s="2"/>
      <x:c r="D13" s="2"/>
      <x:c r="E13" s="2"/>
      <x:c r="F13" s="2"/>
      <x:c r="G13" s="2"/>
      <x:c r="H13" s="2"/>
      <x:c r="I13" s="2"/>
      <x:c r="J13" s="2"/>
      <x:c r="K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</x:row>
    <x:row r="16" ht="24" customHeight="1">
      <x:c r="A16" s="23" t="str">
        <x:v>Department Driver Data</x:v>
      </x:c>
      <x:c r="B16" s="23" t="str">
        <x:v>Department Driver Data</x:v>
      </x:c>
      <x:c r="C16" s="23" t="str">
        <x:v>Department Driver Data</x:v>
      </x:c>
      <x:c r="D16" s="23" t="str">
        <x:v>Department Driver Data</x:v>
      </x:c>
      <x:c r="E16" s="23" t="str">
        <x:v>Department Driver Data</x:v>
      </x:c>
      <x:c r="F16" s="23" t="str">
        <x:v>Department Driver Data</x:v>
      </x:c>
      <x:c r="G16" s="23" t="str">
        <x:v>Department Driver Data</x:v>
      </x:c>
      <x:c r="H16" s="23" t="str">
        <x:v>Department Driver Data</x:v>
      </x:c>
      <x:c r="I16" s="2"/>
      <x:c r="J16" s="2"/>
      <x:c r="K16" s="2"/>
    </x:row>
    <x:row r="17" ht="30" customHeight="1">
      <x:c r="A17" s="16" t="str">
        <x:v>Driver</x:v>
      </x:c>
      <x:c r="B17" s="16" t="str">
        <x:v>Surf Shop</x:v>
      </x:c>
      <x:c r="C17" s="16" t="str">
        <x:v>Online Warehouse</x:v>
      </x:c>
      <x:c r="D17" s="2"/>
      <x:c r="E17" s="2"/>
      <x:c r="F17" s="2"/>
      <x:c r="G17" s="2"/>
      <x:c r="H17" s="2"/>
      <x:c r="I17" s="2"/>
      <x:c r="J17" s="2"/>
      <x:c r="K17" s="2"/>
    </x:row>
    <x:row r="18">
      <x:c r="A18" s="19" t="str">
        <x:v>Square footage</x:v>
      </x:c>
      <x:c r="B18" s="19" t="n">
        <x:v>2400</x:v>
      </x:c>
      <x:c r="C18" s="19" t="n">
        <x:v>1600</x:v>
      </x:c>
      <x:c r="D18" s="2"/>
      <x:c r="E18" s="2"/>
      <x:c r="F18" s="2"/>
      <x:c r="G18" s="2"/>
      <x:c r="H18" s="2"/>
      <x:c r="I18" s="2"/>
      <x:c r="J18" s="2"/>
      <x:c r="K18" s="2"/>
    </x:row>
    <x:row r="19">
      <x:c r="A19" s="19" t="str">
        <x:v>Revenue</x:v>
      </x:c>
      <x:c r="B19" s="37" t="n">
        <x:v>66000</x:v>
      </x:c>
      <x:c r="C19" s="37" t="n">
        <x:v>44000</x:v>
      </x:c>
      <x:c r="D19" s="2"/>
      <x:c r="E19" s="2"/>
      <x:c r="F19" s="2"/>
      <x:c r="G19" s="2"/>
      <x:c r="H19" s="2"/>
      <x:c r="I19" s="2"/>
      <x:c r="J19" s="2"/>
      <x:c r="K19" s="2"/>
    </x:row>
    <x:row r="20">
      <x:c r="A20" s="19" t="str">
        <x:v>Direct labor hours</x:v>
      </x:c>
      <x:c r="B20" s="19" t="n">
        <x:v>620</x:v>
      </x:c>
      <x:c r="C20" s="19" t="n">
        <x:v>380</x:v>
      </x:c>
      <x:c r="D20" s="2"/>
      <x:c r="E20" s="2"/>
      <x:c r="F20" s="2"/>
      <x:c r="G20" s="2"/>
      <x:c r="H20" s="2"/>
      <x:c r="I20" s="2"/>
      <x:c r="J20" s="2"/>
      <x:c r="K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 ht="24" customHeight="1">
      <x:c r="A23" s="40" t="str">
        <x:v>Monthly Overhead Cost Pools</x:v>
      </x:c>
      <x:c r="B23" s="40" t="str">
        <x:v>Monthly Overhead Cost Pools</x:v>
      </x:c>
      <x:c r="C23" s="40" t="str">
        <x:v>Monthly Overhead Cost Pools</x:v>
      </x:c>
      <x:c r="D23" s="40" t="str">
        <x:v>Monthly Overhead Cost Pools</x:v>
      </x:c>
      <x:c r="E23" s="40" t="str">
        <x:v>Monthly Overhead Cost Pools</x:v>
      </x:c>
      <x:c r="F23" s="40" t="str">
        <x:v>Monthly Overhead Cost Pools</x:v>
      </x:c>
      <x:c r="G23" s="40" t="str">
        <x:v>Monthly Overhead Cost Pools</x:v>
      </x:c>
      <x:c r="H23" s="40" t="str">
        <x:v>Monthly Overhead Cost Pools</x:v>
      </x:c>
      <x:c r="I23" s="2"/>
      <x:c r="J23" s="2"/>
      <x:c r="K23" s="2"/>
    </x:row>
    <x:row r="24" ht="30" customHeight="1">
      <x:c r="A24" s="16" t="str">
        <x:v>Cost pool</x:v>
      </x:c>
      <x:c r="B24" s="16" t="str">
        <x:v>Amount</x:v>
      </x:c>
      <x:c r="C24" s="16" t="str">
        <x:v>Likely driver from reading</x:v>
      </x:c>
      <x:c r="D24" s="2"/>
      <x:c r="E24" s="2"/>
      <x:c r="F24" s="2"/>
      <x:c r="G24" s="2"/>
      <x:c r="H24" s="2"/>
      <x:c r="I24" s="2"/>
      <x:c r="J24" s="2"/>
      <x:c r="K24" s="2"/>
    </x:row>
    <x:row r="25">
      <x:c r="A25" s="19" t="str">
        <x:v>Rent</x:v>
      </x:c>
      <x:c r="B25" s="37" t="n">
        <x:v>9000</x:v>
      </x:c>
      <x:c r="C25" s="19" t="str">
        <x:v>Square footage</x:v>
      </x:c>
      <x:c r="D25" s="2"/>
      <x:c r="E25" s="2"/>
      <x:c r="F25" s="2"/>
      <x:c r="G25" s="2"/>
      <x:c r="H25" s="2"/>
      <x:c r="I25" s="2"/>
      <x:c r="J25" s="2"/>
      <x:c r="K25" s="2"/>
    </x:row>
    <x:row r="26">
      <x:c r="A26" s="19" t="str">
        <x:v>Utilities</x:v>
      </x:c>
      <x:c r="B26" s="37" t="n">
        <x:v>4200</x:v>
      </x:c>
      <x:c r="C26" s="19" t="str">
        <x:v>Square footage or measured usage</x:v>
      </x:c>
      <x:c r="D26" s="2"/>
      <x:c r="E26" s="2"/>
      <x:c r="F26" s="2"/>
      <x:c r="G26" s="2"/>
      <x:c r="H26" s="2"/>
      <x:c r="I26" s="2"/>
      <x:c r="J26" s="2"/>
      <x:c r="K26" s="2"/>
    </x:row>
    <x:row r="27">
      <x:c r="A27" s="19" t="str">
        <x:v>Insurance</x:v>
      </x:c>
      <x:c r="B27" s="37" t="n">
        <x:v>3800</x:v>
      </x:c>
      <x:c r="C27" s="19" t="str">
        <x:v>Square footage or insured value</x:v>
      </x:c>
      <x:c r="D27" s="2"/>
      <x:c r="E27" s="2"/>
      <x:c r="F27" s="2"/>
      <x:c r="G27" s="2"/>
      <x:c r="H27" s="2"/>
      <x:c r="I27" s="2"/>
      <x:c r="J27" s="2"/>
      <x:c r="K27" s="2"/>
    </x:row>
    <x:row r="28">
      <x:c r="A28" s="19" t="str">
        <x:v>Indirect labor</x:v>
      </x:c>
      <x:c r="B28" s="37" t="n">
        <x:v>3500</x:v>
      </x:c>
      <x:c r="C28" s="19" t="str">
        <x:v>Direct labor hours or headcount</x:v>
      </x:c>
      <x:c r="D28" s="2"/>
      <x:c r="E28" s="2"/>
      <x:c r="F28" s="2"/>
      <x:c r="G28" s="2"/>
      <x:c r="H28" s="2"/>
      <x:c r="I28" s="2"/>
      <x:c r="J28" s="2"/>
      <x:c r="K28" s="2"/>
    </x:row>
    <x:row r="29">
      <x:c r="A29" s="19" t="str">
        <x:v>Maintenance</x:v>
      </x:c>
      <x:c r="B29" s="37" t="n">
        <x:v>1500</x:v>
      </x:c>
      <x:c r="C29" s="19" t="str">
        <x:v>Maintenance hours or square footage</x:v>
      </x:c>
      <x:c r="D29" s="2"/>
      <x:c r="E29" s="2"/>
      <x:c r="F29" s="2"/>
      <x:c r="G29" s="2"/>
      <x:c r="H29" s="2"/>
      <x:c r="I29" s="2"/>
      <x:c r="J29" s="2"/>
      <x:c r="K29" s="2"/>
    </x:row>
    <x:row r="30">
      <x:c r="A30" s="34" t="str">
        <x:v>Total overhead</x:v>
      </x:c>
      <x:c r="B30" s="41" t="n">
        <x:f>SUM(B25:B29)</x:f>
        <x:v>22000</x:v>
      </x:c>
      <x:c r="C30" s="34"/>
      <x:c r="D30" s="2"/>
      <x:c r="E30" s="2"/>
      <x:c r="F30" s="2"/>
      <x:c r="G30" s="2"/>
      <x:c r="H30" s="2"/>
      <x:c r="I30" s="2"/>
      <x:c r="J30" s="2"/>
      <x:c r="K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 ht="24" customHeight="1">
      <x:c r="A33" s="29" t="str">
        <x:v>Reporting Boundary</x:v>
      </x:c>
      <x:c r="B33" s="29" t="str">
        <x:v>Reporting Boundary</x:v>
      </x:c>
      <x:c r="C33" s="29" t="str">
        <x:v>Reporting Boundary</x:v>
      </x:c>
      <x:c r="D33" s="29" t="str">
        <x:v>Reporting Boundary</x:v>
      </x:c>
      <x:c r="E33" s="29" t="str">
        <x:v>Reporting Boundary</x:v>
      </x:c>
      <x:c r="F33" s="29" t="str">
        <x:v>Reporting Boundary</x:v>
      </x:c>
      <x:c r="G33" s="29" t="str">
        <x:v>Reporting Boundary</x:v>
      </x:c>
      <x:c r="H33" s="29" t="str">
        <x:v>Reporting Boundary</x:v>
      </x:c>
      <x:c r="I33" s="2"/>
      <x:c r="J33" s="2"/>
      <x:c r="K33" s="2"/>
    </x:row>
    <x:row r="34">
      <x:c r="A34" s="61" t="str">
        <x:v>Internal allocation can support department and product decisions. It does not automatically change external financial-statement classification. Purchase price and freight-in are commonly inventoriable; store rent, selling, and administrative costs are commonly period expenses under applicable reporting rules.</x:v>
      </x:c>
      <x:c r="B34" s="62"/>
      <x:c r="C34" s="62"/>
      <x:c r="D34" s="62"/>
      <x:c r="E34" s="62"/>
      <x:c r="F34" s="62"/>
      <x:c r="G34" s="62"/>
      <x:c r="H34" s="63"/>
      <x:c r="I34" s="2"/>
      <x:c r="J34" s="2"/>
      <x:c r="K34" s="2"/>
    </x:row>
    <x:row r="35">
      <x:c r="A35" s="64"/>
      <x:c r="B35" s="65"/>
      <x:c r="C35" s="65"/>
      <x:c r="D35" s="65"/>
      <x:c r="E35" s="65"/>
      <x:c r="F35" s="65"/>
      <x:c r="G35" s="65"/>
      <x:c r="H35" s="66"/>
      <x:c r="I35" s="2"/>
      <x:c r="J35" s="2"/>
      <x:c r="K35" s="2"/>
    </x:row>
    <x:row r="36">
      <x:c r="A36" s="67"/>
      <x:c r="B36" s="68"/>
      <x:c r="C36" s="68"/>
      <x:c r="D36" s="68"/>
      <x:c r="E36" s="68"/>
      <x:c r="F36" s="68"/>
      <x:c r="G36" s="68"/>
      <x:c r="H36" s="69"/>
      <x:c r="I36" s="2"/>
      <x:c r="J36" s="2"/>
      <x:c r="K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</x:row>
  </x:sheetData>
  <x:mergeCells>
    <x:mergeCell ref="A1:H1"/>
    <x:mergeCell ref="A2:H2"/>
    <x:mergeCell ref="A4:H4"/>
    <x:mergeCell ref="A16:H16"/>
    <x:mergeCell ref="A23:H23"/>
    <x:mergeCell ref="A33:H33"/>
    <x:mergeCell ref="A34:H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4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18" hidden="0" customWidth="1"/>
    <x:col min="9" max="9" width="16" hidden="0" customWidth="1"/>
  </x:cols>
  <x:sheetData>
    <x:row r="1" ht="34" customHeight="1">
      <x:c r="A1" s="5" t="str">
        <x:v>M06 · L01 — Management Model | Tidal Goods Co.</x:v>
      </x:c>
      <x:c r="B1" s="5"/>
      <x:c r="C1" s="5"/>
      <x:c r="D1" s="5"/>
      <x:c r="E1" s="5"/>
      <x:c r="F1" s="5"/>
      <x:c r="G1" s="5"/>
      <x:c r="H1" s="5"/>
      <x:c r="I1" s="5"/>
      <x:c r="J1" s="2"/>
      <x:c r="K1" s="2"/>
    </x:row>
    <x:row r="2" ht="24" customHeight="1">
      <x:c r="A2" s="8" t="str">
        <x:v>Enter formulas in yellow cells · blue cells link to Raw Data · controls must show PASS before interpretation</x:v>
      </x:c>
      <x:c r="B2" s="8"/>
      <x:c r="C2" s="8"/>
      <x:c r="D2" s="8"/>
      <x:c r="E2" s="8"/>
      <x:c r="F2" s="8"/>
      <x:c r="G2" s="8"/>
      <x:c r="H2" s="8"/>
      <x:c r="I2" s="8"/>
      <x:c r="J2" s="2"/>
      <x:c r="K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4" customHeight="1">
      <x:c r="A4" s="11" t="str">
        <x:v>1 · Inventory Layers</x:v>
      </x:c>
      <x:c r="B4" s="11" t="str">
        <x:v>1 · Inventory Layers</x:v>
      </x:c>
      <x:c r="C4" s="11" t="str">
        <x:v>1 · Inventory Layers</x:v>
      </x:c>
      <x:c r="D4" s="11" t="str">
        <x:v>1 · Inventory Layers</x:v>
      </x:c>
      <x:c r="E4" s="11" t="str">
        <x:v>1 · Inventory Layers</x:v>
      </x:c>
      <x:c r="F4" s="11" t="str">
        <x:v>1 · Inventory Layers</x:v>
      </x:c>
      <x:c r="G4" s="11" t="str">
        <x:v>1 · Inventory Layers</x:v>
      </x:c>
      <x:c r="H4" s="11" t="str">
        <x:v>1 · Inventory Layers</x:v>
      </x:c>
      <x:c r="I4" s="11" t="str">
        <x:v>1 · Inventory Layers</x:v>
      </x:c>
      <x:c r="J4" s="2"/>
      <x:c r="K4" s="2"/>
    </x:row>
    <x:row r="5" ht="30" customHeight="1">
      <x:c r="A5" s="16" t="str">
        <x:v>Layer</x:v>
      </x:c>
      <x:c r="B5" s="16" t="str">
        <x:v>Qty</x:v>
      </x:c>
      <x:c r="C5" s="16" t="str">
        <x:v>Unit cost</x:v>
      </x:c>
      <x:c r="D5" s="16" t="str">
        <x:v>Layer cost</x:v>
      </x:c>
      <x:c r="E5" s="16" t="str">
        <x:v>FIFO units to COGS</x:v>
      </x:c>
      <x:c r="F5" s="16" t="str">
        <x:v>FIFO COGS</x:v>
      </x:c>
      <x:c r="G5" s="16" t="str">
        <x:v>Units ending</x:v>
      </x:c>
      <x:c r="H5" s="16" t="str">
        <x:v>Ending inventory</x:v>
      </x:c>
      <x:c r="I5" s="16" t="str">
        <x:v>Layer check</x:v>
      </x:c>
      <x:c r="J5" s="2"/>
      <x:c r="K5" s="2"/>
    </x:row>
    <x:row r="6">
      <x:c r="A6" s="71" t="str">
        <x:f>'Raw Data'!A6</x:f>
        <x:v>Beginning inventory</x:v>
      </x:c>
      <x:c r="B6" s="71" t="n">
        <x:f>'Raw Data'!B6</x:f>
        <x:v>8</x:v>
      </x:c>
      <x:c r="C6" s="79" t="n">
        <x:f>'Raw Data'!C6</x:f>
        <x:v>205</x:v>
      </x:c>
      <x:c r="D6" s="80"/>
      <x:c r="E6" s="74"/>
      <x:c r="F6" s="80"/>
      <x:c r="G6" s="74"/>
      <x:c r="H6" s="80"/>
      <x:c r="I6" s="19" t="str">
        <x:f>IF(COUNTA(D6:H6)=0,"BUILD MODEL",IF(AND(E6+G6=B6,ABS(F6+H6-D6)&lt;0.01),"PASS","REVIEW"))</x:f>
        <x:v>BUILD MODEL</x:v>
      </x:c>
      <x:c r="J6" s="2"/>
      <x:c r="K6" s="2"/>
    </x:row>
    <x:row r="7">
      <x:c r="A7" s="71" t="str">
        <x:f>'Raw Data'!A7</x:f>
        <x:v>March purchase</x:v>
      </x:c>
      <x:c r="B7" s="71" t="n">
        <x:f>'Raw Data'!B7</x:f>
        <x:v>12</x:v>
      </x:c>
      <x:c r="C7" s="79" t="n">
        <x:f>'Raw Data'!C7</x:f>
        <x:v>232</x:v>
      </x:c>
      <x:c r="D7" s="80"/>
      <x:c r="E7" s="74"/>
      <x:c r="F7" s="80"/>
      <x:c r="G7" s="74"/>
      <x:c r="H7" s="80"/>
      <x:c r="I7" s="19" t="str">
        <x:f>IF(COUNTA(D7:H7)=0,"BUILD MODEL",IF(AND(E7+G7=B7,ABS(F7+H7-D7)&lt;0.01),"PASS","REVIEW"))</x:f>
        <x:v>BUILD MODEL</x:v>
      </x:c>
      <x:c r="J7" s="2"/>
      <x:c r="K7" s="2"/>
    </x:row>
    <x:row r="8">
      <x:c r="A8" s="71" t="str">
        <x:f>'Raw Data'!A8</x:f>
        <x:v>April purchase</x:v>
      </x:c>
      <x:c r="B8" s="71" t="n">
        <x:f>'Raw Data'!B8</x:f>
        <x:v>10</x:v>
      </x:c>
      <x:c r="C8" s="79" t="n">
        <x:f>'Raw Data'!C8</x:f>
        <x:v>258</x:v>
      </x:c>
      <x:c r="D8" s="80"/>
      <x:c r="E8" s="74"/>
      <x:c r="F8" s="80"/>
      <x:c r="G8" s="74"/>
      <x:c r="H8" s="80"/>
      <x:c r="I8" s="19" t="str">
        <x:f>IF(COUNTA(D8:H8)=0,"BUILD MODEL",IF(AND(E8+G8=B8,ABS(F8+H8-D8)&lt;0.01),"PASS","REVIEW"))</x:f>
        <x:v>BUILD MODEL</x:v>
      </x:c>
      <x:c r="J8" s="2"/>
      <x:c r="K8" s="2"/>
    </x:row>
    <x:row r="9">
      <x:c r="A9" s="34" t="str">
        <x:v>Totals</x:v>
      </x:c>
      <x:c r="B9" s="77" t="n">
        <x:f>SUM(B6:B8)</x:f>
        <x:v>30</x:v>
      </x:c>
      <x:c r="C9" s="81"/>
      <x:c r="D9" s="82"/>
      <x:c r="E9" s="78"/>
      <x:c r="F9" s="82"/>
      <x:c r="G9" s="78"/>
      <x:c r="H9" s="82"/>
      <x:c r="I9" s="34" t="str">
        <x:f>IF(COUNTA(D9:H9)=0,"BUILD MODEL",IF(AND(E9='Raw Data'!B12,G9=B9-E9,ABS(F9+H9-D9)&lt;0.01),"PASS","REVIEW"))</x:f>
        <x:v>BUILD MODEL</x:v>
      </x:c>
      <x:c r="J9" s="2"/>
      <x:c r="K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</x:row>
    <x:row r="12" ht="24" customHeight="1">
      <x:c r="A12" s="11" t="str">
        <x:v>2 · Weighted Average</x:v>
      </x:c>
      <x:c r="B12" s="11" t="str">
        <x:v>2 · Weighted Average</x:v>
      </x:c>
      <x:c r="C12" s="11" t="str">
        <x:v>2 · Weighted Average</x:v>
      </x:c>
      <x:c r="D12" s="11" t="str">
        <x:v>2 · Weighted Average</x:v>
      </x:c>
      <x:c r="E12" s="11" t="str">
        <x:v>2 · Weighted Average</x:v>
      </x:c>
      <x:c r="F12" s="11" t="str">
        <x:v>2 · Weighted Average</x:v>
      </x:c>
      <x:c r="G12" s="11" t="str">
        <x:v>2 · Weighted Average</x:v>
      </x:c>
      <x:c r="H12" s="11" t="str">
        <x:v>2 · Weighted Average</x:v>
      </x:c>
      <x:c r="I12" s="11" t="str">
        <x:v>2 · Weighted Average</x:v>
      </x:c>
      <x:c r="J12" s="2"/>
      <x:c r="K12" s="2"/>
    </x:row>
    <x:row r="13" ht="30" customHeight="1">
      <x:c r="A13" s="16" t="str">
        <x:v>Metric</x:v>
      </x:c>
      <x:c r="B13" s="16" t="str">
        <x:v>Value / formula</x:v>
      </x:c>
      <x:c r="C13" s="16" t="str">
        <x:v>Check or meaning</x:v>
      </x:c>
      <x:c r="D13" s="2"/>
      <x:c r="E13" s="16" t="str">
        <x:v>Control</x:v>
      </x:c>
      <x:c r="F13" s="16" t="str">
        <x:v>Result</x:v>
      </x:c>
      <x:c r="G13" s="16" t="str">
        <x:v>Target</x:v>
      </x:c>
      <x:c r="H13" s="16" t="str">
        <x:v>Variance</x:v>
      </x:c>
      <x:c r="I13" s="16" t="str">
        <x:v>Status</x:v>
      </x:c>
      <x:c r="J13" s="2"/>
      <x:c r="K13" s="2"/>
    </x:row>
    <x:row r="14">
      <x:c r="A14" s="19" t="str">
        <x:v>Total units available</x:v>
      </x:c>
      <x:c r="B14" s="83" t="n">
        <x:f>B9</x:f>
        <x:v>30</x:v>
      </x:c>
      <x:c r="C14" s="19" t="str">
        <x:v>Should equal 30</x:v>
      </x:c>
      <x:c r="D14" s="2"/>
      <x:c r="E14" s="19" t="str">
        <x:v>Units assigned</x:v>
      </x:c>
      <x:c r="F14" s="19" t="n">
        <x:f>SUM(E9,G9)</x:f>
        <x:v>0</x:v>
      </x:c>
      <x:c r="G14" s="19" t="n">
        <x:f>B9</x:f>
        <x:v>30</x:v>
      </x:c>
      <x:c r="H14" s="19" t="n">
        <x:f>F14-G14</x:f>
        <x:v>-30</x:v>
      </x:c>
      <x:c r="I14" s="19" t="str">
        <x:f>IF(COUNTA(E6:H9)=0,"BUILD MODEL",IF(ABS(H14)&lt;0.01,"PASS","REVIEW"))</x:f>
        <x:v>BUILD MODEL</x:v>
      </x:c>
      <x:c r="J14" s="2"/>
      <x:c r="K14" s="2"/>
    </x:row>
    <x:row r="15">
      <x:c r="A15" s="19" t="str">
        <x:v>Total cost available</x:v>
      </x:c>
      <x:c r="B15" s="84"/>
      <x:c r="C15" s="19" t="str">
        <x:v>Should equal $7,004</x:v>
      </x:c>
      <x:c r="D15" s="2"/>
      <x:c r="E15" s="19" t="str">
        <x:v>FIFO cost reconciliation</x:v>
      </x:c>
      <x:c r="F15" s="35" t="n">
        <x:f>SUM(F9,H9)</x:f>
        <x:v>0</x:v>
      </x:c>
      <x:c r="G15" s="35" t="n">
        <x:f>D9</x:f>
        <x:v>0</x:v>
      </x:c>
      <x:c r="H15" s="35" t="n">
        <x:f>F15-G15</x:f>
        <x:v>0</x:v>
      </x:c>
      <x:c r="I15" s="19" t="str">
        <x:f>IF(COUNTA(E6:H9)=0,"BUILD MODEL",IF(ABS(H15)&lt;0.01,"PASS","REVIEW"))</x:f>
        <x:v>BUILD MODEL</x:v>
      </x:c>
      <x:c r="J15" s="2"/>
      <x:c r="K15" s="2"/>
    </x:row>
    <x:row r="16">
      <x:c r="A16" s="19" t="str">
        <x:v>WAC unit cost</x:v>
      </x:c>
      <x:c r="B16" s="84"/>
      <x:c r="C16" s="19" t="str">
        <x:v>Quantity-weighted cost</x:v>
      </x:c>
      <x:c r="D16" s="2"/>
      <x:c r="E16" s="19" t="str">
        <x:v>WAC cost reconciliation</x:v>
      </x:c>
      <x:c r="F16" s="35" t="n">
        <x:f>SUM(B18,B20)</x:f>
        <x:v>0</x:v>
      </x:c>
      <x:c r="G16" s="35" t="n">
        <x:f>B15</x:f>
        <x:v>0</x:v>
      </x:c>
      <x:c r="H16" s="35" t="n">
        <x:f>F16-G16</x:f>
        <x:v>0</x:v>
      </x:c>
      <x:c r="I16" s="19" t="str">
        <x:f>IF(COUNTA(B18:B20)=0,"BUILD MODEL",IF(ABS(H16)&lt;0.01,"PASS","REVIEW"))</x:f>
        <x:v>BUILD MODEL</x:v>
      </x:c>
      <x:c r="J16" s="2"/>
      <x:c r="K16" s="2"/>
    </x:row>
    <x:row r="17">
      <x:c r="A17" s="19" t="str">
        <x:v>Units sold</x:v>
      </x:c>
      <x:c r="B17" s="83" t="n">
        <x:f>'Raw Data'!B12</x:f>
        <x:v>19</x:v>
      </x:c>
      <x:c r="C17" s="19" t="str">
        <x:v>Source value</x:v>
      </x:c>
      <x:c r="D17" s="2"/>
      <x:c r="E17" s="2"/>
      <x:c r="F17" s="2"/>
      <x:c r="G17" s="2"/>
      <x:c r="H17" s="2"/>
      <x:c r="I17" s="2"/>
      <x:c r="J17" s="2"/>
      <x:c r="K17" s="2"/>
    </x:row>
    <x:row r="18">
      <x:c r="A18" s="19" t="str">
        <x:v>WAC COGS</x:v>
      </x:c>
      <x:c r="B18" s="84"/>
      <x:c r="C18" s="19" t="str">
        <x:v>Units sold × WAC cost</x:v>
      </x:c>
      <x:c r="D18" s="2"/>
      <x:c r="E18" s="2"/>
      <x:c r="F18" s="2"/>
      <x:c r="G18" s="2"/>
      <x:c r="H18" s="2"/>
      <x:c r="I18" s="2"/>
      <x:c r="J18" s="2"/>
      <x:c r="K18" s="2"/>
    </x:row>
    <x:row r="19">
      <x:c r="A19" s="19" t="str">
        <x:v>Ending units</x:v>
      </x:c>
      <x:c r="B19" s="85"/>
      <x:c r="C19" s="19" t="str">
        <x:v>Available − sold</x:v>
      </x:c>
      <x:c r="D19" s="2"/>
      <x:c r="E19" s="2"/>
      <x:c r="F19" s="2"/>
      <x:c r="G19" s="2"/>
      <x:c r="H19" s="2"/>
      <x:c r="I19" s="2"/>
      <x:c r="J19" s="2"/>
      <x:c r="K19" s="2"/>
    </x:row>
    <x:row r="20">
      <x:c r="A20" s="19" t="str">
        <x:v>WAC ending inventory</x:v>
      </x:c>
      <x:c r="B20" s="84"/>
      <x:c r="C20" s="19" t="str">
        <x:v>Ending units × WAC cost</x:v>
      </x:c>
      <x:c r="D20" s="2"/>
      <x:c r="E20" s="2"/>
      <x:c r="F20" s="2"/>
      <x:c r="G20" s="2"/>
      <x:c r="H20" s="2"/>
      <x:c r="I20" s="2"/>
      <x:c r="J20" s="2"/>
      <x:c r="K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 ht="24" customHeight="1">
      <x:c r="A23" s="23" t="str">
        <x:v>3 · Parallel COGS Schedules</x:v>
      </x:c>
      <x:c r="B23" s="23" t="str">
        <x:v>3 · Parallel COGS Schedules</x:v>
      </x:c>
      <x:c r="C23" s="23" t="str">
        <x:v>3 · Parallel COGS Schedules</x:v>
      </x:c>
      <x:c r="D23" s="23" t="str">
        <x:v>3 · Parallel COGS Schedules</x:v>
      </x:c>
      <x:c r="E23" s="23" t="str">
        <x:v>3 · Parallel COGS Schedules</x:v>
      </x:c>
      <x:c r="F23" s="23" t="str">
        <x:v>3 · Parallel COGS Schedules</x:v>
      </x:c>
      <x:c r="G23" s="23" t="str">
        <x:v>3 · Parallel COGS Schedules</x:v>
      </x:c>
      <x:c r="H23" s="23" t="str">
        <x:v>3 · Parallel COGS Schedules</x:v>
      </x:c>
      <x:c r="I23" s="23" t="str">
        <x:v>3 · Parallel COGS Schedules</x:v>
      </x:c>
      <x:c r="J23" s="2"/>
      <x:c r="K23" s="2"/>
    </x:row>
    <x:row r="24" ht="30" customHeight="1">
      <x:c r="A24" s="16" t="str">
        <x:v>Schedule line</x:v>
      </x:c>
      <x:c r="B24" s="16" t="str">
        <x:v>FIFO</x:v>
      </x:c>
      <x:c r="C24" s="16" t="str">
        <x:v>Weighted average</x:v>
      </x:c>
      <x:c r="D24" s="16" t="str">
        <x:v>Interpretation cue</x:v>
      </x:c>
      <x:c r="E24" s="2"/>
      <x:c r="F24" s="16" t="str">
        <x:v>Schedule control</x:v>
      </x:c>
      <x:c r="G24" s="16" t="str">
        <x:v>FIFO</x:v>
      </x:c>
      <x:c r="H24" s="16" t="str">
        <x:v>WAC</x:v>
      </x:c>
      <x:c r="I24" s="16" t="str">
        <x:v>Status</x:v>
      </x:c>
      <x:c r="J24" s="2"/>
      <x:c r="K24" s="2"/>
    </x:row>
    <x:row r="25">
      <x:c r="A25" s="19" t="str">
        <x:v>Beginning inventory</x:v>
      </x:c>
      <x:c r="B25" s="86" t="n">
        <x:f>'Raw Data'!D6</x:f>
        <x:v>1640</x:v>
      </x:c>
      <x:c r="C25" s="86" t="n">
        <x:f>'Raw Data'!D6</x:f>
        <x:v>1640</x:v>
      </x:c>
      <x:c r="D25" s="19" t="str">
        <x:v>Source beginning layer</x:v>
      </x:c>
      <x:c r="E25" s="2"/>
      <x:c r="F25" s="19" t="str">
        <x:v>Goods available</x:v>
      </x:c>
      <x:c r="G25" s="35" t="n">
        <x:f>B27</x:f>
        <x:v>0</x:v>
      </x:c>
      <x:c r="H25" s="35" t="n">
        <x:f>C27</x:f>
        <x:v>0</x:v>
      </x:c>
      <x:c r="I25" s="19" t="str">
        <x:f>IF(COUNTA(B27:C29)=0,"BUILD MODEL",IF(AND(ABS(G25-H25)&lt;0.01),"PASS","REVIEW"))</x:f>
        <x:v>BUILD MODEL</x:v>
      </x:c>
      <x:c r="J25" s="2"/>
      <x:c r="K25" s="2"/>
    </x:row>
    <x:row r="26">
      <x:c r="A26" s="19" t="str">
        <x:v>Purchases</x:v>
      </x:c>
      <x:c r="B26" s="86" t="n">
        <x:f>SUM('Raw Data'!D7:D8)</x:f>
        <x:v>5364</x:v>
      </x:c>
      <x:c r="C26" s="86" t="n">
        <x:f>SUM('Raw Data'!D7:D8)</x:f>
        <x:v>5364</x:v>
      </x:c>
      <x:c r="D26" s="19" t="str">
        <x:v>March + April purchases</x:v>
      </x:c>
      <x:c r="E26" s="2"/>
      <x:c r="F26" s="19" t="str">
        <x:v>COGS + ending</x:v>
      </x:c>
      <x:c r="G26" s="35" t="n">
        <x:f>SUM(B28:B29)</x:f>
        <x:v>0</x:v>
      </x:c>
      <x:c r="H26" s="35" t="n">
        <x:f>SUM(C28:C29)</x:f>
        <x:v>0</x:v>
      </x:c>
      <x:c r="I26" s="19" t="str">
        <x:f>IF(COUNTA(B27:C29)=0,"BUILD MODEL",IF(AND(ABS(G26-G25)&lt;0.01,ABS(H26-H25)&lt;0.01),"PASS","REVIEW"))</x:f>
        <x:v>BUILD MODEL</x:v>
      </x:c>
      <x:c r="J26" s="2"/>
      <x:c r="K26" s="2"/>
    </x:row>
    <x:row r="27">
      <x:c r="A27" s="19" t="str">
        <x:v>Goods available</x:v>
      </x:c>
      <x:c r="B27" s="84"/>
      <x:c r="C27" s="84"/>
      <x:c r="D27" s="19" t="str">
        <x:v>Beginning + purchases</x:v>
      </x:c>
      <x:c r="E27" s="2"/>
      <x:c r="F27" s="19" t="str">
        <x:v>Both schedules reconcile</x:v>
      </x:c>
      <x:c r="G27" s="19"/>
      <x:c r="H27" s="19"/>
      <x:c r="I27" s="19" t="str">
        <x:f>IF(COUNTA(B27:C29)=0,"BUILD MODEL",IF(AND(I25="PASS",I26="PASS"),"PASS","REVIEW"))</x:f>
        <x:v>BUILD MODEL</x:v>
      </x:c>
      <x:c r="J27" s="2"/>
      <x:c r="K27" s="2"/>
    </x:row>
    <x:row r="28">
      <x:c r="A28" s="19" t="str">
        <x:v>Ending inventory</x:v>
      </x:c>
      <x:c r="B28" s="84"/>
      <x:c r="C28" s="84"/>
      <x:c r="D28" s="19" t="str">
        <x:v>Method-specific balance</x:v>
      </x:c>
      <x:c r="E28" s="2"/>
      <x:c r="F28" s="2"/>
      <x:c r="G28" s="2"/>
      <x:c r="H28" s="2"/>
      <x:c r="I28" s="2"/>
      <x:c r="J28" s="2"/>
      <x:c r="K28" s="2"/>
    </x:row>
    <x:row r="29">
      <x:c r="A29" s="19" t="str">
        <x:v>COGS</x:v>
      </x:c>
      <x:c r="B29" s="84"/>
      <x:c r="C29" s="84"/>
      <x:c r="D29" s="19" t="str">
        <x:v>Goods available − ending</x:v>
      </x:c>
      <x:c r="E29" s="2"/>
      <x:c r="F29" s="2"/>
      <x:c r="G29" s="2"/>
      <x:c r="H29" s="2"/>
      <x:c r="I29" s="2"/>
      <x:c r="J29" s="2"/>
      <x:c r="K29" s="2"/>
    </x:row>
    <x:row r="30">
      <x:c r="A30" s="19" t="str">
        <x:v>Revenue</x:v>
      </x:c>
      <x:c r="B30" s="86" t="n">
        <x:f>'Raw Data'!B12*'Raw Data'!B13</x:f>
        <x:v>7980</x:v>
      </x:c>
      <x:c r="C30" s="86" t="n">
        <x:f>'Raw Data'!B12*'Raw Data'!B13</x:f>
        <x:v>7980</x:v>
      </x:c>
      <x:c r="D30" s="19" t="str">
        <x:v>Units sold × price</x:v>
      </x:c>
      <x:c r="E30" s="2"/>
      <x:c r="F30" s="2"/>
      <x:c r="G30" s="2"/>
      <x:c r="H30" s="2"/>
      <x:c r="I30" s="2"/>
      <x:c r="J30" s="2"/>
      <x:c r="K30" s="2"/>
    </x:row>
    <x:row r="31">
      <x:c r="A31" s="19" t="str">
        <x:v>Gross profit</x:v>
      </x:c>
      <x:c r="B31" s="84"/>
      <x:c r="C31" s="84"/>
      <x:c r="D31" s="19" t="str">
        <x:v>Revenue − COGS</x:v>
      </x:c>
      <x:c r="E31" s="2"/>
      <x:c r="F31" s="2"/>
      <x:c r="G31" s="2"/>
      <x:c r="H31" s="2"/>
      <x:c r="I31" s="2"/>
      <x:c r="J31" s="2"/>
      <x:c r="K31" s="2"/>
    </x:row>
    <x:row r="32">
      <x:c r="A32" s="19" t="str">
        <x:v>Gross margin</x:v>
      </x:c>
      <x:c r="B32" s="87"/>
      <x:c r="C32" s="87"/>
      <x:c r="D32" s="19" t="str">
        <x:v>Gross profit ÷ revenue</x:v>
      </x:c>
      <x:c r="E32" s="2"/>
      <x:c r="F32" s="2"/>
      <x:c r="G32" s="2"/>
      <x:c r="H32" s="2"/>
      <x:c r="I32" s="2"/>
      <x:c r="J32" s="2"/>
      <x:c r="K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 ht="24" customHeight="1">
      <x:c r="A35" s="40" t="str">
        <x:v>4 · Overhead Allocation &amp; Downside</x:v>
      </x:c>
      <x:c r="B35" s="40" t="str">
        <x:v>4 · Overhead Allocation &amp; Downside</x:v>
      </x:c>
      <x:c r="C35" s="40" t="str">
        <x:v>4 · Overhead Allocation &amp; Downside</x:v>
      </x:c>
      <x:c r="D35" s="40" t="str">
        <x:v>4 · Overhead Allocation &amp; Downside</x:v>
      </x:c>
      <x:c r="E35" s="40" t="str">
        <x:v>4 · Overhead Allocation &amp; Downside</x:v>
      </x:c>
      <x:c r="F35" s="40" t="str">
        <x:v>4 · Overhead Allocation &amp; Downside</x:v>
      </x:c>
      <x:c r="G35" s="40" t="str">
        <x:v>4 · Overhead Allocation &amp; Downside</x:v>
      </x:c>
      <x:c r="H35" s="40" t="str">
        <x:v>4 · Overhead Allocation &amp; Downside</x:v>
      </x:c>
      <x:c r="I35" s="40" t="str">
        <x:v>4 · Overhead Allocation &amp; Downside</x:v>
      </x:c>
      <x:c r="J35" s="2"/>
      <x:c r="K35" s="2"/>
    </x:row>
    <x:row r="36" ht="30" customHeight="1">
      <x:c r="A36" s="16" t="str">
        <x:v>Cost pool</x:v>
      </x:c>
      <x:c r="B36" s="16" t="str">
        <x:v>Amount</x:v>
      </x:c>
      <x:c r="C36" s="16" t="str">
        <x:v>Driver choice</x:v>
      </x:c>
      <x:c r="D36" s="16" t="str">
        <x:v>Surf basis</x:v>
      </x:c>
      <x:c r="E36" s="16" t="str">
        <x:v>Online basis</x:v>
      </x:c>
      <x:c r="F36" s="16" t="str">
        <x:v>Total basis</x:v>
      </x:c>
      <x:c r="G36" s="16" t="str">
        <x:v>Surf allocation</x:v>
      </x:c>
      <x:c r="H36" s="16" t="str">
        <x:v>Online allocation</x:v>
      </x:c>
      <x:c r="I36" s="16" t="str">
        <x:v>Check</x:v>
      </x:c>
      <x:c r="J36" s="2"/>
      <x:c r="K36" s="2"/>
    </x:row>
    <x:row r="37">
      <x:c r="A37" s="71" t="str">
        <x:f>'Raw Data'!A25</x:f>
        <x:v>Rent</x:v>
      </x:c>
      <x:c r="B37" s="79" t="n">
        <x:f>'Raw Data'!B25</x:f>
        <x:v>9000</x:v>
      </x:c>
      <x:c r="C37" s="74"/>
      <x:c r="D37" s="74"/>
      <x:c r="E37" s="74"/>
      <x:c r="F37" s="74"/>
      <x:c r="G37" s="80"/>
      <x:c r="H37" s="80"/>
      <x:c r="I37" s="19" t="str">
        <x:f>IF(COUNTA(G37:H37)=0,"BUILD MODEL",IF(ABS(SUM(G37:H37)-B37)&lt;0.01,"PASS","REVIEW"))</x:f>
        <x:v>BUILD MODEL</x:v>
      </x:c>
      <x:c r="J37" s="2"/>
      <x:c r="K37" s="2"/>
    </x:row>
    <x:row r="38">
      <x:c r="A38" s="71" t="str">
        <x:f>'Raw Data'!A26</x:f>
        <x:v>Utilities</x:v>
      </x:c>
      <x:c r="B38" s="79" t="n">
        <x:f>'Raw Data'!B26</x:f>
        <x:v>4200</x:v>
      </x:c>
      <x:c r="C38" s="74"/>
      <x:c r="D38" s="74"/>
      <x:c r="E38" s="74"/>
      <x:c r="F38" s="74"/>
      <x:c r="G38" s="80"/>
      <x:c r="H38" s="80"/>
      <x:c r="I38" s="19" t="str">
        <x:f>IF(COUNTA(G38:H38)=0,"BUILD MODEL",IF(ABS(SUM(G38:H38)-B38)&lt;0.01,"PASS","REVIEW"))</x:f>
        <x:v>BUILD MODEL</x:v>
      </x:c>
      <x:c r="J38" s="2"/>
      <x:c r="K38" s="2"/>
    </x:row>
    <x:row r="39">
      <x:c r="A39" s="71" t="str">
        <x:f>'Raw Data'!A27</x:f>
        <x:v>Insurance</x:v>
      </x:c>
      <x:c r="B39" s="79" t="n">
        <x:f>'Raw Data'!B27</x:f>
        <x:v>3800</x:v>
      </x:c>
      <x:c r="C39" s="74"/>
      <x:c r="D39" s="74"/>
      <x:c r="E39" s="74"/>
      <x:c r="F39" s="74"/>
      <x:c r="G39" s="80"/>
      <x:c r="H39" s="80"/>
      <x:c r="I39" s="19" t="str">
        <x:f>IF(COUNTA(G39:H39)=0,"BUILD MODEL",IF(ABS(SUM(G39:H39)-B39)&lt;0.01,"PASS","REVIEW"))</x:f>
        <x:v>BUILD MODEL</x:v>
      </x:c>
      <x:c r="J39" s="2"/>
      <x:c r="K39" s="2"/>
    </x:row>
    <x:row r="40">
      <x:c r="A40" s="71" t="str">
        <x:f>'Raw Data'!A28</x:f>
        <x:v>Indirect labor</x:v>
      </x:c>
      <x:c r="B40" s="79" t="n">
        <x:f>'Raw Data'!B28</x:f>
        <x:v>3500</x:v>
      </x:c>
      <x:c r="C40" s="74"/>
      <x:c r="D40" s="74"/>
      <x:c r="E40" s="74"/>
      <x:c r="F40" s="74"/>
      <x:c r="G40" s="80"/>
      <x:c r="H40" s="80"/>
      <x:c r="I40" s="19" t="str">
        <x:f>IF(COUNTA(G40:H40)=0,"BUILD MODEL",IF(ABS(SUM(G40:H40)-B40)&lt;0.01,"PASS","REVIEW"))</x:f>
        <x:v>BUILD MODEL</x:v>
      </x:c>
      <x:c r="J40" s="2"/>
      <x:c r="K40" s="2"/>
    </x:row>
    <x:row r="41">
      <x:c r="A41" s="71" t="str">
        <x:f>'Raw Data'!A29</x:f>
        <x:v>Maintenance</x:v>
      </x:c>
      <x:c r="B41" s="79" t="n">
        <x:f>'Raw Data'!B29</x:f>
        <x:v>1500</x:v>
      </x:c>
      <x:c r="C41" s="74"/>
      <x:c r="D41" s="74"/>
      <x:c r="E41" s="74"/>
      <x:c r="F41" s="74"/>
      <x:c r="G41" s="80"/>
      <x:c r="H41" s="80"/>
      <x:c r="I41" s="19" t="str">
        <x:f>IF(COUNTA(G41:H41)=0,"BUILD MODEL",IF(ABS(SUM(G41:H41)-B41)&lt;0.01,"PASS","REVIEW"))</x:f>
        <x:v>BUILD MODEL</x:v>
      </x:c>
      <x:c r="J41" s="2"/>
      <x:c r="K41" s="2"/>
    </x:row>
    <x:row r="42">
      <x:c r="A42" s="34" t="str">
        <x:v>Total</x:v>
      </x:c>
      <x:c r="B42" s="36" t="n">
        <x:f>SUM(B37:B41)</x:f>
        <x:v>22000</x:v>
      </x:c>
      <x:c r="C42" s="34" t="str"/>
      <x:c r="D42" s="34" t="str"/>
      <x:c r="E42" s="34" t="str"/>
      <x:c r="F42" s="34" t="str"/>
      <x:c r="G42" s="36" t="n">
        <x:f>SUM(G37:G41)</x:f>
        <x:v>0</x:v>
      </x:c>
      <x:c r="H42" s="36" t="n">
        <x:f>SUM(H37:H41)</x:f>
        <x:v>0</x:v>
      </x:c>
      <x:c r="I42" s="34" t="str">
        <x:f>IF(COUNTA(C37:H41)=0,"BUILD MODEL",IF(COUNTIF(I37:I41,"PASS")=5,"PASS","REVIEW"))</x:f>
        <x:v>BUILD MODEL</x:v>
      </x:c>
      <x:c r="J42" s="2"/>
      <x:c r="K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</x:row>
    <x:row r="45" ht="30" customHeight="1">
      <x:c r="A45" s="16" t="str">
        <x:v>Scenario metric</x:v>
      </x:c>
      <x:c r="B45" s="16" t="str">
        <x:v>Base case</x:v>
      </x:c>
      <x:c r="C45" s="16" t="str">
        <x:v>10% revenue downside</x:v>
      </x:c>
      <x:c r="D45" s="16" t="str">
        <x:v>Management question</x:v>
      </x:c>
      <x:c r="E45" s="2"/>
      <x:c r="F45" s="2"/>
      <x:c r="G45" s="2"/>
      <x:c r="H45" s="2"/>
      <x:c r="I45" s="2"/>
      <x:c r="J45" s="2"/>
      <x:c r="K45" s="2"/>
    </x:row>
    <x:row r="46">
      <x:c r="A46" s="19" t="str">
        <x:v>Revenue</x:v>
      </x:c>
      <x:c r="B46" s="35" t="n">
        <x:f>SUM('Raw Data'!B19:C19)</x:f>
        <x:v>110000</x:v>
      </x:c>
      <x:c r="C46" s="35"/>
      <x:c r="D46" s="19" t="str">
        <x:v>What changes when sales volume falls?</x:v>
      </x:c>
      <x:c r="E46" s="2"/>
      <x:c r="F46" s="2"/>
      <x:c r="G46" s="2"/>
      <x:c r="H46" s="2"/>
      <x:c r="I46" s="2"/>
      <x:c r="J46" s="2"/>
      <x:c r="K46" s="2"/>
    </x:row>
    <x:row r="47">
      <x:c r="A47" s="19" t="str">
        <x:v>Total overhead</x:v>
      </x:c>
      <x:c r="B47" s="35" t="n">
        <x:f>'Raw Data'!B30</x:f>
        <x:v>22000</x:v>
      </x:c>
      <x:c r="C47" s="35"/>
      <x:c r="D47" s="19" t="str">
        <x:v>Assume fixed within the relevant range</x:v>
      </x:c>
      <x:c r="E47" s="2"/>
      <x:c r="F47" s="2"/>
      <x:c r="G47" s="2"/>
      <x:c r="H47" s="2"/>
      <x:c r="I47" s="2"/>
      <x:c r="J47" s="2"/>
      <x:c r="K47" s="2"/>
    </x:row>
    <x:row r="48">
      <x:c r="A48" s="19" t="str">
        <x:v>Overhead rate</x:v>
      </x:c>
      <x:c r="B48" s="89"/>
      <x:c r="C48" s="89"/>
      <x:c r="D48" s="19" t="str">
        <x:v>What risk does the higher rate create?</x:v>
      </x:c>
      <x:c r="E48" s="2"/>
      <x:c r="F48" s="2"/>
      <x:c r="G48" s="2"/>
      <x:c r="H48" s="2"/>
      <x:c r="I48" s="2"/>
      <x:c r="J48" s="2"/>
      <x:c r="K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</x:row>
  </x:sheetData>
  <x:mergeCells>
    <x:mergeCell ref="A1:I1"/>
    <x:mergeCell ref="A2:I2"/>
    <x:mergeCell ref="A4:I4"/>
    <x:mergeCell ref="A12:I12"/>
    <x:mergeCell ref="A23:I23"/>
    <x:mergeCell ref="A35:I35"/>
  </x:mergeCells>
  <x:conditionalFormatting sqref="I6:I9">
    <x:cfRule type="containsText" dxfId="0" priority="1" operator="containsText" text="PASS"/>
    <x:cfRule type="containsText" dxfId="1" priority="2" operator="containsText" text="REVIEW"/>
  </x:conditionalFormatting>
  <x:conditionalFormatting sqref="I14:I16">
    <x:cfRule type="containsText" dxfId="2" priority="3" operator="containsText" text="PASS"/>
    <x:cfRule type="containsText" dxfId="3" priority="4" operator="containsText" text="REVIEW"/>
  </x:conditionalFormatting>
  <x:conditionalFormatting sqref="I25:I27">
    <x:cfRule type="containsText" dxfId="4" priority="5" operator="containsText" text="PASS"/>
    <x:cfRule type="containsText" dxfId="5" priority="6" operator="containsText" text="REVIEW"/>
  </x:conditionalFormatting>
  <x:conditionalFormatting sqref="I37:I42">
    <x:cfRule type="containsText" dxfId="6" priority="7" operator="containsText" text="PASS"/>
    <x:cfRule type="containsText" dxfId="7" priority="8" operator="containsText" text="REVIEW"/>
  </x:conditionalFormatting>
  <x:dataValidations count="1">
    <x:dataValidation type="list" sqref="C37:C41">
      <x:formula1>"Square footage,Revenue,Direct labor hours"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8" hidden="0" customWidth="1"/>
  </x:cols>
  <x:sheetData>
    <x:row r="1" ht="34" customHeight="1">
      <x:c r="A1" s="5" t="str">
        <x:v>M06 · L01 — Decision Brief | Tidal Goods Co.</x:v>
      </x:c>
      <x:c r="B1" s="5"/>
      <x:c r="C1" s="5"/>
      <x:c r="D1" s="5"/>
      <x:c r="E1" s="5"/>
      <x:c r="F1" s="5"/>
      <x:c r="G1" s="5"/>
      <x:c r="H1" s="5"/>
      <x:c r="I1" s="2"/>
      <x:c r="J1" s="2"/>
      <x:c r="K1" s="2"/>
    </x:row>
    <x:row r="2" ht="24" customHeight="1">
      <x:c r="A2" s="8" t="str">
        <x:v>Use the completed model to recommend an action · include evidence, risk, and control</x:v>
      </x:c>
      <x:c r="B2" s="8"/>
      <x:c r="C2" s="8"/>
      <x:c r="D2" s="8"/>
      <x:c r="E2" s="8"/>
      <x:c r="F2" s="8"/>
      <x:c r="G2" s="8"/>
      <x:c r="H2" s="8"/>
      <x:c r="I2" s="2"/>
      <x:c r="J2" s="2"/>
      <x:c r="K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4" customHeight="1">
      <x:c r="A4" s="11" t="str">
        <x:v>Management Recommendation</x:v>
      </x:c>
      <x:c r="B4" s="11" t="str">
        <x:v>Management Recommendation</x:v>
      </x:c>
      <x:c r="C4" s="11" t="str">
        <x:v>Management Recommendation</x:v>
      </x:c>
      <x:c r="D4" s="11" t="str">
        <x:v>Management Recommendation</x:v>
      </x:c>
      <x:c r="E4" s="11" t="str">
        <x:v>Management Recommendation</x:v>
      </x:c>
      <x:c r="F4" s="11" t="str">
        <x:v>Management Recommendation</x:v>
      </x:c>
      <x:c r="G4" s="11" t="str">
        <x:v>Management Recommendation</x:v>
      </x:c>
      <x:c r="H4" s="11" t="str">
        <x:v>Management Recommendation</x:v>
      </x:c>
      <x:c r="I4" s="2"/>
      <x:c r="J4" s="2"/>
      <x:c r="K4" s="2"/>
    </x:row>
    <x:row r="5" ht="30" customHeight="1">
      <x:c r="A5" s="16" t="str">
        <x:v>Decision element</x:v>
      </x:c>
      <x:c r="B5" s="16" t="str">
        <x:v>Your response</x:v>
      </x:c>
      <x:c r="C5" s="16"/>
      <x:c r="D5" s="16"/>
      <x:c r="E5" s="16"/>
      <x:c r="F5" s="16"/>
      <x:c r="G5" s="16"/>
      <x:c r="H5" s="16"/>
      <x:c r="I5" s="2"/>
      <x:c r="J5" s="2"/>
      <x:c r="K5" s="2"/>
    </x:row>
    <x:row r="6" ht="54" customHeight="1">
      <x:c r="A6" s="19" t="str">
        <x:v>Recommended inventory method for internal reporting</x:v>
      </x:c>
      <x:c r="B6" s="31"/>
      <x:c r="C6" s="31"/>
      <x:c r="D6" s="31"/>
      <x:c r="E6" s="31"/>
      <x:c r="F6" s="31"/>
      <x:c r="G6" s="31"/>
      <x:c r="H6" s="31"/>
      <x:c r="I6" s="2"/>
      <x:c r="J6" s="2"/>
      <x:c r="K6" s="2"/>
    </x:row>
    <x:row r="7" ht="54" customHeight="1">
      <x:c r="A7" s="19" t="str">
        <x:v>Effect on COGS, gross profit, and ending inventory</x:v>
      </x:c>
      <x:c r="B7" s="31"/>
      <x:c r="C7" s="31"/>
      <x:c r="D7" s="31"/>
      <x:c r="E7" s="31"/>
      <x:c r="F7" s="31"/>
      <x:c r="G7" s="31"/>
      <x:c r="H7" s="31"/>
      <x:c r="I7" s="2"/>
      <x:c r="J7" s="2"/>
      <x:c r="K7" s="2"/>
    </x:row>
    <x:row r="8" ht="54" customHeight="1">
      <x:c r="A8" s="19" t="str">
        <x:v>Overhead-driver rationale</x:v>
      </x:c>
      <x:c r="B8" s="31"/>
      <x:c r="C8" s="31"/>
      <x:c r="D8" s="31"/>
      <x:c r="E8" s="31"/>
      <x:c r="F8" s="31"/>
      <x:c r="G8" s="31"/>
      <x:c r="H8" s="31"/>
      <x:c r="I8" s="2"/>
      <x:c r="J8" s="2"/>
      <x:c r="K8" s="2"/>
    </x:row>
    <x:row r="9" ht="54" customHeight="1">
      <x:c r="A9" s="19" t="str">
        <x:v>Risk or limitation</x:v>
      </x:c>
      <x:c r="B9" s="31"/>
      <x:c r="C9" s="31"/>
      <x:c r="D9" s="31"/>
      <x:c r="E9" s="31"/>
      <x:c r="F9" s="31"/>
      <x:c r="G9" s="31"/>
      <x:c r="H9" s="31"/>
      <x:c r="I9" s="2"/>
      <x:c r="J9" s="2"/>
      <x:c r="K9" s="2"/>
    </x:row>
    <x:row r="10" ht="54" customHeight="1">
      <x:c r="A10" s="19" t="str">
        <x:v>Control or follow-up action</x:v>
      </x:c>
      <x:c r="B10" s="31"/>
      <x:c r="C10" s="31"/>
      <x:c r="D10" s="31"/>
      <x:c r="E10" s="31"/>
      <x:c r="F10" s="31"/>
      <x:c r="G10" s="31"/>
      <x:c r="H10" s="31"/>
      <x:c r="I10" s="2"/>
      <x:c r="J10" s="2"/>
      <x:c r="K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</x:row>
    <x:row r="13" ht="24" customHeight="1">
      <x:c r="A13" s="40" t="str">
        <x:v>10% Revenue Downside</x:v>
      </x:c>
      <x:c r="B13" s="40" t="str">
        <x:v>10% Revenue Downside</x:v>
      </x:c>
      <x:c r="C13" s="40" t="str">
        <x:v>10% Revenue Downside</x:v>
      </x:c>
      <x:c r="D13" s="40" t="str">
        <x:v>10% Revenue Downside</x:v>
      </x:c>
      <x:c r="E13" s="40" t="str">
        <x:v>10% Revenue Downside</x:v>
      </x:c>
      <x:c r="F13" s="40" t="str">
        <x:v>10% Revenue Downside</x:v>
      </x:c>
      <x:c r="G13" s="40" t="str">
        <x:v>10% Revenue Downside</x:v>
      </x:c>
      <x:c r="H13" s="40" t="str">
        <x:v>10% Revenue Downside</x:v>
      </x:c>
      <x:c r="I13" s="2"/>
      <x:c r="J13" s="2"/>
      <x:c r="K13" s="2"/>
    </x:row>
    <x:row r="14" ht="48" customHeight="1">
      <x:c r="A14" s="19" t="str">
        <x:v>What changes in the overhead rate?</x:v>
      </x:c>
      <x:c r="B14" s="31" t="str"/>
      <x:c r="C14" s="31"/>
      <x:c r="D14" s="31"/>
      <x:c r="E14" s="31"/>
      <x:c r="F14" s="31"/>
      <x:c r="G14" s="31"/>
      <x:c r="H14" s="31"/>
      <x:c r="I14" s="2"/>
      <x:c r="J14" s="2"/>
      <x:c r="K14" s="2"/>
    </x:row>
    <x:row r="15" ht="48" customHeight="1">
      <x:c r="A15" s="19" t="str">
        <x:v>What management risk does this create?</x:v>
      </x:c>
      <x:c r="B15" s="31" t="str"/>
      <x:c r="C15" s="31"/>
      <x:c r="D15" s="31"/>
      <x:c r="E15" s="31"/>
      <x:c r="F15" s="31"/>
      <x:c r="G15" s="31"/>
      <x:c r="H15" s="31"/>
      <x:c r="I15" s="2"/>
      <x:c r="J15" s="2"/>
      <x:c r="K15" s="2"/>
    </x:row>
    <x:row r="16" ht="48" customHeight="1">
      <x:c r="A16" s="19" t="str">
        <x:v>What action would you take first?</x:v>
      </x:c>
      <x:c r="B16" s="31" t="str"/>
      <x:c r="C16" s="31"/>
      <x:c r="D16" s="31"/>
      <x:c r="E16" s="31"/>
      <x:c r="F16" s="31"/>
      <x:c r="G16" s="31"/>
      <x:c r="H16" s="31"/>
      <x:c r="I16" s="2"/>
      <x:c r="J16" s="2"/>
      <x:c r="K16" s="2"/>
    </x:row>
    <x:row r="17" ht="48" customHeight="1">
      <x:c r="A17" s="19" t="str">
        <x:v>Which number would you monitor next?</x:v>
      </x:c>
      <x:c r="B17" s="31" t="str"/>
      <x:c r="C17" s="31"/>
      <x:c r="D17" s="31"/>
      <x:c r="E17" s="31"/>
      <x:c r="F17" s="31"/>
      <x:c r="G17" s="31"/>
      <x:c r="H17" s="31"/>
      <x:c r="I17" s="2"/>
      <x:c r="J17" s="2"/>
      <x:c r="K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 ht="24" customHeight="1">
      <x:c r="A20" s="29" t="str">
        <x:v>Quality Check</x:v>
      </x:c>
      <x:c r="B20" s="29" t="str">
        <x:v>Quality Check</x:v>
      </x:c>
      <x:c r="C20" s="29" t="str">
        <x:v>Quality Check</x:v>
      </x:c>
      <x:c r="D20" s="29" t="str">
        <x:v>Quality Check</x:v>
      </x:c>
      <x:c r="E20" s="29" t="str">
        <x:v>Quality Check</x:v>
      </x:c>
      <x:c r="F20" s="29" t="str">
        <x:v>Quality Check</x:v>
      </x:c>
      <x:c r="G20" s="29" t="str">
        <x:v>Quality Check</x:v>
      </x:c>
      <x:c r="H20" s="29" t="str">
        <x:v>Quality Check</x:v>
      </x:c>
      <x:c r="I20" s="2"/>
      <x:c r="J20" s="2"/>
      <x:c r="K20" s="2"/>
    </x:row>
    <x:row r="21" ht="30" customHeight="1">
      <x:c r="A21" s="16" t="str">
        <x:v>Check</x:v>
      </x:c>
      <x:c r="B21" s="16" t="str">
        <x:v>Yes / Not yet</x:v>
      </x:c>
      <x:c r="C21" s="16" t="str">
        <x:v>Evidence location</x:v>
      </x:c>
      <x:c r="D21" s="16" t="str">
        <x:v>Why it matters</x:v>
      </x:c>
      <x:c r="E21" s="2"/>
      <x:c r="F21" s="2"/>
      <x:c r="G21" s="2"/>
      <x:c r="H21" s="2"/>
      <x:c r="I21" s="2"/>
      <x:c r="J21" s="2"/>
      <x:c r="K21" s="2"/>
    </x:row>
    <x:row r="22">
      <x:c r="A22" s="19" t="str">
        <x:v>All model controls pass</x:v>
      </x:c>
      <x:c r="B22" s="31" t="str"/>
      <x:c r="C22" s="31" t="str"/>
      <x:c r="D22" s="19" t="str">
        <x:v>Prevents explaining an unreconciled model</x:v>
      </x:c>
      <x:c r="E22" s="2"/>
      <x:c r="F22" s="2"/>
      <x:c r="G22" s="2"/>
      <x:c r="H22" s="2"/>
      <x:c r="I22" s="2"/>
      <x:c r="J22" s="2"/>
      <x:c r="K22" s="2"/>
    </x:row>
    <x:row r="23">
      <x:c r="A23" s="19" t="str">
        <x:v>Recommendation cites at least two numbers</x:v>
      </x:c>
      <x:c r="B23" s="31" t="str"/>
      <x:c r="C23" s="31" t="str"/>
      <x:c r="D23" s="19" t="str">
        <x:v>Connects action to evidence</x:v>
      </x:c>
      <x:c r="E23" s="2"/>
      <x:c r="F23" s="2"/>
      <x:c r="G23" s="2"/>
      <x:c r="H23" s="2"/>
      <x:c r="I23" s="2"/>
      <x:c r="J23" s="2"/>
      <x:c r="K23" s="2"/>
    </x:row>
    <x:row r="24">
      <x:c r="A24" s="19" t="str">
        <x:v>Risk and control are specific</x:v>
      </x:c>
      <x:c r="B24" s="31" t="str"/>
      <x:c r="C24" s="31" t="str"/>
      <x:c r="D24" s="19" t="str">
        <x:v>Makes the recommendation usable</x:v>
      </x:c>
      <x:c r="E24" s="2"/>
      <x:c r="F24" s="2"/>
      <x:c r="G24" s="2"/>
      <x:c r="H24" s="2"/>
      <x:c r="I24" s="2"/>
      <x:c r="J24" s="2"/>
      <x:c r="K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</x:row>
  </x:sheetData>
  <x:mergeCells>
    <x:mergeCell ref="A1:H1"/>
    <x:mergeCell ref="A2:H2"/>
    <x:mergeCell ref="A4:H4"/>
    <x:mergeCell ref="B5:H5"/>
    <x:mergeCell ref="B6:H6"/>
    <x:mergeCell ref="B7:H7"/>
    <x:mergeCell ref="B8:H8"/>
    <x:mergeCell ref="B9:H9"/>
    <x:mergeCell ref="B10:H10"/>
    <x:mergeCell ref="A13:H13"/>
    <x:mergeCell ref="B14:H14"/>
    <x:mergeCell ref="B15:H15"/>
    <x:mergeCell ref="B16:H16"/>
    <x:mergeCell ref="B17:H17"/>
    <x:mergeCell ref="A20:H20"/>
  </x:mergeCells>
  <x:dataValidations count="1">
    <x:dataValidation type="list" sqref="B22:B24">
      <x:formula1>"Yes,Not yet"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5" hidden="0" customWidth="1"/>
    <x:col min="3" max="3" width="52" hidden="0" customWidth="1"/>
    <x:col min="4" max="4" width="45" hidden="0" customWidth="1"/>
    <x:col min="5" max="5" width="18" hidden="0" customWidth="1"/>
  </x:cols>
  <x:sheetData>
    <x:row r="1" ht="34" customHeight="1">
      <x:c r="A1" s="5" t="str">
        <x:v>BUS123 · MATH-M06 — Formula Reference</x:v>
      </x:c>
      <x:c r="B1" s="5"/>
      <x:c r="C1" s="5"/>
      <x:c r="D1" s="5"/>
      <x:c r="E1" s="2"/>
      <x:c r="F1" s="2"/>
      <x:c r="G1" s="2"/>
      <x:c r="H1" s="2"/>
      <x:c r="I1" s="2"/>
      <x:c r="J1" s="2"/>
      <x:c r="K1" s="2"/>
    </x:row>
    <x:row r="2" ht="24" customHeight="1">
      <x:c r="A2" s="8" t="str">
        <x:v>Use only after choosing the business question, cost flow, and denominator</x:v>
      </x:c>
      <x:c r="B2" s="8"/>
      <x:c r="C2" s="8"/>
      <x:c r="D2" s="8"/>
      <x:c r="E2" s="2"/>
      <x:c r="F2" s="2"/>
      <x:c r="G2" s="2"/>
      <x:c r="H2" s="2"/>
      <x:c r="I2" s="2"/>
      <x:c r="J2" s="2"/>
      <x:c r="K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30" customHeight="1">
      <x:c r="A4" s="16" t="str">
        <x:v>Concept</x:v>
      </x:c>
      <x:c r="B4" s="16" t="str">
        <x:v>Excel pattern</x:v>
      </x:c>
      <x:c r="C4" s="16" t="str">
        <x:v>Plain-English meaning</x:v>
      </x:c>
      <x:c r="D4" s="16" t="str">
        <x:v>Watch out for</x:v>
      </x:c>
      <x:c r="E4" s="2"/>
      <x:c r="F4" s="2"/>
      <x:c r="G4" s="2"/>
      <x:c r="H4" s="2"/>
      <x:c r="I4" s="2"/>
      <x:c r="J4" s="2"/>
      <x:c r="K4" s="2"/>
    </x:row>
    <x:row r="5" ht="42" customHeight="1">
      <x:c r="A5" s="19" t="str">
        <x:v>Layer cost</x:v>
      </x:c>
      <x:c r="B5" s="90" t="str">
        <x:v>=Quantity*UnitCost</x:v>
      </x:c>
      <x:c r="C5" s="19" t="str">
        <x:v>Calculates cost in one purchase layer.</x:v>
      </x:c>
      <x:c r="D5" s="19" t="str">
        <x:v>Reference cells; do not type the answer into the formula.</x:v>
      </x:c>
      <x:c r="E5" s="2"/>
      <x:c r="F5" s="2"/>
      <x:c r="G5" s="2"/>
      <x:c r="H5" s="2"/>
      <x:c r="I5" s="2"/>
      <x:c r="J5" s="2"/>
      <x:c r="K5" s="2"/>
    </x:row>
    <x:row r="6" ht="42" customHeight="1">
      <x:c r="A6" s="19" t="str">
        <x:v>FIFO layer COGS</x:v>
      </x:c>
      <x:c r="B6" s="90" t="str">
        <x:v>=UnitsAssignedToCOGS*UnitCost</x:v>
      </x:c>
      <x:c r="C6" s="19" t="str">
        <x:v>Costs the specific units assigned from each layer.</x:v>
      </x:c>
      <x:c r="D6" s="19" t="str">
        <x:v>Sold units + ending units must equal layer quantity.</x:v>
      </x:c>
      <x:c r="E6" s="2"/>
      <x:c r="F6" s="2"/>
      <x:c r="G6" s="2"/>
      <x:c r="H6" s="2"/>
      <x:c r="I6" s="2"/>
      <x:c r="J6" s="2"/>
      <x:c r="K6" s="2"/>
    </x:row>
    <x:row r="7" ht="42" customHeight="1">
      <x:c r="A7" s="19" t="str">
        <x:v>WAC unit cost</x:v>
      </x:c>
      <x:c r="B7" s="90" t="str">
        <x:v>=SUMPRODUCT(QuantityRange,UnitCostRange)/SUM(QuantityRange)</x:v>
      </x:c>
      <x:c r="C7" s="19" t="str">
        <x:v>Weights each unit cost by the quantity purchased.</x:v>
      </x:c>
      <x:c r="D7" s="19" t="str">
        <x:v>A simple average is wrong when quantities differ.</x:v>
      </x:c>
      <x:c r="E7" s="2"/>
      <x:c r="F7" s="2"/>
      <x:c r="G7" s="2"/>
      <x:c r="H7" s="2"/>
      <x:c r="I7" s="2"/>
      <x:c r="J7" s="2"/>
      <x:c r="K7" s="2"/>
    </x:row>
    <x:row r="8" ht="42" customHeight="1">
      <x:c r="A8" s="19" t="str">
        <x:v>COGS</x:v>
      </x:c>
      <x:c r="B8" s="90" t="str">
        <x:v>=BeginningInventory+Purchases-EndingInventory</x:v>
      </x:c>
      <x:c r="C8" s="19" t="str">
        <x:v>Calculates product cost sold during the period.</x:v>
      </x:c>
      <x:c r="D8" s="19" t="str">
        <x:v>Ending inventory is subtracted.</x:v>
      </x:c>
      <x:c r="E8" s="2"/>
      <x:c r="F8" s="2"/>
      <x:c r="G8" s="2"/>
      <x:c r="H8" s="2"/>
      <x:c r="I8" s="2"/>
      <x:c r="J8" s="2"/>
      <x:c r="K8" s="2"/>
    </x:row>
    <x:row r="9" ht="42" customHeight="1">
      <x:c r="A9" s="19" t="str">
        <x:v>Goods available</x:v>
      </x:c>
      <x:c r="B9" s="90" t="str">
        <x:v>=BeginningInventory+Purchases</x:v>
      </x:c>
      <x:c r="C9" s="19" t="str">
        <x:v>Shows inventory cost available to sell.</x:v>
      </x:c>
      <x:c r="D9" s="19" t="str">
        <x:v>COGS + ending inventory must reconcile to this amount.</x:v>
      </x:c>
      <x:c r="E9" s="2"/>
      <x:c r="F9" s="2"/>
      <x:c r="G9" s="2"/>
      <x:c r="H9" s="2"/>
      <x:c r="I9" s="2"/>
      <x:c r="J9" s="2"/>
      <x:c r="K9" s="2"/>
    </x:row>
    <x:row r="10" ht="42" customHeight="1">
      <x:c r="A10" s="19" t="str">
        <x:v>Gross profit</x:v>
      </x:c>
      <x:c r="B10" s="90" t="str">
        <x:v>=Revenue-COGS</x:v>
      </x:c>
      <x:c r="C10" s="19" t="str">
        <x:v>Shows profit before operating and overhead costs.</x:v>
      </x:c>
      <x:c r="D10" s="19" t="str">
        <x:v>Revenue and COGS must cover the same period.</x:v>
      </x:c>
      <x:c r="E10" s="2"/>
      <x:c r="F10" s="2"/>
      <x:c r="G10" s="2"/>
      <x:c r="H10" s="2"/>
      <x:c r="I10" s="2"/>
      <x:c r="J10" s="2"/>
      <x:c r="K10" s="2"/>
    </x:row>
    <x:row r="11" ht="42" customHeight="1">
      <x:c r="A11" s="19" t="str">
        <x:v>Gross margin</x:v>
      </x:c>
      <x:c r="B11" s="90" t="str">
        <x:v>=GrossProfit/Revenue</x:v>
      </x:c>
      <x:c r="C11" s="19" t="str">
        <x:v>Shows the share of revenue remaining after product cost.</x:v>
      </x:c>
      <x:c r="D11" s="19" t="str">
        <x:v>Margin divides by revenue.</x:v>
      </x:c>
      <x:c r="E11" s="2"/>
      <x:c r="F11" s="2"/>
      <x:c r="G11" s="2"/>
      <x:c r="H11" s="2"/>
      <x:c r="I11" s="2"/>
      <x:c r="J11" s="2"/>
      <x:c r="K11" s="2"/>
    </x:row>
    <x:row r="12" ht="42" customHeight="1">
      <x:c r="A12" s="19" t="str">
        <x:v>Markup</x:v>
      </x:c>
      <x:c r="B12" s="90" t="str">
        <x:v>=(Price-Cost)/Cost</x:v>
      </x:c>
      <x:c r="C12" s="19" t="str">
        <x:v>Shows the amount added relative to cost.</x:v>
      </x:c>
      <x:c r="D12" s="19" t="str">
        <x:v>Markup divides by cost—not revenue.</x:v>
      </x:c>
      <x:c r="E12" s="2"/>
      <x:c r="F12" s="2"/>
      <x:c r="G12" s="2"/>
      <x:c r="H12" s="2"/>
      <x:c r="I12" s="2"/>
      <x:c r="J12" s="2"/>
      <x:c r="K12" s="2"/>
    </x:row>
    <x:row r="13" ht="42" customHeight="1">
      <x:c r="A13" s="19" t="str">
        <x:v>Overhead allocation</x:v>
      </x:c>
      <x:c r="B13" s="90" t="str">
        <x:v>=CostPool*(DepartmentBase/TotalBase)</x:v>
      </x:c>
      <x:c r="C13" s="19" t="str">
        <x:v>Assigns a shared cost using the selected driver.</x:v>
      </x:c>
      <x:c r="D13" s="19" t="str">
        <x:v>The base must fit the cost pool.</x:v>
      </x:c>
      <x:c r="E13" s="2"/>
      <x:c r="F13" s="2"/>
      <x:c r="G13" s="2"/>
      <x:c r="H13" s="2"/>
      <x:c r="I13" s="2"/>
      <x:c r="J13" s="2"/>
      <x:c r="K13" s="2"/>
    </x:row>
    <x:row r="14" ht="42" customHeight="1">
      <x:c r="A14" s="19" t="str">
        <x:v>Overhead rate</x:v>
      </x:c>
      <x:c r="B14" s="90" t="str">
        <x:v>=TotalOverhead/Revenue</x:v>
      </x:c>
      <x:c r="C14" s="19" t="str">
        <x:v>Shows overhead used by each revenue dollar.</x:v>
      </x:c>
      <x:c r="D14" s="19" t="str">
        <x:v>A higher rate may reflect cost growth or revenue decline.</x:v>
      </x:c>
      <x:c r="E14" s="2"/>
      <x:c r="F14" s="2"/>
      <x:c r="G14" s="2"/>
      <x:c r="H14" s="2"/>
      <x:c r="I14" s="2"/>
      <x:c r="J14" s="2"/>
      <x:c r="K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</x:row>
    <x:row r="17" ht="24" customHeight="1">
      <x:c r="A17" s="23" t="str">
        <x:v>Model Controls</x:v>
      </x:c>
      <x:c r="B17" s="23" t="str">
        <x:v>Model Controls</x:v>
      </x:c>
      <x:c r="C17" s="23" t="str">
        <x:v>Model Controls</x:v>
      </x:c>
      <x:c r="D17" s="23" t="str">
        <x:v>Model Controls</x:v>
      </x:c>
      <x:c r="E17" s="2"/>
      <x:c r="F17" s="2"/>
      <x:c r="G17" s="2"/>
      <x:c r="H17" s="2"/>
      <x:c r="I17" s="2"/>
      <x:c r="J17" s="2"/>
      <x:c r="K17" s="2"/>
    </x:row>
    <x:row r="18">
      <x:c r="A18" s="19" t="str">
        <x:v>Units</x:v>
      </x:c>
      <x:c r="B18" s="19" t="str">
        <x:v>Sold units + ending units = available units</x:v>
      </x:c>
      <x:c r="C18" s="19" t="str">
        <x:v>Confirms no unit was lost or duplicated</x:v>
      </x:c>
      <x:c r="D18" s="19" t="str">
        <x:v>Check each layer and the total</x:v>
      </x:c>
      <x:c r="E18" s="2"/>
      <x:c r="F18" s="2"/>
      <x:c r="G18" s="2"/>
      <x:c r="H18" s="2"/>
      <x:c r="I18" s="2"/>
      <x:c r="J18" s="2"/>
      <x:c r="K18" s="2"/>
    </x:row>
    <x:row r="19">
      <x:c r="A19" s="19" t="str">
        <x:v>FIFO cost</x:v>
      </x:c>
      <x:c r="B19" s="19" t="str">
        <x:v>FIFO COGS + FIFO ending inventory = goods available</x:v>
      </x:c>
      <x:c r="C19" s="19" t="str">
        <x:v>Confirms all layer costs are assigned</x:v>
      </x:c>
      <x:c r="D19" s="19" t="str">
        <x:v>Allow only small rounding differences</x:v>
      </x:c>
      <x:c r="E19" s="2"/>
      <x:c r="F19" s="2"/>
      <x:c r="G19" s="2"/>
      <x:c r="H19" s="2"/>
      <x:c r="I19" s="2"/>
      <x:c r="J19" s="2"/>
      <x:c r="K19" s="2"/>
    </x:row>
    <x:row r="20">
      <x:c r="A20" s="19" t="str">
        <x:v>WAC cost</x:v>
      </x:c>
      <x:c r="B20" s="19" t="str">
        <x:v>WAC COGS + WAC ending inventory = goods available</x:v>
      </x:c>
      <x:c r="C20" s="19" t="str">
        <x:v>Confirms the average cost was applied consistently</x:v>
      </x:c>
      <x:c r="D20" s="19" t="str">
        <x:v>Keep full precision in formulas</x:v>
      </x:c>
      <x:c r="E20" s="2"/>
      <x:c r="F20" s="2"/>
      <x:c r="G20" s="2"/>
      <x:c r="H20" s="2"/>
      <x:c r="I20" s="2"/>
      <x:c r="J20" s="2"/>
      <x:c r="K20" s="2"/>
    </x:row>
    <x:row r="21">
      <x:c r="A21" s="19" t="str">
        <x:v>Allocation</x:v>
      </x:c>
      <x:c r="B21" s="19" t="str">
        <x:v>Department allocations = the full cost pool</x:v>
      </x:c>
      <x:c r="C21" s="19" t="str">
        <x:v>Confirms shared costs are fully assigned</x:v>
      </x:c>
      <x:c r="D21" s="19" t="str">
        <x:v>A passing total does not prove the driver is fair</x:v>
      </x:c>
      <x:c r="E21" s="2"/>
      <x:c r="F21" s="2"/>
      <x:c r="G21" s="2"/>
      <x:c r="H21" s="2"/>
      <x:c r="I21" s="2"/>
      <x:c r="J21" s="2"/>
      <x:c r="K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</x:row>
  </x:sheetData>
  <x:mergeCells>
    <x:mergeCell ref="A1:D1"/>
    <x:mergeCell ref="A2:D2"/>
    <x:mergeCell ref="A17:D17"/>
  </x:mergeCells>
  <x:pageMargins left="0.7" right="0.7" top="0.75" bottom="0.75" header="0.3" footer="0.3"/>
</x:worksheet>
</file>