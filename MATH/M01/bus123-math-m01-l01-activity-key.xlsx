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Whole Numbers Practice" sheetId="2" state="visible" r:id="rId2"/>
    <sheet xmlns:r="http://schemas.openxmlformats.org/officeDocument/2006/relationships" name="INSTRUCTOR_AnswerKey" sheetId="3" state="visible" r:id="rId3"/>
    <sheet xmlns:r="http://schemas.openxmlformats.org/officeDocument/2006/relationships" name="FormulaReference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;(&quot;$&quot;#,##0)"/>
    <numFmt numFmtId="166" formatCode="0.0000"/>
    <numFmt numFmtId="167" formatCode="&quot;$&quot;#,##0.00"/>
  </numFmts>
  <fonts count="15">
    <font>
      <name val="Calibri"/>
      <family val="2"/>
      <color theme="1"/>
      <sz val="11"/>
      <scheme val="minor"/>
    </font>
    <font>
      <name val="Calibri"/>
      <b val="1"/>
      <color rgb="00F5E6C8"/>
      <sz val="13"/>
    </font>
    <font>
      <name val="Calibri"/>
      <b val="1"/>
      <color rgb="00FFFFFF"/>
      <sz val="11"/>
    </font>
    <font>
      <name val="Calibri"/>
      <b val="1"/>
      <color rgb="001A1F2C"/>
      <sz val="12"/>
    </font>
    <font>
      <name val="Calibri"/>
      <color rgb="001A1F2C"/>
      <sz val="11"/>
    </font>
    <font>
      <name val="Calibri"/>
      <color rgb="004A5567"/>
      <sz val="11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1A1F2C"/>
      <sz val="10"/>
    </font>
    <font>
      <name val="Calibri"/>
      <b val="1"/>
      <color rgb="001A1F2C"/>
      <sz val="11"/>
    </font>
    <font>
      <name val="Calibri"/>
      <b val="1"/>
      <color rgb="00276221"/>
      <sz val="11"/>
    </font>
    <font>
      <name val="Courier New"/>
      <color rgb="001a6b3c"/>
      <sz val="9"/>
    </font>
    <font>
      <name val="Calibri"/>
      <color rgb="007A8290"/>
      <sz val="9"/>
    </font>
    <font>
      <name val="Calibri"/>
      <b val="1"/>
      <color rgb="001A1F2C"/>
      <sz val="10"/>
    </font>
    <font>
      <name val="Courier New"/>
      <color rgb="001a6b3c"/>
      <sz val="10"/>
    </font>
  </fonts>
  <fills count="9">
    <fill>
      <patternFill/>
    </fill>
    <fill>
      <patternFill patternType="gray125"/>
    </fill>
    <fill>
      <patternFill patternType="solid">
        <fgColor rgb="000E1116"/>
      </patternFill>
    </fill>
    <fill>
      <patternFill patternType="solid">
        <fgColor rgb="009C4A2B"/>
      </patternFill>
    </fill>
    <fill>
      <patternFill patternType="solid">
        <fgColor rgb="004A7C5E"/>
      </patternFill>
    </fill>
    <fill>
      <patternFill patternType="solid">
        <fgColor rgb="001A1A2E"/>
      </patternFill>
    </fill>
    <fill>
      <patternFill patternType="solid">
        <fgColor rgb="00FAF8F3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333355"/>
      </left>
      <right style="thin">
        <color rgb="00333355"/>
      </right>
      <top style="thin">
        <color rgb="00333355"/>
      </top>
      <bottom style="thin">
        <color rgb="00333355"/>
      </bottom>
    </border>
    <border>
      <left style="thin">
        <color rgb="00E5E1D6"/>
      </left>
      <right style="thin">
        <color rgb="00E5E1D6"/>
      </right>
      <top style="thin">
        <color rgb="00E5E1D6"/>
      </top>
      <bottom style="thin">
        <color rgb="00E5E1D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indent="1"/>
    </xf>
    <xf numFmtId="0" fontId="9" fillId="6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indent="1"/>
    </xf>
    <xf numFmtId="0" fontId="8" fillId="8" borderId="2" applyAlignment="1" pivotButton="0" quotePrefix="0" xfId="0">
      <alignment horizontal="left" vertical="center" indent="1"/>
    </xf>
    <xf numFmtId="0" fontId="9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indent="1"/>
    </xf>
    <xf numFmtId="0" fontId="4" fillId="8" borderId="2" applyAlignment="1" pivotButton="0" quotePrefix="0" xfId="0">
      <alignment horizontal="center" vertical="center"/>
    </xf>
    <xf numFmtId="3" fontId="10" fillId="7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165" fontId="10" fillId="7" borderId="2" applyAlignment="1" pivotButton="0" quotePrefix="0" xfId="0">
      <alignment horizontal="center" vertical="center"/>
    </xf>
    <xf numFmtId="166" fontId="10" fillId="7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10" fontId="9" fillId="6" borderId="2" applyAlignment="1" pivotButton="0" quotePrefix="0" xfId="0">
      <alignment horizontal="center" vertical="center"/>
    </xf>
    <xf numFmtId="167" fontId="10" fillId="7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left" vertical="center" indent="1"/>
    </xf>
    <xf numFmtId="164" fontId="9" fillId="8" borderId="2" applyAlignment="1" pivotButton="0" quotePrefix="0" xfId="0">
      <alignment horizontal="center" vertical="center"/>
    </xf>
    <xf numFmtId="10" fontId="10" fillId="7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 indent="1"/>
    </xf>
    <xf numFmtId="0" fontId="13" fillId="8" borderId="2" applyAlignment="1" pivotButton="0" quotePrefix="0" xfId="0">
      <alignment horizontal="left" vertical="center" indent="1"/>
    </xf>
    <xf numFmtId="0" fontId="14" fillId="8" borderId="2" applyAlignment="1" pivotButton="0" quotePrefix="0" xfId="0">
      <alignment horizontal="left" vertical="center" indent="1"/>
    </xf>
    <xf numFmtId="0" fontId="13" fillId="6" borderId="2" applyAlignment="1" pivotButton="0" quotePrefix="0" xfId="0">
      <alignment horizontal="left" vertical="center" indent="1"/>
    </xf>
    <xf numFmtId="0" fontId="14" fillId="6" borderId="2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7C5E"/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56" customHeight="1">
      <c r="A1" s="1" t="inlineStr">
        <is>
          <t>INSTRUCTOR SOLUTION  ·  BUS 123  ·  MATH-M01  ·  Whole Numbers, Fractions &amp; Percents</t>
        </is>
      </c>
    </row>
    <row r="2" ht="8" customHeight="1"/>
    <row r="3" ht="30" customHeight="1">
      <c r="A3" s="2" t="inlineStr">
        <is>
          <t>Meridian Advisory Group  —  INSTRUCTOR USE ONLY  ·  DO NOT DISTRIBUTE</t>
        </is>
      </c>
    </row>
    <row r="4" ht="8" customHeight="1"/>
    <row r="5" ht="22" customHeight="1">
      <c r="A5" s="3" t="inlineStr">
        <is>
          <t>INSTRUCTOR NOTES</t>
        </is>
      </c>
    </row>
    <row r="6" ht="8" customHeight="1">
      <c r="A6" s="4" t="inlineStr"/>
    </row>
    <row r="7" ht="22" customHeight="1">
      <c r="A7" s="5" t="inlineStr">
        <is>
          <t>All yellow input cells are pre-filled with correct answers.</t>
        </is>
      </c>
    </row>
    <row r="8" ht="22" customHeight="1">
      <c r="A8" s="5" t="inlineStr">
        <is>
          <t>Formulas are stored as live Excel formulas (not text strings).</t>
        </is>
      </c>
    </row>
    <row r="9" ht="22" customHeight="1">
      <c r="A9" s="5" t="inlineStr">
        <is>
          <t>Section A answer key: A4 = 57, A6 = $239,400, A8 = -$10,600 (shortfall)</t>
        </is>
      </c>
    </row>
    <row r="10" ht="22" customHeight="1">
      <c r="A10" s="5" t="inlineStr">
        <is>
          <t>Section B answer key: B1-B3 = 0.3333, B4 = 0.5556, B5 = same</t>
        </is>
      </c>
    </row>
    <row r="11" ht="22" customHeight="1">
      <c r="A11" s="5" t="inlineStr">
        <is>
          <t>Section C answer key: C1=$35,910, C2=4.58%, C3=16%, C4=$268,128, C5=12%</t>
        </is>
      </c>
    </row>
  </sheetData>
  <mergeCells count="9">
    <mergeCell ref="A11:F11"/>
    <mergeCell ref="A10:F10"/>
    <mergeCell ref="A1:F1"/>
    <mergeCell ref="A5:F5"/>
    <mergeCell ref="A9:F9"/>
    <mergeCell ref="A8:F8"/>
    <mergeCell ref="A6:F6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C3E"/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6" customWidth="1" min="5" max="5"/>
  </cols>
  <sheetData>
    <row r="1" ht="50" customHeight="1">
      <c r="A1" s="6" t="inlineStr">
        <is>
          <t>INSTRUCTOR SOLUTION  —  Whole Numbers  —  Meridian Advisory Group</t>
        </is>
      </c>
    </row>
    <row r="2" ht="8" customHeight="1"/>
    <row r="3" ht="28" customHeight="1">
      <c r="A3" s="7" t="inlineStr">
        <is>
          <t>SECTION A  —  Basic Operations</t>
        </is>
      </c>
    </row>
    <row r="4" ht="8" customHeight="1"/>
    <row r="5" ht="26" customHeight="1">
      <c r="A5" s="8" t="inlineStr">
        <is>
          <t>Description</t>
        </is>
      </c>
      <c r="B5" s="8" t="inlineStr">
        <is>
          <t>Value A</t>
        </is>
      </c>
      <c r="C5" s="8" t="inlineStr">
        <is>
          <t>Value B</t>
        </is>
      </c>
      <c r="D5" s="8" t="inlineStr">
        <is>
          <t>ANSWER</t>
        </is>
      </c>
      <c r="E5" s="8" t="inlineStr">
        <is>
          <t>Formula Used</t>
        </is>
      </c>
    </row>
    <row r="6" ht="24" customHeight="1">
      <c r="A6" s="9" t="inlineStr">
        <is>
          <t>A1  Opening Q3 accounts</t>
        </is>
      </c>
      <c r="B6" s="10" t="n">
        <v>48</v>
      </c>
      <c r="D6" s="11">
        <f>48</f>
        <v/>
      </c>
      <c r="E6" s="12">
        <f>48</f>
        <v/>
      </c>
    </row>
    <row r="7" ht="24" customHeight="1">
      <c r="A7" s="13" t="inlineStr">
        <is>
          <t>A2  New clients added</t>
        </is>
      </c>
      <c r="B7" s="14" t="n">
        <v>12</v>
      </c>
      <c r="D7" s="11">
        <f>12</f>
        <v/>
      </c>
      <c r="E7" s="15">
        <f>12</f>
        <v/>
      </c>
    </row>
    <row r="8" ht="24" customHeight="1">
      <c r="A8" s="9" t="inlineStr">
        <is>
          <t>A3  Clients lost</t>
        </is>
      </c>
      <c r="B8" s="10" t="n">
        <v>3</v>
      </c>
      <c r="D8" s="11">
        <f>3</f>
        <v/>
      </c>
      <c r="E8" s="12">
        <f>3</f>
        <v/>
      </c>
    </row>
    <row r="9" ht="24" customHeight="1">
      <c r="A9" s="13" t="inlineStr">
        <is>
          <t>A4  Quarter-end total (A1+A2-A3)</t>
        </is>
      </c>
      <c r="B9" s="16" t="n"/>
      <c r="D9" s="17">
        <f>D6+D7-D8</f>
        <v/>
      </c>
      <c r="E9" s="15">
        <f>D6+D7-D8</f>
        <v/>
      </c>
    </row>
    <row r="10" ht="24" customHeight="1">
      <c r="A10" s="9" t="inlineStr">
        <is>
          <t>A5  Mgmt fee per account (quarterly)</t>
        </is>
      </c>
      <c r="B10" s="18" t="n">
        <v>4200</v>
      </c>
      <c r="D10" s="19">
        <f>4200</f>
        <v/>
      </c>
      <c r="E10" s="12">
        <f>4200</f>
        <v/>
      </c>
    </row>
    <row r="11" ht="24" customHeight="1">
      <c r="A11" s="13" t="inlineStr">
        <is>
          <t>A6  Total quarterly fee revenue (A4×A5)</t>
        </is>
      </c>
      <c r="B11" s="16" t="n"/>
      <c r="D11" s="19">
        <f>D9*D10</f>
        <v/>
      </c>
      <c r="E11" s="15">
        <f>D9*D10</f>
        <v/>
      </c>
    </row>
    <row r="12" ht="24" customHeight="1">
      <c r="A12" s="9" t="inlineStr">
        <is>
          <t>A7  Fee revenue target</t>
        </is>
      </c>
      <c r="B12" s="18" t="n">
        <v>250000</v>
      </c>
      <c r="D12" s="19">
        <f>250000</f>
        <v/>
      </c>
      <c r="E12" s="12">
        <f>250000</f>
        <v/>
      </c>
    </row>
    <row r="13" ht="24" customHeight="1">
      <c r="A13" s="13" t="inlineStr">
        <is>
          <t>A8  Shortfall / surplus (A6-A7)</t>
        </is>
      </c>
      <c r="B13" s="16" t="n"/>
      <c r="D13" s="20">
        <f>D11-D12</f>
        <v/>
      </c>
      <c r="E13" s="15">
        <f>D11-D12</f>
        <v/>
      </c>
    </row>
    <row r="14" ht="12" customHeight="1"/>
    <row r="15" ht="28" customHeight="1">
      <c r="A15" s="7" t="inlineStr">
        <is>
          <t>SECTION B  —  Fractions &amp; Ratios</t>
        </is>
      </c>
    </row>
    <row r="16" ht="8" customHeight="1"/>
    <row r="17" ht="26" customHeight="1">
      <c r="A17" s="8" t="inlineStr">
        <is>
          <t>Description</t>
        </is>
      </c>
      <c r="B17" s="8" t="inlineStr">
        <is>
          <t>Numerator</t>
        </is>
      </c>
      <c r="C17" s="8" t="inlineStr">
        <is>
          <t>Denominator</t>
        </is>
      </c>
      <c r="D17" s="8" t="inlineStr">
        <is>
          <t>ANSWER</t>
        </is>
      </c>
      <c r="E17" s="8" t="inlineStr">
        <is>
          <t>Formula</t>
        </is>
      </c>
    </row>
    <row r="18" ht="24" customHeight="1">
      <c r="A18" s="9" t="inlineStr">
        <is>
          <t>B1  Tax advisors (2 of 6)</t>
        </is>
      </c>
      <c r="B18" s="10" t="n">
        <v>2</v>
      </c>
      <c r="C18" s="10" t="n">
        <v>6</v>
      </c>
      <c r="D18" s="21">
        <f>2/6</f>
        <v/>
      </c>
      <c r="E18" s="12">
        <f>2/6</f>
        <v/>
      </c>
    </row>
    <row r="19" ht="24" customHeight="1">
      <c r="A19" s="13" t="inlineStr">
        <is>
          <t>B2  Estate advisors (2 of 6)</t>
        </is>
      </c>
      <c r="B19" s="14" t="n">
        <v>2</v>
      </c>
      <c r="C19" s="14" t="n">
        <v>6</v>
      </c>
      <c r="D19" s="21">
        <f>2/6</f>
        <v/>
      </c>
      <c r="E19" s="15">
        <f>2/6</f>
        <v/>
      </c>
    </row>
    <row r="20" ht="24" customHeight="1">
      <c r="A20" s="9" t="inlineStr">
        <is>
          <t>B3  Investment advisors (2 of 6)</t>
        </is>
      </c>
      <c r="B20" s="10" t="n">
        <v>2</v>
      </c>
      <c r="C20" s="10" t="n">
        <v>6</v>
      </c>
      <c r="D20" s="21">
        <f>2/6</f>
        <v/>
      </c>
      <c r="E20" s="12">
        <f>2/6</f>
        <v/>
      </c>
    </row>
    <row r="21" ht="24" customHeight="1">
      <c r="A21" s="13" t="inlineStr">
        <is>
          <t>B4  Tax after hiring (5 of 9)</t>
        </is>
      </c>
      <c r="B21" s="14" t="n">
        <v>5</v>
      </c>
      <c r="C21" s="14" t="n">
        <v>9</v>
      </c>
      <c r="D21" s="21">
        <f>5/9</f>
        <v/>
      </c>
      <c r="E21" s="15">
        <f>5/9</f>
        <v/>
      </c>
    </row>
    <row r="22" ht="24" customHeight="1">
      <c r="A22" s="9" t="inlineStr">
        <is>
          <t>B5  Decimal of B4</t>
        </is>
      </c>
      <c r="B22" s="22" t="n"/>
      <c r="C22" s="22" t="n"/>
      <c r="D22" s="21">
        <f>5/9</f>
        <v/>
      </c>
      <c r="E22" s="12">
        <f>5/9</f>
        <v/>
      </c>
    </row>
    <row r="23" ht="12" customHeight="1"/>
    <row r="24" ht="28" customHeight="1">
      <c r="A24" s="7" t="inlineStr">
        <is>
          <t>SECTION C  —  Percent Calculations</t>
        </is>
      </c>
    </row>
    <row r="25" ht="8" customHeight="1"/>
    <row r="26" ht="26" customHeight="1">
      <c r="A26" s="8" t="inlineStr">
        <is>
          <t>Description</t>
        </is>
      </c>
      <c r="B26" s="8" t="inlineStr">
        <is>
          <t>Input 1</t>
        </is>
      </c>
      <c r="C26" s="8" t="inlineStr">
        <is>
          <t>Input 2</t>
        </is>
      </c>
      <c r="D26" s="8" t="inlineStr">
        <is>
          <t>ANSWER</t>
        </is>
      </c>
      <c r="E26" s="8" t="inlineStr">
        <is>
          <t>Case Type</t>
        </is>
      </c>
    </row>
    <row r="27" ht="24" customHeight="1">
      <c r="A27" s="9" t="inlineStr">
        <is>
          <t>C1  15% of $239,400</t>
        </is>
      </c>
      <c r="B27" s="18" t="n">
        <v>239400</v>
      </c>
      <c r="C27" s="23" t="n">
        <v>0.15</v>
      </c>
      <c r="D27" s="24">
        <f>B27*C27</f>
        <v/>
      </c>
      <c r="E27" s="25" t="inlineStr">
        <is>
          <t>Case 1: % of whole</t>
        </is>
      </c>
    </row>
    <row r="28" ht="24" customHeight="1">
      <c r="A28" s="13" t="inlineStr">
        <is>
          <t>C2  % change $1.2M → $1.255M</t>
        </is>
      </c>
      <c r="B28" s="26" t="n">
        <v>1200000</v>
      </c>
      <c r="C28" s="26" t="n">
        <v>1255000</v>
      </c>
      <c r="D28" s="27">
        <f>(C28-B28)/B28</f>
        <v/>
      </c>
      <c r="E28" s="28" t="inlineStr">
        <is>
          <t>Case 2: % change</t>
        </is>
      </c>
    </row>
    <row r="29" ht="24" customHeight="1">
      <c r="A29" s="9" t="inlineStr">
        <is>
          <t>C3  4 of 25 clients renewed</t>
        </is>
      </c>
      <c r="B29" s="10" t="n">
        <v>4</v>
      </c>
      <c r="C29" s="10" t="n">
        <v>25</v>
      </c>
      <c r="D29" s="27">
        <f>B29/C29</f>
        <v/>
      </c>
      <c r="E29" s="25" t="inlineStr">
        <is>
          <t>Case 3: ratio as %</t>
        </is>
      </c>
    </row>
    <row r="30" ht="24" customHeight="1">
      <c r="A30" s="13" t="inlineStr">
        <is>
          <t>C4  +12% on $239,400</t>
        </is>
      </c>
      <c r="B30" s="26" t="n">
        <v>239400</v>
      </c>
      <c r="C30" s="14" t="n">
        <v>1.12</v>
      </c>
      <c r="D30" s="24">
        <f>B30*C30</f>
        <v/>
      </c>
      <c r="E30" s="28" t="inlineStr">
        <is>
          <t>Case 1 variant</t>
        </is>
      </c>
    </row>
    <row r="31" ht="24" customHeight="1">
      <c r="A31" s="9" t="inlineStr">
        <is>
          <t>C5  % change $239,400 → $268,200</t>
        </is>
      </c>
      <c r="B31" s="18" t="n">
        <v>239400</v>
      </c>
      <c r="C31" s="18" t="n">
        <v>268200</v>
      </c>
      <c r="D31" s="27">
        <f>(C31-B31)/B31</f>
        <v/>
      </c>
      <c r="E31" s="25" t="inlineStr">
        <is>
          <t>Case 2 variant</t>
        </is>
      </c>
    </row>
  </sheetData>
  <mergeCells count="4">
    <mergeCell ref="A15:E15"/>
    <mergeCell ref="A1:E1"/>
    <mergeCell ref="A24:E2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C4A2B"/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32" customWidth="1" min="3" max="3"/>
    <col width="20" customWidth="1" min="4" max="4"/>
  </cols>
  <sheetData>
    <row r="1" ht="50" customHeight="1">
      <c r="A1" s="6" t="inlineStr">
        <is>
          <t>INSTRUCTOR ANSWER KEY  —  BUS 123 · MATH-M01  —  DO NOT DISTRIBUTE</t>
        </is>
      </c>
    </row>
    <row r="2" ht="8" customHeight="1"/>
    <row r="3" ht="28" customHeight="1">
      <c r="A3" s="7" t="inlineStr">
        <is>
          <t>SECTION A — Arithmetic</t>
        </is>
      </c>
    </row>
    <row r="4" ht="24" customHeight="1">
      <c r="A4" s="8" t="inlineStr">
        <is>
          <t>Question</t>
        </is>
      </c>
      <c r="B4" s="8" t="inlineStr">
        <is>
          <t>Answer</t>
        </is>
      </c>
      <c r="C4" s="8" t="inlineStr">
        <is>
          <t>Formula</t>
        </is>
      </c>
      <c r="D4" s="8" t="inlineStr">
        <is>
          <t>Notes</t>
        </is>
      </c>
    </row>
    <row r="5" ht="24" customHeight="1">
      <c r="A5" s="13" t="inlineStr">
        <is>
          <t>A4  Quarter-end accounts</t>
        </is>
      </c>
      <c r="B5" s="29" t="inlineStr">
        <is>
          <t>57</t>
        </is>
      </c>
      <c r="C5" s="30">
        <f>B6+B7-B8</f>
        <v/>
      </c>
      <c r="D5" s="13" t="inlineStr">
        <is>
          <t>48+12-3</t>
        </is>
      </c>
    </row>
    <row r="6" ht="24" customHeight="1">
      <c r="A6" s="9" t="inlineStr">
        <is>
          <t>A6  Total fee revenue</t>
        </is>
      </c>
      <c r="B6" s="31" t="inlineStr">
        <is>
          <t>$239,400</t>
        </is>
      </c>
      <c r="C6" s="32">
        <f>D9*D10</f>
        <v/>
      </c>
      <c r="D6" s="9" t="inlineStr">
        <is>
          <t>57 × $4,200</t>
        </is>
      </c>
    </row>
    <row r="7" ht="24" customHeight="1">
      <c r="A7" s="13" t="inlineStr">
        <is>
          <t>A8  Shortfall / surplus</t>
        </is>
      </c>
      <c r="B7" s="29" t="inlineStr">
        <is>
          <t>-$10,600</t>
        </is>
      </c>
      <c r="C7" s="30">
        <f>D11-D12</f>
        <v/>
      </c>
      <c r="D7" s="13" t="inlineStr">
        <is>
          <t>$239,400 − $250,000</t>
        </is>
      </c>
    </row>
    <row r="8" ht="10" customHeight="1"/>
    <row r="9" ht="28" customHeight="1">
      <c r="A9" s="7" t="inlineStr">
        <is>
          <t>SECTION B — Fractions</t>
        </is>
      </c>
    </row>
    <row r="10" ht="24" customHeight="1">
      <c r="A10" s="8" t="inlineStr">
        <is>
          <t>Question</t>
        </is>
      </c>
      <c r="B10" s="8" t="inlineStr">
        <is>
          <t>Answer</t>
        </is>
      </c>
      <c r="C10" s="8" t="inlineStr">
        <is>
          <t>Formula</t>
        </is>
      </c>
      <c r="D10" s="8" t="inlineStr">
        <is>
          <t>Notes</t>
        </is>
      </c>
    </row>
    <row r="11" ht="24" customHeight="1">
      <c r="A11" s="13" t="inlineStr">
        <is>
          <t>B1  Tax share (2/6)</t>
        </is>
      </c>
      <c r="B11" s="29" t="inlineStr">
        <is>
          <t>0.3333</t>
        </is>
      </c>
      <c r="C11" s="30">
        <f>2/6</f>
        <v/>
      </c>
      <c r="D11" s="13" t="inlineStr">
        <is>
          <t>1/3 of team</t>
        </is>
      </c>
    </row>
    <row r="12" ht="24" customHeight="1">
      <c r="A12" s="9" t="inlineStr">
        <is>
          <t>B4  Tax after hiring (5/9)</t>
        </is>
      </c>
      <c r="B12" s="31" t="inlineStr">
        <is>
          <t>0.5556</t>
        </is>
      </c>
      <c r="C12" s="32">
        <f>5/9</f>
        <v/>
      </c>
      <c r="D12" s="9" t="inlineStr">
        <is>
          <t>5 of 9 advisors</t>
        </is>
      </c>
    </row>
    <row r="13" ht="24" customHeight="1">
      <c r="A13" s="13" t="inlineStr">
        <is>
          <t>B5  Same as B4 decimal</t>
        </is>
      </c>
      <c r="B13" s="29" t="inlineStr">
        <is>
          <t>0.5556</t>
        </is>
      </c>
      <c r="C13" s="30">
        <f>5/9</f>
        <v/>
      </c>
      <c r="D13" s="13" t="inlineStr">
        <is>
          <t>No change</t>
        </is>
      </c>
    </row>
    <row r="14" ht="10" customHeight="1"/>
    <row r="15" ht="28" customHeight="1">
      <c r="A15" s="7" t="inlineStr">
        <is>
          <t>SECTION C — Percents</t>
        </is>
      </c>
    </row>
    <row r="16" ht="24" customHeight="1">
      <c r="A16" s="8" t="inlineStr">
        <is>
          <t>Question</t>
        </is>
      </c>
      <c r="B16" s="8" t="inlineStr">
        <is>
          <t>Answer</t>
        </is>
      </c>
      <c r="C16" s="8" t="inlineStr">
        <is>
          <t>Formula</t>
        </is>
      </c>
      <c r="D16" s="8" t="inlineStr">
        <is>
          <t>Notes</t>
        </is>
      </c>
    </row>
    <row r="17" ht="24" customHeight="1">
      <c r="A17" s="13" t="inlineStr">
        <is>
          <t>C1  15% of $239,400</t>
        </is>
      </c>
      <c r="B17" s="29" t="inlineStr">
        <is>
          <t>$35,910.00</t>
        </is>
      </c>
      <c r="C17" s="30">
        <f>B27*C27</f>
        <v/>
      </c>
      <c r="D17" s="13" t="inlineStr">
        <is>
          <t>Case 1: whole × rate</t>
        </is>
      </c>
    </row>
    <row r="18" ht="24" customHeight="1">
      <c r="A18" s="9" t="inlineStr">
        <is>
          <t>C2  % change $1.2M→$1.255M</t>
        </is>
      </c>
      <c r="B18" s="31" t="inlineStr">
        <is>
          <t>4.58%</t>
        </is>
      </c>
      <c r="C18" s="32">
        <f>(C28-B28)/B28</f>
        <v/>
      </c>
      <c r="D18" s="9" t="inlineStr">
        <is>
          <t>Case 2: (new−old)/old</t>
        </is>
      </c>
    </row>
    <row r="19" ht="24" customHeight="1">
      <c r="A19" s="13" t="inlineStr">
        <is>
          <t>C3  4 of 25 clients renewed</t>
        </is>
      </c>
      <c r="B19" s="29" t="inlineStr">
        <is>
          <t>16.00%</t>
        </is>
      </c>
      <c r="C19" s="30">
        <f>B29/C29</f>
        <v/>
      </c>
      <c r="D19" s="13" t="inlineStr">
        <is>
          <t>Case 3: part/whole</t>
        </is>
      </c>
    </row>
    <row r="20" ht="24" customHeight="1">
      <c r="A20" s="9" t="inlineStr">
        <is>
          <t>C4  +12% on $239,400</t>
        </is>
      </c>
      <c r="B20" s="31" t="inlineStr">
        <is>
          <t>$268,128.00</t>
        </is>
      </c>
      <c r="C20" s="32">
        <f>B30*C30</f>
        <v/>
      </c>
      <c r="D20" s="9" t="inlineStr">
        <is>
          <t>Case 1 variant</t>
        </is>
      </c>
    </row>
    <row r="21" ht="24" customHeight="1">
      <c r="A21" s="13" t="inlineStr">
        <is>
          <t>C5  % change → $268,200</t>
        </is>
      </c>
      <c r="B21" s="29" t="inlineStr">
        <is>
          <t>12.00%</t>
        </is>
      </c>
      <c r="C21" s="30">
        <f>(C31-B31)/B31</f>
        <v/>
      </c>
      <c r="D21" s="13" t="inlineStr">
        <is>
          <t>Case 2 variant</t>
        </is>
      </c>
    </row>
  </sheetData>
  <mergeCells count="4">
    <mergeCell ref="A1:D1"/>
    <mergeCell ref="A9:D9"/>
    <mergeCell ref="A3:D3"/>
    <mergeCell ref="A15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8843D"/>
    <outlinePr summaryBelow="1" summaryRight="1"/>
    <pageSetUpPr/>
  </sheetPr>
  <dimension ref="A1:D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28" customWidth="1" min="3" max="3"/>
    <col width="26" customWidth="1" min="4" max="4"/>
  </cols>
  <sheetData>
    <row r="1" ht="50" customHeight="1">
      <c r="A1" s="1" t="inlineStr">
        <is>
          <t>Formula Reference Card  —  BUS 123 · MATH-M01  (Instructor Copy)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2026-05-25T18:22:06Z</dcterms:created>
  <dcterms:modified xmlns:dcterms="http://purl.org/dc/terms/" xmlns:xsi="http://www.w3.org/2001/XMLSchema-instance" xsi:type="dcterms:W3CDTF">2026-05-25T18:22:06Z</dcterms:modified>
</cp:coreProperties>
</file>