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e79bb5cb9e41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4bf1174f00b5493d"/>
    <x:sheet xmlns:r="http://schemas.openxmlformats.org/officeDocument/2006/relationships" name="Live You Try It" sheetId="2" r:id="Rf397c5162b1d4a5c"/>
    <x:sheet xmlns:r="http://schemas.openxmlformats.org/officeDocument/2006/relationships" name="Class Challenge" sheetId="3" r:id="Rf847f170512343bb"/>
    <x:sheet xmlns:r="http://schemas.openxmlformats.org/officeDocument/2006/relationships" name="FormulaReferenceCard" sheetId="4" r:id="R42a49a66ef8d4a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\$#,##0.00"/>
    <x:numFmt numFmtId="200" formatCode="@"/>
  </x:numFmts>
  <x:fonts count="6">
    <x:font>
      <x:sz val="11"/>
      <x:color theme="1"/>
      <x:name val="Calibri"/>
    </x:font>
    <x:font>
      <x:b/>
      <x:sz val="16"/>
      <x:color rgb="FFFFFFFF"/>
      <x:name val="DM Sans"/>
    </x:font>
    <x:font>
      <x:sz val="11"/>
      <x:color theme="1"/>
      <x:name val="Calibri"/>
    </x:font>
    <x:font>
      <x:sz val="10"/>
      <x:color rgb="FF4A5567"/>
      <x:name val="DM Sans"/>
    </x:font>
    <x:font>
      <x:b/>
      <x:sz val="11"/>
      <x:color rgb="FFFFFFFF"/>
      <x:name val="DM Sans"/>
    </x:font>
    <x:font>
      <x:sz val="10"/>
      <x:color rgb="FF355773"/>
      <x:name val="DM Sans"/>
    </x:font>
  </x:fonts>
  <x:fills count="10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9C4A2B"/>
      </x:patternFill>
    </x:fill>
    <x:fill>
      <x:patternFill patternType="solid">
        <x:fgColor rgb="FFFFD966"/>
      </x:patternFill>
    </x:fill>
    <x:fill>
      <x:patternFill patternType="solid">
        <x:fgColor rgb="FFDDEBF7"/>
      </x:patternFill>
    </x:fill>
    <x:fill>
      <x:patternFill patternType="solid">
        <x:fgColor rgb="FFEAF3EC"/>
      </x:patternFill>
    </x:fill>
  </x:fills>
  <x:borders count="2">
    <x:border/>
    <x:border>
      <x:bottom style="thin">
        <x:color rgb="FFD9E2D0"/>
      </x:bottom>
    </x:border>
  </x:borders>
  <x:cellStyleXfs count="1">
    <x:xf numFmtId="0" fontId="2" fillId="0" borderId="0"/>
  </x:cellStyleXfs>
  <x:cellXfs count="25">
    <x:xf numFmtId="0" fontId="0" fillId="0" borderId="0" xfId="0"/>
    <x:xf numFmtId="0" fontId="2" fillId="0" borderId="1" xfId="0" applyAlignment="1">
      <x:alignment vertical="top" wrapText="1"/>
    </x:xf>
    <x:xf numFmtId="0" fontId="4" fillId="2" borderId="1" xfId="0" applyAlignment="1">
      <x:alignment vertical="top" wrapText="1"/>
    </x:xf>
    <x:xf numFmtId="0" fontId="2" fillId="7" borderId="1" xfId="0" applyAlignment="1">
      <x:alignment vertical="top" wrapText="1"/>
    </x:xf>
    <x:xf numFmtId="164" fontId="2" fillId="8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2" fillId="9" borderId="1" xfId="0" applyAlignment="1">
      <x:alignment vertical="top" wrapText="1"/>
    </x:xf>
    <x:xf numFmtId="10" fontId="2" fillId="8" borderId="1" xfId="0" applyAlignment="1">
      <x:alignment vertical="top" wrapText="1"/>
    </x:xf>
    <x:xf numFmtId="2" fontId="2" fillId="8" borderId="1" xfId="0" applyAlignment="1">
      <x:alignment vertical="top" wrapText="1"/>
    </x:xf>
    <x:xf numFmtId="0" fontId="5" fillId="0" borderId="1" xfId="0" applyAlignment="1">
      <x:alignment vertical="top" wrapText="1"/>
    </x:xf>
    <x:xf numFmtId="0" fontId="5" fillId="9" borderId="1" xfId="0" applyAlignment="1">
      <x:alignment vertical="top" wrapText="1"/>
    </x:xf>
    <x:xf numFmtId="0" fontId="3" fillId="3" borderId="1" xfId="0" applyAlignment="1">
      <x:alignment vertical="top" wrapText="1"/>
    </x:xf>
    <x:xf numFmtId="0" fontId="2" fillId="0" borderId="1" xfId="0" applyAlignment="1">
      <x:alignment vertical="top" wrapText="1"/>
    </x:xf>
    <x:xf numFmtId="0" fontId="4" fillId="5" borderId="1" xfId="0" applyAlignment="1">
      <x:alignment vertical="top" wrapText="1"/>
    </x:xf>
    <x:xf numFmtId="0" fontId="1" fillId="2" borderId="1" xfId="0" applyAlignment="1">
      <x:alignment vertical="top" wrapText="1"/>
    </x:xf>
    <x:xf numFmtId="0" fontId="4" fillId="6" borderId="1" xfId="0" applyAlignment="1">
      <x:alignment vertical="top" wrapText="1"/>
    </x:xf>
    <x:xf numFmtId="0" fontId="4" fillId="4" borderId="1" xfId="0" applyAlignment="1">
      <x:alignment vertical="top" wrapText="1"/>
    </x:xf>
    <x:xf numFmtId="0" fontId="0" fillId="0" borderId="1" xfId="0"/>
    <x:xf numFmtId="0" fontId="2" fillId="0" borderId="1" xfId="0" applyAlignment="1">
      <x:alignment horizontal="center" vertical="center" wrapText="1"/>
    </x:xf>
    <x:xf numFmtId="0" fontId="2" fillId="0" borderId="1" xfId="0" applyAlignment="1">
      <x:alignment horizontal="left" vertical="center" wrapText="1"/>
    </x:xf>
    <x:xf numFmtId="0" fontId="2" fillId="7" borderId="1" xfId="0" applyAlignment="1">
      <x:alignment horizontal="center" vertical="center" wrapText="1"/>
    </x:xf>
    <x:xf numFmtId="164" fontId="2" fillId="8" borderId="1" xfId="0" applyAlignment="1">
      <x:alignment horizontal="center" vertical="center" wrapText="1"/>
    </x:xf>
    <x:xf numFmtId="10" fontId="2" fillId="8" borderId="1" xfId="0" applyAlignment="1">
      <x:alignment horizontal="center" vertical="center" wrapText="1"/>
    </x:xf>
    <x:xf numFmtId="2" fontId="2" fillId="8" borderId="1" xfId="0" applyAlignment="1">
      <x:alignment horizontal="center" vertical="center" wrapText="1"/>
    </x:xf>
    <x:xf numFmtId="200" fontId="5" fillId="9" borderId="1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c9fada965248c7" /><Relationship Type="http://schemas.openxmlformats.org/officeDocument/2006/relationships/theme" Target="/xl/theme/theme1.xml" Id="Rd89d0e219da9400f" /><Relationship Type="http://schemas.openxmlformats.org/officeDocument/2006/relationships/sharedStrings" Target="/xl/sharedStrings.xml" Id="R688e722becaa493c" /><Relationship Type="http://schemas.openxmlformats.org/officeDocument/2006/relationships/worksheet" Target="/xl/worksheets/sheet1.xml" Id="R4bf1174f00b5493d" /><Relationship Type="http://schemas.openxmlformats.org/officeDocument/2006/relationships/worksheet" Target="/xl/worksheets/sheet2.xml" Id="Rf397c5162b1d4a5c" /><Relationship Type="http://schemas.openxmlformats.org/officeDocument/2006/relationships/worksheet" Target="/xl/worksheets/sheet3.xml" Id="Rf847f170512343bb" /><Relationship Type="http://schemas.openxmlformats.org/officeDocument/2006/relationships/worksheet" Target="/xl/worksheets/sheet4.xml" Id="R42a49a66ef8d4af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2" customWidth="1"/>
    <x:col min="2" max="2" width="70" customWidth="1"/>
    <x:col min="3" max="3" width="20" customWidth="1"/>
    <x:col min="4" max="6" width="16" customWidth="1"/>
  </x:cols>
  <x:sheetData>
    <x:row r="1" ht="26" customHeight="1">
      <x:c r="A1" s="14" t="inlineStr">
        <x:is>
          <x:t xml:space="preserve">BUS123 - MATH-M09-L01</x:t>
        </x:is>
      </x:c>
      <x:c r="B1" s="17" t="n"/>
      <x:c r="C1" s="17" t="n"/>
      <x:c r="D1" s="17" t="n"/>
      <x:c r="E1" s="17" t="n"/>
      <x:c r="F1" s="17" t="n"/>
    </x:row>
    <x:row r="2" ht="32" customHeight="1">
      <x:c r="A2" s="11" t="inlineStr">
        <x:is>
          <x:t xml:space="preserve">Compound Interest and Future Value</x:t>
        </x:is>
      </x:c>
      <x:c r="B2" s="17" t="n"/>
      <x:c r="C2" s="17" t="n"/>
      <x:c r="D2" s="17" t="n"/>
      <x:c r="E2" s="17" t="n"/>
      <x:c r="F2" s="17" t="n"/>
    </x:row>
    <x:row r="3">
      <x:c r="A3" s="12" t="n"/>
      <x:c r="B3" s="12" t="n"/>
      <x:c r="C3" s="12" t="n"/>
      <x:c r="D3" s="12" t="n"/>
      <x:c r="E3" s="12" t="n"/>
      <x:c r="F3" s="12" t="n"/>
    </x:row>
    <x:row r="4" ht="22" customHeight="1">
      <x:c r="A4" s="16" t="inlineStr">
        <x:is>
          <x:t xml:space="preserve">How to Use This Workbook</x:t>
        </x:is>
      </x:c>
      <x:c r="B4" s="17" t="n"/>
      <x:c r="C4" s="17" t="n"/>
      <x:c r="D4" s="17" t="n"/>
      <x:c r="E4" s="17" t="n"/>
      <x:c r="F4" s="17" t="n"/>
    </x:row>
    <x:row r="5" ht="16" customHeight="1">
      <x:c r="A5" s="12" t="inlineStr">
        <x:is>
          <x:t xml:space="preserve">1</x:t>
        </x:is>
      </x:c>
      <x:c r="B5" s="12" t="inlineStr">
        <x:is>
          <x:t xml:space="preserve">Open the slide deck and stop at each Live You Try It pause.</x:t>
        </x:is>
      </x:c>
      <x:c r="C5" s="12" t="n"/>
      <x:c r="D5" s="12" t="n"/>
      <x:c r="E5" s="12" t="n"/>
      <x:c r="F5" s="12" t="n"/>
    </x:row>
    <x:row r="6" ht="16" customHeight="1">
      <x:c r="A6" s="12" t="inlineStr">
        <x:is>
          <x:t xml:space="preserve">2</x:t>
        </x:is>
      </x:c>
      <x:c r="B6" s="12" t="inlineStr">
        <x:is>
          <x:t xml:space="preserve">Enter the slide givens into the yellow input cells first.</x:t>
        </x:is>
      </x:c>
      <x:c r="C6" s="12" t="n"/>
      <x:c r="D6" s="12" t="n"/>
      <x:c r="E6" s="12" t="n"/>
      <x:c r="F6" s="12" t="n"/>
    </x:row>
    <x:row r="7" ht="16" customHeight="1">
      <x:c r="A7" s="12" t="inlineStr">
        <x:is>
          <x:t xml:space="preserve">3</x:t>
        </x:is>
      </x:c>
      <x:c r="B7" s="12" t="inlineStr">
        <x:is>
          <x:t xml:space="preserve">Build formulas by referencing the input cells. Do not type numbers inside formulas.</x:t>
        </x:is>
      </x:c>
      <x:c r="C7" s="12" t="n"/>
      <x:c r="D7" s="12" t="n"/>
      <x:c r="E7" s="12" t="n"/>
      <x:c r="F7" s="12" t="n"/>
    </x:row>
    <x:row r="8" ht="16" customHeight="1">
      <x:c r="A8" s="12" t="inlineStr">
        <x:is>
          <x:t xml:space="preserve">4</x:t>
        </x:is>
      </x:c>
      <x:c r="B8" s="12" t="inlineStr">
        <x:is>
          <x:t xml:space="preserve">Use the feedback cells to revise your Live You Try It work.</x:t>
        </x:is>
      </x:c>
      <x:c r="C8" s="12" t="n"/>
      <x:c r="D8" s="12" t="n"/>
      <x:c r="E8" s="12" t="n"/>
      <x:c r="F8" s="12" t="n"/>
    </x:row>
    <x:row r="9" ht="32" customHeight="1">
      <x:c r="A9" s="12" t="inlineStr">
        <x:is>
          <x:t xml:space="preserve">5</x:t>
        </x:is>
      </x:c>
      <x:c r="B9" s="12" t="inlineStr">
        <x:is>
          <x:t xml:space="preserve">Complete Class Challenge with formulas. The blue answer cells start blank in the public starter.</x:t>
        </x:is>
      </x:c>
      <x:c r="C9" s="12" t="n"/>
      <x:c r="D9" s="12" t="n"/>
      <x:c r="E9" s="12" t="n"/>
      <x:c r="F9" s="12" t="n"/>
    </x:row>
    <x:row r="10">
      <x:c r="A10" s="12" t="n"/>
      <x:c r="B10" s="12" t="n"/>
      <x:c r="C10" s="12" t="n"/>
      <x:c r="D10" s="12" t="n"/>
      <x:c r="E10" s="12" t="n"/>
      <x:c r="F10" s="12" t="n"/>
    </x:row>
    <x:row r="11" ht="22" customHeight="1">
      <x:c r="A11" s="13" t="inlineStr">
        <x:is>
          <x:t xml:space="preserve">Required Public Tabs</x:t>
        </x:is>
      </x:c>
      <x:c r="B11" s="17" t="n"/>
      <x:c r="C11" s="17" t="n"/>
      <x:c r="D11" s="17" t="n"/>
      <x:c r="E11" s="17" t="n"/>
      <x:c r="F11" s="17" t="n"/>
    </x:row>
    <x:row r="12" ht="16" customHeight="1">
      <x:c r="A12" s="12" t="inlineStr">
        <x:is>
          <x:t xml:space="preserve">Live You Try It</x:t>
        </x:is>
      </x:c>
      <x:c r="B12" s="12" t="inlineStr">
        <x:is>
          <x:t xml:space="preserve">Self-graded practice with hints and feedback; not part of the private rubric.</x:t>
        </x:is>
      </x:c>
      <x:c r="C12" s="12" t="n"/>
      <x:c r="D12" s="12" t="n"/>
      <x:c r="E12" s="12" t="n"/>
      <x:c r="F12" s="12" t="n"/>
    </x:row>
    <x:row r="13" ht="32" customHeight="1">
      <x:c r="A13" s="12" t="inlineStr">
        <x:is>
          <x:t xml:space="preserve">Class Challenge</x:t>
        </x:is>
      </x:c>
      <x:c r="B13" s="12" t="inlineStr">
        <x:is>
          <x:t xml:space="preserve">The only graded/next-level activity tab.</x:t>
        </x:is>
      </x:c>
      <x:c r="C13" s="12" t="n"/>
      <x:c r="D13" s="12" t="n"/>
      <x:c r="E13" s="12" t="n"/>
      <x:c r="F13" s="12" t="n"/>
    </x:row>
    <x:row r="14" ht="32" customHeight="1">
      <x:c r="A14" s="12" t="inlineStr">
        <x:is>
          <x:t xml:space="preserve">FormulaReferenceCard</x:t>
        </x:is>
      </x:c>
      <x:c r="B14" s="12" t="inlineStr">
        <x:is>
          <x:t xml:space="preserve">Formula syntax reminders for this lesson.</x:t>
        </x:is>
      </x:c>
      <x:c r="C14" s="12" t="n"/>
      <x:c r="D14" s="12" t="n"/>
      <x:c r="E14" s="12" t="n"/>
      <x:c r="F14" s="12" t="n"/>
    </x:row>
    <x:row r="15">
      <x:c r="A15" s="12" t="n"/>
      <x:c r="B15" s="12" t="n"/>
      <x:c r="C15" s="12" t="n"/>
      <x:c r="D15" s="12" t="n"/>
      <x:c r="E15" s="12" t="n"/>
      <x:c r="F15" s="12" t="n"/>
    </x:row>
    <x:row r="16">
      <x:c r="A16" s="12" t="n"/>
      <x:c r="B16" s="12" t="n"/>
      <x:c r="C16" s="12" t="n"/>
      <x:c r="D16" s="12" t="n"/>
      <x:c r="E16" s="12" t="n"/>
      <x:c r="F16" s="12" t="n"/>
    </x:row>
    <x:row r="17" ht="22" customHeight="1">
      <x:c r="A17" s="15" t="inlineStr">
        <x:is>
          <x:t xml:space="preserve">I Can</x:t>
        </x:is>
      </x:c>
      <x:c r="B17" s="17" t="n"/>
      <x:c r="C17" s="17" t="n"/>
      <x:c r="D17" s="17" t="n"/>
      <x:c r="E17" s="17" t="n"/>
      <x:c r="F17" s="17" t="n"/>
    </x:row>
    <x:row r="18" ht="16" customHeight="1">
      <x:c r="A18" s="12" t="n">
        <x:v>1</x:v>
      </x:c>
      <x:c r="B18" s="12" t="inlineStr">
        <x:is>
          <x:t xml:space="preserve">Explain why compound interest grows differently from simple interest.</x:t>
        </x:is>
      </x:c>
      <x:c r="C18" s="12" t="n"/>
      <x:c r="D18" s="12" t="n"/>
      <x:c r="E18" s="12" t="n"/>
      <x:c r="F18" s="12" t="n"/>
    </x:row>
    <x:row r="19" ht="16" customHeight="1">
      <x:c r="A19" s="12" t="n">
        <x:v>2</x:v>
      </x:c>
      <x:c r="B19" s="12" t="inlineStr">
        <x:is>
          <x:t xml:space="preserve">Build =FV() formulas with correct sign convention.</x:t>
        </x:is>
      </x:c>
      <x:c r="C19" s="12" t="n"/>
      <x:c r="D19" s="12" t="n"/>
      <x:c r="E19" s="12" t="n"/>
      <x:c r="F19" s="12" t="n"/>
    </x:row>
    <x:row r="20" ht="16" customHeight="1">
      <x:c r="A20" s="12" t="n">
        <x:v>3</x:v>
      </x:c>
      <x:c r="B20" s="12" t="inlineStr">
        <x:is>
          <x:t xml:space="preserve">Adjust rate and nper for non-annual compounding.</x:t>
        </x:is>
      </x:c>
      <x:c r="C20" s="12" t="n"/>
      <x:c r="D20" s="12" t="n"/>
      <x:c r="E20" s="12" t="n"/>
      <x:c r="F20" s="12" t="n"/>
    </x:row>
    <x:row r="21" ht="16" customHeight="1">
      <x:c r="A21" s="12" t="n">
        <x:v>4</x:v>
      </x:c>
      <x:c r="B21" s="12" t="inlineStr">
        <x:is>
          <x:t xml:space="preserve">Use Rule of 72 as an estimate and verify with Excel.</x:t>
        </x:is>
      </x:c>
      <x:c r="C21" s="12" t="n"/>
      <x:c r="D21" s="12" t="n"/>
      <x:c r="E21" s="12" t="n"/>
      <x:c r="F21" s="12" t="n"/>
    </x:row>
    <x:row r="22">
      <x:c r="A22" s="12" t="n"/>
      <x:c r="B22" s="12" t="n"/>
      <x:c r="C22" s="12" t="n"/>
      <x:c r="D22" s="12" t="n"/>
      <x:c r="E22" s="12" t="n"/>
      <x:c r="F22" s="12" t="n"/>
    </x:row>
  </x:sheetData>
  <x:mergeCells>
    <x:mergeCell ref="A2:F2"/>
    <x:mergeCell ref="A11:F11"/>
    <x:mergeCell ref="A1:F1"/>
    <x:mergeCell ref="A17:F17"/>
    <x:mergeCell ref="A4:F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3" customWidth="1"/>
    <x:col min="2" max="2" width="10" customWidth="1"/>
    <x:col min="3" max="3" width="38" customWidth="1"/>
    <x:col min="4" max="7" width="14" customWidth="1"/>
    <x:col min="8" max="8" width="20" customWidth="1"/>
    <x:col min="9" max="9" width="34" customWidth="1"/>
    <x:col min="10" max="10" width="28" customWidth="1"/>
  </x:cols>
  <x:sheetData>
    <x:row r="1" ht="26" customHeight="1">
      <x:c r="A1" s="14" t="inlineStr">
        <x:is>
          <x:t xml:space="preserve">MATH-M09-L01 - Live You Try It</x:t>
        </x:is>
      </x:c>
      <x:c r="B1" s="17" t="n"/>
      <x:c r="C1" s="17" t="n"/>
      <x:c r="D1" s="17" t="n"/>
      <x:c r="E1" s="17" t="n"/>
      <x:c r="F1" s="17" t="n"/>
      <x:c r="G1" s="17" t="n"/>
      <x:c r="H1" s="17" t="n"/>
      <x:c r="I1" s="17" t="n"/>
      <x:c r="J1" s="17" t="n"/>
    </x:row>
    <x:row r="2" ht="32" customHeight="1">
      <x:c r="A2" s="11" t="inlineStr">
        <x:is>
          <x:t xml:space="preserve">Self-graded Excel pauses. Enter slide givens into yellow cells, then build formulas with cell references.</x:t>
        </x:is>
      </x:c>
      <x:c r="B2" s="17" t="n"/>
      <x:c r="C2" s="17" t="n"/>
      <x:c r="D2" s="17" t="n"/>
      <x:c r="E2" s="17" t="n"/>
      <x:c r="F2" s="17" t="n"/>
      <x:c r="G2" s="17" t="n"/>
      <x:c r="H2" s="17" t="n"/>
      <x:c r="I2" s="17" t="n"/>
      <x:c r="J2" s="17" t="n"/>
    </x:row>
    <x:row r="3">
      <x:c r="A3" s="12" t="n"/>
      <x:c r="B3" s="12" t="n"/>
      <x:c r="C3" s="12" t="n"/>
      <x:c r="D3" s="12" t="n"/>
      <x:c r="E3" s="12" t="n"/>
      <x:c r="F3" s="12" t="n"/>
      <x:c r="G3" s="12" t="n"/>
      <x:c r="H3" s="12" t="n"/>
      <x:c r="I3" s="12" t="n"/>
      <x:c r="J3" s="12" t="n"/>
    </x:row>
    <x:row r="4" ht="22" customHeight="1">
      <x:c r="A4" s="16" t="inlineStr">
        <x:is>
          <x:t xml:space="preserve">Practice Rows</x:t>
        </x:is>
      </x:c>
      <x:c r="B4" s="17" t="n"/>
      <x:c r="C4" s="17" t="n"/>
      <x:c r="D4" s="17" t="n"/>
      <x:c r="E4" s="17" t="n"/>
      <x:c r="F4" s="17" t="n"/>
      <x:c r="G4" s="17" t="n"/>
      <x:c r="H4" s="17" t="n"/>
      <x:c r="I4" s="17" t="n"/>
      <x:c r="J4" s="17" t="n"/>
    </x:row>
    <x:row r="5" ht="32" customHeight="1">
      <x:c r="A5" s="2" t="inlineStr">
        <x:is>
          <x:t xml:space="preserve">Pause</x:t>
        </x:is>
      </x:c>
      <x:c r="B5" s="2" t="inlineStr">
        <x:is>
          <x:t xml:space="preserve">Slide</x:t>
        </x:is>
      </x:c>
      <x:c r="C5" s="2" t="inlineStr">
        <x:is>
          <x:t xml:space="preserve">Build This</x:t>
        </x:is>
      </x:c>
      <x:c r="D5" s="2" t="inlineStr">
        <x:is>
          <x:t xml:space="preserve">Input 1</x:t>
        </x:is>
      </x:c>
      <x:c r="E5" s="2" t="inlineStr">
        <x:is>
          <x:t xml:space="preserve">Input 2</x:t>
        </x:is>
      </x:c>
      <x:c r="F5" s="2" t="inlineStr">
        <x:is>
          <x:t xml:space="preserve">Input 3</x:t>
        </x:is>
      </x:c>
      <x:c r="G5" s="2" t="inlineStr">
        <x:is>
          <x:t xml:space="preserve">Input 4</x:t>
        </x:is>
      </x:c>
      <x:c r="H5" s="2" t="inlineStr">
        <x:is>
          <x:t xml:space="preserve">Your Formula / Answer</x:t>
        </x:is>
      </x:c>
      <x:c r="I5" s="2" t="inlineStr">
        <x:is>
          <x:t xml:space="preserve">Formula Hint</x:t>
        </x:is>
      </x:c>
      <x:c r="J5" s="2" t="inlineStr">
        <x:is>
          <x:t xml:space="preserve">Feedback</x:t>
        </x:is>
      </x:c>
    </x:row>
    <x:row r="6" ht="30" customHeight="1">
      <x:c r="A6" s="12" t="inlineStr">
        <x:is>
          <x:t xml:space="preserve">Annual FV</x:t>
        </x:is>
      </x:c>
      <x:c r="B6" s="12" t="inlineStr">
        <x:is>
          <x:t xml:space="preserve">09</x:t>
        </x:is>
      </x:c>
      <x:c r="C6" s="12" t="inlineStr">
        <x:is>
          <x:t xml:space="preserve">Rebuild the worked example future value.</x:t>
        </x:is>
      </x:c>
      <x:c r="D6" s="3" t="n"/>
      <x:c r="E6" s="3" t="n"/>
      <x:c r="F6" s="3" t="n"/>
      <x:c r="G6" s="3" t="n"/>
      <x:c r="H6" s="4" t="n"/>
      <x:c r="I6" s="5" t="inlineStr">
        <x:is>
          <x:t xml:space="preserve">Use =FV(rate, nper, pmt, -pv). PMT is 0 for a lump sum.</x:t>
        </x:is>
      </x:c>
      <x:c r="J6" s="6" t="str">
        <x:f>IF(H6="","Enter the FV formula.",IF(ABS(H6-44994.56)&lt;0.02,"Correct - the future value matches the slide.","Check signs and cell references."))</x:f>
        <x:v>Enter the FV formula.</x:v>
      </x:c>
    </x:row>
    <x:row r="7" ht="16" customHeight="1">
      <x:c r="A7" s="12" t="inlineStr">
        <x:is>
          <x:t xml:space="preserve">Annual FV</x:t>
        </x:is>
      </x:c>
      <x:c r="B7" s="12" t="inlineStr">
        <x:is>
          <x:t xml:space="preserve">10</x:t>
        </x:is>
      </x:c>
      <x:c r="C7" s="12" t="inlineStr">
        <x:is>
          <x:t xml:space="preserve">Manual verification for the same example.</x:t>
        </x:is>
      </x:c>
      <x:c r="D7" s="3" t="n"/>
      <x:c r="E7" s="3" t="n"/>
      <x:c r="F7" s="3" t="n"/>
      <x:c r="G7" s="3" t="n"/>
      <x:c r="H7" s="4" t="n"/>
      <x:c r="I7" s="5" t="inlineStr">
        <x:is>
          <x:t xml:space="preserve">Use PV*(1+rate)^years.</x:t>
        </x:is>
      </x:c>
      <x:c r="J7" s="6" t="str">
        <x:f>IF(H7="","Enter the manual formula.",IF(ABS(H7-44994.56)&lt;0.02,"Correct - manual verification matches FV.","Check exponent and references."))</x:f>
        <x:v>Enter the manual formula.</x:v>
      </x:c>
    </x:row>
    <x:row r="8" ht="16" customHeight="1">
      <x:c r="A8" s="12" t="inlineStr">
        <x:is>
          <x:t xml:space="preserve">Quarterly</x:t>
        </x:is>
      </x:c>
      <x:c r="B8" s="12" t="inlineStr">
        <x:is>
          <x:t xml:space="preserve">14</x:t>
        </x:is>
      </x:c>
      <x:c r="C8" s="12" t="inlineStr">
        <x:is>
          <x:t xml:space="preserve">Calculate the quarterly rate per period.</x:t>
        </x:is>
      </x:c>
      <x:c r="D8" s="3" t="n"/>
      <x:c r="E8" s="3" t="n"/>
      <x:c r="F8" s="3" t="n"/>
      <x:c r="G8" s="3" t="n"/>
      <x:c r="H8" s="7" t="n"/>
      <x:c r="I8" s="5" t="inlineStr">
        <x:is>
          <x:t xml:space="preserve">Annual rate divided by periods per year.</x:t>
        </x:is>
      </x:c>
      <x:c r="J8" s="6" t="str">
        <x:f>IF(H8="","Enter the rate-per-period formula.",IF(ABS(H8-0.015)&lt;0.00001,"Correct - quarterly rate is 1.5%.","Divide annual rate by 4."))</x:f>
        <x:v>Enter the rate-per-period formula.</x:v>
      </x:c>
    </x:row>
    <x:row r="9" ht="16" customHeight="1">
      <x:c r="A9" s="12" t="inlineStr">
        <x:is>
          <x:t xml:space="preserve">Quarterly</x:t>
        </x:is>
      </x:c>
      <x:c r="B9" s="12" t="inlineStr">
        <x:is>
          <x:t xml:space="preserve">14</x:t>
        </x:is>
      </x:c>
      <x:c r="C9" s="12" t="inlineStr">
        <x:is>
          <x:t xml:space="preserve">Calculate total quarterly periods.</x:t>
        </x:is>
      </x:c>
      <x:c r="D9" s="3" t="n"/>
      <x:c r="E9" s="3" t="n"/>
      <x:c r="F9" s="3" t="n"/>
      <x:c r="G9" s="3" t="n"/>
      <x:c r="H9" s="8" t="n"/>
      <x:c r="I9" s="5" t="inlineStr">
        <x:is>
          <x:t xml:space="preserve">Years times periods per year.</x:t>
        </x:is>
      </x:c>
      <x:c r="J9" s="6" t="str">
        <x:f>IF(H9="","Enter the total-periods formula.",IF(H9=20,"Correct - 5 years x 4 quarters = 20.","Multiply years by periods per year."))</x:f>
        <x:v>Enter the total-periods formula.</x:v>
      </x:c>
    </x:row>
    <x:row r="10" ht="30" customHeight="1">
      <x:c r="A10" s="12" t="inlineStr">
        <x:is>
          <x:t xml:space="preserve">Quarterly</x:t>
        </x:is>
      </x:c>
      <x:c r="B10" s="12" t="inlineStr">
        <x:is>
          <x:t xml:space="preserve">14</x:t>
        </x:is>
      </x:c>
      <x:c r="C10" s="12" t="inlineStr">
        <x:is>
          <x:t xml:space="preserve">Build the quarterly FV formula.</x:t>
        </x:is>
      </x:c>
      <x:c r="D10" s="3" t="n"/>
      <x:c r="E10" s="3" t="n"/>
      <x:c r="F10" s="3" t="n"/>
      <x:c r="G10" s="3" t="n"/>
      <x:c r="H10" s="4" t="n"/>
      <x:c r="I10" s="5" t="inlineStr">
        <x:is>
          <x:t xml:space="preserve">Use adjusted rate and adjusted nper inside =FV().</x:t>
        </x:is>
      </x:c>
      <x:c r="J10" s="6" t="str">
        <x:f>IF(H10="","Enter the quarterly FV formula.",IF(ABS(H10-33671.38)&lt;0.02,"Correct - quarterly FV matches the formula result.","Check both rate and nper adjustments."))</x:f>
        <x:v>Enter the quarterly FV formula.</x:v>
      </x:c>
    </x:row>
    <x:row r="11" ht="16" customHeight="1">
      <x:c r="A11" s="12" t="inlineStr">
        <x:is>
          <x:t xml:space="preserve">Rule of 72</x:t>
        </x:is>
      </x:c>
      <x:c r="B11" s="12" t="inlineStr">
        <x:is>
          <x:t xml:space="preserve">13</x:t>
        </x:is>
      </x:c>
      <x:c r="C11" s="12" t="inlineStr">
        <x:is>
          <x:t xml:space="preserve">Estimate years to double at 7%.</x:t>
        </x:is>
      </x:c>
      <x:c r="D11" s="3" t="n"/>
      <x:c r="E11" s="3" t="n"/>
      <x:c r="F11" s="3" t="n"/>
      <x:c r="G11" s="3" t="n"/>
      <x:c r="H11" s="8" t="n"/>
      <x:c r="I11" s="5" t="inlineStr">
        <x:is>
          <x:t xml:space="preserve">Rule of 72 uses rate as a whole percent.</x:t>
        </x:is>
      </x:c>
      <x:c r="J11" s="6" t="str">
        <x:f>IF(H11="","Enter the Rule of 72 formula.",IF(ABS(H11-10.2857)&lt;0.02,"Correct - about 10.3 years.","Use 72 divided by 7, not 0.07."))</x:f>
        <x:v>Enter the Rule of 72 formula.</x:v>
      </x:c>
    </x:row>
    <x:row r="12" ht="16" customHeight="1">
      <x:c r="A12" s="12" t="inlineStr">
        <x:is>
          <x:t xml:space="preserve">Rule of 72</x:t>
        </x:is>
      </x:c>
      <x:c r="B12" s="12" t="inlineStr">
        <x:is>
          <x:t xml:space="preserve">13</x:t>
        </x:is>
      </x:c>
      <x:c r="C12" s="12" t="inlineStr">
        <x:is>
          <x:t xml:space="preserve">Verify the 7% estimate with =FV() over 10 years.</x:t>
        </x:is>
      </x:c>
      <x:c r="D12" s="3" t="n"/>
      <x:c r="E12" s="3" t="n"/>
      <x:c r="F12" s="3" t="n"/>
      <x:c r="G12" s="3" t="n"/>
      <x:c r="H12" s="4" t="n"/>
      <x:c r="I12" s="5" t="inlineStr">
        <x:is>
          <x:t xml:space="preserve">Use the slide's 10-year verification.</x:t>
        </x:is>
      </x:c>
      <x:c r="J12" s="6" t="str">
        <x:f>IF(H12="","Enter the FV check formula.",IF(ABS(H12-1967.15)&lt;0.02,"Correct - close to doubling.","Use 10 years for the slide verification."))</x:f>
        <x:v>Enter the FV check formula.</x:v>
      </x:c>
    </x:row>
    <x:row r="13">
      <x:c r="A13" s="12" t="n"/>
      <x:c r="B13" s="12" t="n"/>
      <x:c r="C13" s="12" t="n"/>
      <x:c r="D13" s="12" t="n"/>
      <x:c r="E13" s="12" t="n"/>
      <x:c r="F13" s="12" t="n"/>
      <x:c r="G13" s="12" t="n"/>
      <x:c r="H13" s="12" t="n"/>
      <x:c r="I13" s="12" t="n"/>
      <x:c r="J13" s="12" t="n"/>
    </x:row>
    <x:row r="14" ht="16" customHeight="1">
      <x:c r="A14" s="12" t="inlineStr">
        <x:is>
          <x:t xml:space="preserve">Self-check score</x:t>
        </x:is>
      </x:c>
      <x:c r="B14" s="6" t="str">
        <x:f>COUNTIF(J6:J12,"Correct*")&amp;" of 7 complete"</x:f>
        <x:v>0 of 7 complete</x:v>
      </x:c>
      <x:c r="C14" s="12" t="n"/>
      <x:c r="D14" s="12" t="n"/>
      <x:c r="E14" s="12" t="n"/>
      <x:c r="F14" s="12" t="n"/>
      <x:c r="G14" s="12" t="n"/>
      <x:c r="H14" s="12" t="n"/>
      <x:c r="I14" s="12" t="n"/>
      <x:c r="J14" s="12" t="n"/>
    </x:row>
  </x:sheetData>
  <x:mergeCells>
    <x:mergeCell ref="A1:J1"/>
    <x:mergeCell ref="A4:J4"/>
    <x:mergeCell ref="A2:J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7" customWidth="1"/>
    <x:col min="2" max="2" width="58" customWidth="1"/>
    <x:col min="3" max="6" width="12" customWidth="1"/>
    <x:col min="4" max="4" width="12" customWidth="1"/>
    <x:col min="5" max="5" width="12" customWidth="1"/>
    <x:col min="6" max="6" width="12" customWidth="1"/>
    <x:col min="7" max="7" width="18" customWidth="1"/>
    <x:col min="8" max="8" width="34" customWidth="1"/>
    <x:col min="9" max="9" width="34" hidden="1" customWidth="1"/>
  </x:cols>
  <x:sheetData>
    <x:row r="1" ht="26" customHeight="1">
      <x:c r="A1" s="14" t="inlineStr">
        <x:is>
          <x:t xml:space="preserve">MATH-M09-L01 - Class Challenge</x:t>
        </x:is>
      </x:c>
      <x:c r="B1" s="17" t="n"/>
      <x:c r="C1" s="17" t="n"/>
      <x:c r="D1" s="17" t="n"/>
      <x:c r="E1" s="17" t="n"/>
      <x:c r="F1" s="17" t="n"/>
      <x:c r="G1" s="17" t="n"/>
      <x:c r="H1" s="17" t="n"/>
      <x:c r="I1" s="17" t="n"/>
    </x:row>
    <x:row r="2" ht="42" customHeight="1">
      <x:c r="A2" s="11" t="inlineStr">
        <x:is>
          <x:t xml:space="preserve">Read each scenario, enter the needed inputs into the yellow cells, then put the final answer in the blue cell. The grader checks the final answer.</x:t>
        </x:is>
      </x:c>
      <x:c r="B2" s="17" t="n"/>
      <x:c r="C2" s="17" t="n"/>
      <x:c r="D2" s="17" t="n"/>
      <x:c r="E2" s="17" t="n"/>
      <x:c r="F2" s="17" t="n"/>
      <x:c r="G2" s="17" t="n"/>
      <x:c r="H2" s="17" t="n"/>
      <x:c r="I2" s="17" t="n"/>
    </x:row>
    <x:row r="3">
      <x:c r="A3" s="12" t="n"/>
      <x:c r="B3" s="12" t="n"/>
      <x:c r="C3" s="12" t="n"/>
      <x:c r="D3" s="12" t="n"/>
      <x:c r="E3" s="12" t="n"/>
      <x:c r="F3" s="12" t="n"/>
      <x:c r="G3" s="12" t="n"/>
      <x:c r="H3" s="12" t="n"/>
      <x:c r="I3" s="12" t="n"/>
    </x:row>
    <x:row r="4" ht="22" customHeight="1">
      <x:c r="A4" s="15" t="inlineStr">
        <x:is>
          <x:t xml:space="preserve">Graded / Next-Level Activity</x:t>
        </x:is>
      </x:c>
      <x:c r="B4" s="17" t="n"/>
      <x:c r="C4" s="17" t="n"/>
      <x:c r="D4" s="17" t="n"/>
      <x:c r="E4" s="17" t="n"/>
      <x:c r="F4" s="17" t="n"/>
      <x:c r="G4" s="17" t="n"/>
      <x:c r="H4" s="17" t="n"/>
      <x:c r="I4" s="17" t="n"/>
    </x:row>
    <x:row r="5" ht="32" customHeight="1">
      <x:c r="A5" s="2" t="inlineStr">
        <x:is>
          <x:t xml:space="preserve">#</x:t>
        </x:is>
      </x:c>
      <x:c r="B5" s="2" t="inlineStr">
        <x:is>
          <x:t xml:space="preserve">Scenario</x:t>
        </x:is>
      </x:c>
      <x:c r="C5" s="2" t="inlineStr">
        <x:is>
          <x:t xml:space="preserve">Input 1</x:t>
        </x:is>
      </x:c>
      <x:c r="D5" s="2" t="inlineStr">
        <x:is>
          <x:t xml:space="preserve">Input 2</x:t>
        </x:is>
      </x:c>
      <x:c r="E5" s="2" t="inlineStr">
        <x:is>
          <x:t xml:space="preserve">Input 3</x:t>
        </x:is>
      </x:c>
      <x:c r="F5" s="2" t="inlineStr">
        <x:is>
          <x:t xml:space="preserve">Input 4</x:t>
        </x:is>
      </x:c>
      <x:c r="G5" s="2" t="inlineStr">
        <x:is>
          <x:t xml:space="preserve">Formula / Answer</x:t>
        </x:is>
      </x:c>
      <x:c r="H5" s="2" t="inlineStr">
        <x:is>
          <x:t xml:space="preserve">Hint</x:t>
        </x:is>
      </x:c>
      <x:c r="I5" s="2" t="str">
        <x:v>Instructor use - leave blank</x:v>
      </x:c>
    </x:row>
    <x:row r="6" ht="34" customHeight="1">
      <x:c r="A6" s="18" t="n">
        <x:v>1</x:v>
      </x:c>
      <x:c r="B6" s="19" t="inlineStr">
        <x:is>
          <x:t xml:space="preserve">Find the simple-interest ending value for $1,000 invested at 5% annually for 30 years.</x:t>
        </x:is>
      </x:c>
      <x:c r="C6" s="20" t="n"/>
      <x:c r="D6" s="20" t="n"/>
      <x:c r="E6" s="20" t="n"/>
      <x:c r="F6" s="18" t="n"/>
      <x:c r="G6" s="21" t="n"/>
      <x:c r="H6" s="5" t="inlineStr">
        <x:is>
          <x:t xml:space="preserve">Simple interest uses 1 + rate x time.</x:t>
        </x:is>
      </x:c>
      <x:c r="I6" s="9" t="n"/>
    </x:row>
    <x:row r="7" ht="34" customHeight="1">
      <x:c r="A7" s="18" t="n">
        <x:v>2</x:v>
      </x:c>
      <x:c r="B7" s="19" t="inlineStr">
        <x:is>
          <x:t xml:space="preserve">Find the compound-interest future value for $1,000 invested at 5% annually for 30 years.</x:t>
        </x:is>
      </x:c>
      <x:c r="C7" s="20" t="n"/>
      <x:c r="D7" s="20" t="n"/>
      <x:c r="E7" s="20" t="n"/>
      <x:c r="F7" s="18" t="n"/>
      <x:c r="G7" s="21" t="n"/>
      <x:c r="H7" s="5" t="inlineStr">
        <x:is>
          <x:t xml:space="preserve">Use =FV with pmt=0 and negative pv.</x:t>
        </x:is>
      </x:c>
      <x:c r="I7" s="9" t="n"/>
    </x:row>
    <x:row r="8" ht="48" customHeight="1">
      <x:c r="A8" s="18" t="n">
        <x:v>3</x:v>
      </x:c>
      <x:c r="B8" s="19" t="inlineStr">
        <x:is>
          <x:t xml:space="preserve">Find the compound-interest advantage by comparing the $1,000 simple-interest and compound-interest results from rows 6 and 7.</x:t>
        </x:is>
      </x:c>
      <x:c r="C8" s="18" t="n"/>
      <x:c r="D8" s="18" t="n"/>
      <x:c r="E8" s="18" t="n"/>
      <x:c r="F8" s="18" t="n"/>
      <x:c r="G8" s="21" t="n"/>
      <x:c r="H8" s="5" t="inlineStr">
        <x:is>
          <x:t xml:space="preserve">Subtract the simple result from the compound result.</x:t>
        </x:is>
      </x:c>
      <x:c r="I8" s="9" t="n"/>
    </x:row>
    <x:row r="9" ht="34" customHeight="1">
      <x:c r="A9" s="18" t="n">
        <x:v>4</x:v>
      </x:c>
      <x:c r="B9" s="19" t="inlineStr">
        <x:is>
          <x:t xml:space="preserve">Find the annual-compounding future value for $25,000 invested at 6% for 5 years.</x:t>
        </x:is>
      </x:c>
      <x:c r="C9" s="20" t="n"/>
      <x:c r="D9" s="20" t="n"/>
      <x:c r="E9" s="20" t="n"/>
      <x:c r="F9" s="20" t="n"/>
      <x:c r="G9" s="21" t="n"/>
      <x:c r="H9" s="5" t="inlineStr">
        <x:is>
          <x:t xml:space="preserve">Annual: periods per year is 1.</x:t>
        </x:is>
      </x:c>
      <x:c r="I9" s="9" t="n"/>
    </x:row>
    <x:row r="10" ht="48" customHeight="1">
      <x:c r="A10" s="18" t="n">
        <x:v>5</x:v>
      </x:c>
      <x:c r="B10" s="19" t="inlineStr">
        <x:is>
          <x:t xml:space="preserve">Find the monthly-compounding future value for $25,000 invested at 6% for 5 years, with 12 periods per year.</x:t>
        </x:is>
      </x:c>
      <x:c r="C10" s="20" t="n"/>
      <x:c r="D10" s="20" t="n"/>
      <x:c r="E10" s="20" t="n"/>
      <x:c r="F10" s="20" t="n"/>
      <x:c r="G10" s="21" t="n"/>
      <x:c r="H10" s="5" t="inlineStr">
        <x:is>
          <x:t xml:space="preserve">Adjust both rate and nper for monthly compounding.</x:t>
        </x:is>
      </x:c>
      <x:c r="I10" s="9" t="n"/>
    </x:row>
    <x:row r="11" ht="48" customHeight="1">
      <x:c r="A11" s="18" t="n">
        <x:v>6</x:v>
      </x:c>
      <x:c r="B11" s="19" t="inlineStr">
        <x:is>
          <x:t xml:space="preserve">Find the gain from monthly compounding by comparing the $25,000 annual and monthly results from rows 9 and 10.</x:t>
        </x:is>
      </x:c>
      <x:c r="C11" s="18" t="n"/>
      <x:c r="D11" s="18" t="n"/>
      <x:c r="E11" s="18" t="n"/>
      <x:c r="F11" s="18" t="n"/>
      <x:c r="G11" s="21" t="n"/>
      <x:c r="H11" s="5" t="inlineStr">
        <x:is>
          <x:t xml:space="preserve">Compare the two FV cells.</x:t>
        </x:is>
      </x:c>
      <x:c r="I11" s="9" t="n"/>
    </x:row>
    <x:row r="12" ht="48" customHeight="1">
      <x:c r="A12" s="18" t="n">
        <x:v>7</x:v>
      </x:c>
      <x:c r="B12" s="19" t="inlineStr">
        <x:is>
          <x:t xml:space="preserve">Find the daily-compounding future value for $25,000 invested at 6% for 5 years, with 365 periods per year.</x:t>
        </x:is>
      </x:c>
      <x:c r="C12" s="20" t="n"/>
      <x:c r="D12" s="20" t="n"/>
      <x:c r="E12" s="20" t="n"/>
      <x:c r="F12" s="20" t="n"/>
      <x:c r="G12" s="21" t="n"/>
      <x:c r="H12" s="5" t="inlineStr">
        <x:is>
          <x:t xml:space="preserve">Daily uses 365 periods per year.</x:t>
        </x:is>
      </x:c>
      <x:c r="I12" s="9" t="n"/>
    </x:row>
    <x:row r="13" ht="48" customHeight="1">
      <x:c r="A13" s="18" t="n">
        <x:v>8</x:v>
      </x:c>
      <x:c r="B13" s="19" t="inlineStr">
        <x:is>
          <x:t xml:space="preserve">Find the gain from daily compounding by comparing the $25,000 daily and monthly results from rows 12 and 10.</x:t>
        </x:is>
      </x:c>
      <x:c r="C13" s="18" t="n"/>
      <x:c r="D13" s="18" t="n"/>
      <x:c r="E13" s="18" t="n"/>
      <x:c r="F13" s="18" t="n"/>
      <x:c r="G13" s="21" t="n"/>
      <x:c r="H13" s="5" t="inlineStr">
        <x:is>
          <x:t xml:space="preserve">Compare daily FV to monthly FV.</x:t>
        </x:is>
      </x:c>
      <x:c r="I13" s="9" t="n"/>
    </x:row>
    <x:row r="14" ht="34" customHeight="1">
      <x:c r="A14" s="18" t="n">
        <x:v>9</x:v>
      </x:c>
      <x:c r="B14" s="19" t="inlineStr">
        <x:is>
          <x:t xml:space="preserve">Find the quarterly rate per period for a 6% annual rate with 4 compounding periods per year.</x:t>
        </x:is>
      </x:c>
      <x:c r="C14" s="20" t="n"/>
      <x:c r="D14" s="20" t="n"/>
      <x:c r="E14" s="20" t="n"/>
      <x:c r="F14" s="20" t="n"/>
      <x:c r="G14" s="22" t="n"/>
      <x:c r="H14" s="5" t="inlineStr">
        <x:is>
          <x:t xml:space="preserve">Annual rate divided by periods per year.</x:t>
        </x:is>
      </x:c>
      <x:c r="I14" s="9" t="n"/>
    </x:row>
    <x:row r="15" ht="34" customHeight="1">
      <x:c r="A15" s="18" t="n">
        <x:v>10</x:v>
      </x:c>
      <x:c r="B15" s="19" t="inlineStr">
        <x:is>
          <x:t xml:space="preserve">Find the total number of quarterly periods for a 5-year investment with 4 periods per year.</x:t>
        </x:is>
      </x:c>
      <x:c r="C15" s="20" t="n"/>
      <x:c r="D15" s="20" t="n"/>
      <x:c r="E15" s="20" t="n"/>
      <x:c r="F15" s="20" t="n"/>
      <x:c r="G15" s="23" t="n"/>
      <x:c r="H15" s="5" t="inlineStr">
        <x:is>
          <x:t xml:space="preserve">Years times periods per year.</x:t>
        </x:is>
      </x:c>
      <x:c r="I15" s="9" t="n"/>
    </x:row>
    <x:row r="16" ht="48" customHeight="1">
      <x:c r="A16" s="18" t="n">
        <x:v>11</x:v>
      </x:c>
      <x:c r="B16" s="19" t="inlineStr">
        <x:is>
          <x:t xml:space="preserve">Find the quarterly-compounding future value for $25,000 invested at 6% for 5 years, with 4 periods per year.</x:t>
        </x:is>
      </x:c>
      <x:c r="C16" s="20" t="n"/>
      <x:c r="D16" s="20" t="n"/>
      <x:c r="E16" s="20" t="n"/>
      <x:c r="F16" s="20" t="n"/>
      <x:c r="G16" s="21" t="n"/>
      <x:c r="H16" s="5" t="inlineStr">
        <x:is>
          <x:t xml:space="preserve">Use adjusted quarterly rate and periods.</x:t>
        </x:is>
      </x:c>
      <x:c r="I16" s="9" t="n"/>
    </x:row>
    <x:row r="17" ht="34" customHeight="1">
      <x:c r="A17" s="18" t="n">
        <x:v>12</x:v>
      </x:c>
      <x:c r="B17" s="19" t="inlineStr">
        <x:is>
          <x:t xml:space="preserve">Use the Rule of 72 to estimate doubling time for a 7% annual return.</x:t>
        </x:is>
      </x:c>
      <x:c r="C17" s="20" t="n"/>
      <x:c r="D17" s="20" t="n"/>
      <x:c r="E17" s="18" t="n"/>
      <x:c r="F17" s="18" t="n"/>
      <x:c r="G17" s="23" t="n"/>
      <x:c r="H17" s="5" t="inlineStr">
        <x:is>
          <x:t xml:space="preserve">Rate must be a whole percent in the denominator.</x:t>
        </x:is>
      </x:c>
      <x:c r="I17" s="9" t="n"/>
    </x:row>
    <x:row r="18" ht="34" customHeight="1">
      <x:c r="A18" s="18" t="n">
        <x:v>13</x:v>
      </x:c>
      <x:c r="B18" s="19" t="inlineStr">
        <x:is>
          <x:t xml:space="preserve">Use =FV() to verify the future value of $1,000 invested at 7% annually for 10 years.</x:t>
        </x:is>
      </x:c>
      <x:c r="C18" s="20" t="n"/>
      <x:c r="D18" s="20" t="n"/>
      <x:c r="E18" s="20" t="n"/>
      <x:c r="F18" s="18" t="n"/>
      <x:c r="G18" s="21" t="n"/>
      <x:c r="H18" s="5" t="inlineStr">
        <x:is>
          <x:t xml:space="preserve">This is the slide's quick verification.</x:t>
        </x:is>
      </x:c>
      <x:c r="I18" s="9" t="n"/>
    </x:row>
    <x:row r="19" ht="34" customHeight="1">
      <x:c r="A19" s="18" t="n">
        <x:v>14</x:v>
      </x:c>
      <x:c r="B19" s="19" t="inlineStr">
        <x:is>
          <x:t xml:space="preserve">Find Account A future value for $100,000 invested at 4% annually for 10 years.</x:t>
        </x:is>
      </x:c>
      <x:c r="C19" s="20" t="n"/>
      <x:c r="D19" s="20" t="n"/>
      <x:c r="E19" s="20" t="n"/>
      <x:c r="F19" s="20" t="n"/>
      <x:c r="G19" s="21" t="n"/>
      <x:c r="H19" s="5" t="inlineStr">
        <x:is>
          <x:t xml:space="preserve">Annual account from the discussion prompt.</x:t>
        </x:is>
      </x:c>
      <x:c r="I19" s="9" t="n"/>
    </x:row>
    <x:row r="20" ht="62" customHeight="1">
      <x:c r="A20" s="18" t="n">
        <x:v>15</x:v>
      </x:c>
      <x:c r="B20" s="19" t="inlineStr">
        <x:is>
          <x:t xml:space="preserve">Find Account B future value minus Account A future value if Account B invests $100,000 at 3.8% with monthly compounding for 10 years, while Account A invests $100,000 at 4% annually for 10 years.</x:t>
        </x:is>
      </x:c>
      <x:c r="C20" s="20" t="n"/>
      <x:c r="D20" s="20" t="n"/>
      <x:c r="E20" s="20" t="n"/>
      <x:c r="F20" s="20" t="n"/>
      <x:c r="G20" s="21" t="n"/>
      <x:c r="H20" s="5" t="inlineStr">
        <x:is>
          <x:t xml:space="preserve">Monthly FV minus Account A's FV.</x:t>
        </x:is>
      </x:c>
      <x:c r="I20" s="9" t="n"/>
    </x:row>
    <x:row r="21">
      <x:c r="A21" s="12" t="n"/>
      <x:c r="B21" s="12" t="n"/>
      <x:c r="C21" s="12" t="n"/>
      <x:c r="D21" s="12" t="n"/>
      <x:c r="E21" s="12" t="n"/>
      <x:c r="F21" s="12" t="n"/>
      <x:c r="G21" s="12" t="n"/>
      <x:c r="H21" s="12" t="n"/>
      <x:c r="I21" s="12" t="n"/>
    </x:row>
  </x:sheetData>
  <x:mergeCells>
    <x:mergeCell ref="A1:I1"/>
    <x:mergeCell ref="A4:I4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4" customWidth="1"/>
    <x:col min="2" max="2" width="35" customWidth="1"/>
    <x:col min="3" max="3" width="42" customWidth="1"/>
    <x:col min="4" max="4" width="38" customWidth="1"/>
  </x:cols>
  <x:sheetData>
    <x:row r="1" ht="26" customHeight="1">
      <x:c r="A1" s="14" t="inlineStr">
        <x:is>
          <x:t xml:space="preserve">MATH-M09-L01 - Formula Reference Card</x:t>
        </x:is>
      </x:c>
      <x:c r="B1" s="17" t="n"/>
      <x:c r="C1" s="17" t="n"/>
      <x:c r="D1" s="17" t="n"/>
    </x:row>
    <x:row r="2" ht="32" customHeight="1">
      <x:c r="A2" s="11" t="inlineStr">
        <x:is>
          <x:t xml:space="preserve">Syntax reminders. Decide which formula fits before using the card.</x:t>
        </x:is>
      </x:c>
      <x:c r="B2" s="17" t="n"/>
      <x:c r="C2" s="17" t="n"/>
      <x:c r="D2" s="17" t="n"/>
    </x:row>
    <x:row r="3">
      <x:c r="A3" s="12" t="n"/>
      <x:c r="B3" s="12" t="n"/>
      <x:c r="C3" s="12" t="n"/>
      <x:c r="D3" s="12" t="n"/>
    </x:row>
    <x:row r="4" ht="32" customHeight="1">
      <x:c r="A4" s="2" t="inlineStr">
        <x:is>
          <x:t xml:space="preserve">Concept</x:t>
        </x:is>
      </x:c>
      <x:c r="B4" s="2" t="inlineStr">
        <x:is>
          <x:t xml:space="preserve">Excel Pattern</x:t>
        </x:is>
      </x:c>
      <x:c r="C4" s="2" t="inlineStr">
        <x:is>
          <x:t xml:space="preserve">Plain-English Meaning</x:t>
        </x:is>
      </x:c>
      <x:c r="D4" s="2" t="inlineStr">
        <x:is>
          <x:t xml:space="preserve">Watch Out For</x:t>
        </x:is>
      </x:c>
    </x:row>
    <x:row r="5" ht="16" customHeight="1">
      <x:c r="A5" s="12" t="inlineStr">
        <x:is>
          <x:t xml:space="preserve">Compound FV manual</x:t>
        </x:is>
      </x:c>
      <x:c r="B5" s="24" t="str">
        <x:v>=PV*(1+Rate)^Nper</x:v>
      </x:c>
      <x:c r="C5" s="12" t="inlineStr">
        <x:is>
          <x:t xml:space="preserve">Applies interest on interest over multiple periods.</x:t>
        </x:is>
      </x:c>
      <x:c r="D5" s="12" t="inlineStr">
        <x:is>
          <x:t xml:space="preserve">Rate and periods must use the same timing.</x:t>
        </x:is>
      </x:c>
    </x:row>
    <x:row r="6" ht="16" customHeight="1">
      <x:c r="A6" s="12" t="inlineStr">
        <x:is>
          <x:t xml:space="preserve">FV function</x:t>
        </x:is>
      </x:c>
      <x:c r="B6" s="24" t="str">
        <x:v>=FV(Rate,Nper,0,-PV)</x:v>
      </x:c>
      <x:c r="C6" s="12" t="inlineStr">
        <x:is>
          <x:t xml:space="preserve">Lets Excel calculate future value for a lump sum.</x:t>
        </x:is>
      </x:c>
      <x:c r="D6" s="12" t="inlineStr">
        <x:is>
          <x:t xml:space="preserve">Use a negative pv for money invested today.</x:t>
        </x:is>
      </x:c>
    </x:row>
    <x:row r="7" ht="32" customHeight="1">
      <x:c r="A7" s="12" t="inlineStr">
        <x:is>
          <x:t xml:space="preserve">Rate per period</x:t>
        </x:is>
      </x:c>
      <x:c r="B7" s="24" t="str">
        <x:v>=AnnualRate/PeriodsPerYear</x:v>
      </x:c>
      <x:c r="C7" s="12" t="inlineStr">
        <x:is>
          <x:t xml:space="preserve">Converts an annual rate to the compounding period.</x:t>
        </x:is>
      </x:c>
      <x:c r="D7" s="12" t="inlineStr">
        <x:is>
          <x:t xml:space="preserve">Adjust the rate when compounding is not annual.</x:t>
        </x:is>
      </x:c>
    </x:row>
    <x:row r="8" ht="16" customHeight="1">
      <x:c r="A8" s="12" t="inlineStr">
        <x:is>
          <x:t xml:space="preserve">Total periods</x:t>
        </x:is>
      </x:c>
      <x:c r="B8" s="24" t="str">
        <x:v>=Years*PeriodsPerYear</x:v>
      </x:c>
      <x:c r="C8" s="12" t="inlineStr">
        <x:is>
          <x:t xml:space="preserve">Converts years into total compounding periods.</x:t>
        </x:is>
      </x:c>
      <x:c r="D8" s="12" t="inlineStr">
        <x:is>
          <x:t xml:space="preserve">Adjust nper whenever you adjust the rate.</x:t>
        </x:is>
      </x:c>
    </x:row>
    <x:row r="9" ht="16" customHeight="1">
      <x:c r="A9" s="12" t="inlineStr">
        <x:is>
          <x:t xml:space="preserve">Rule of 72</x:t>
        </x:is>
      </x:c>
      <x:c r="B9" s="24" t="str">
        <x:v>=72/RatePercent</x:v>
      </x:c>
      <x:c r="C9" s="12" t="inlineStr">
        <x:is>
          <x:t xml:space="preserve">Estimates how many years it takes money to double.</x:t>
        </x:is>
      </x:c>
      <x:c r="D9" s="12" t="inlineStr">
        <x:is>
          <x:t xml:space="preserve">It is an estimate; verify with FV.</x:t>
        </x:is>
      </x:c>
    </x:row>
    <x:row r="10" ht="32" customHeight="1">
      <x:c r="A10" s="12" t="inlineStr">
        <x:is>
          <x:t xml:space="preserve">Sanity check</x:t>
        </x:is>
      </x:c>
      <x:c r="B10" s="24" t="str">
        <x:v>=ABS(FVResult)&gt;ABS(PV)</x:v>
      </x:c>
      <x:c r="C10" s="12" t="inlineStr">
        <x:is>
          <x:t xml:space="preserve">Confirms future value is larger than the starting investment.</x:t>
        </x:is>
      </x:c>
      <x:c r="D10" s="12" t="inlineStr">
        <x:is>
          <x:t xml:space="preserve">If it fails, check signs and timing.</x:t>
        </x:is>
      </x:c>
    </x:row>
    <x:row r="11">
      <x:c r="A11" s="12" t="n"/>
      <x:c r="B11" s="12" t="n"/>
      <x:c r="C11" s="12" t="n"/>
      <x:c r="D11" s="12" t="n"/>
    </x:row>
  </x:sheetData>
  <x:mergeCells>
    <x:mergeCell ref="A1:D1"/>
    <x:mergeCell ref="A2:D2"/>
  </x:mergeCells>
  <x:pageMargins left="0.7" right="0.7" top="0.75" bottom="0.75" header="0.3" footer="0.3"/>
</x:worksheet>
</file>