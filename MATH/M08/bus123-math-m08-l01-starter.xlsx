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a9cb4f8d4c4bb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46f23a2c9ef24a9c"/>
    <x:sheet xmlns:r="http://schemas.openxmlformats.org/officeDocument/2006/relationships" name="Live You Try It" sheetId="2" r:id="R98a3af2b58b24425"/>
    <x:sheet xmlns:r="http://schemas.openxmlformats.org/officeDocument/2006/relationships" name="Class Challenge" sheetId="3" r:id="R1848ac5b0a364795"/>
    <x:sheet xmlns:r="http://schemas.openxmlformats.org/officeDocument/2006/relationships" name="FormulaReferenceCard" sheetId="4" r:id="Redc09a8afb5f46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.00"/>
    <x:numFmt numFmtId="201" formatCode="0.0%"/>
    <x:numFmt numFmtId="202" formatCode="0.0000"/>
    <x:numFmt numFmtId="203" formatCode="0.00"/>
  </x:numFmts>
  <x:fonts count="12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A5567"/>
      <x:name val="Carlito"/>
    </x:font>
    <x:font>
      <x:b/>
      <x:sz val="13"/>
      <x:color rgb="FF1A1F2C"/>
      <x:name val="Carlito"/>
    </x:font>
    <x:font>
      <x:sz val="10"/>
      <x:color rgb="FF1A1F2C"/>
      <x:name val="Carlito"/>
    </x:font>
    <x:font>
      <x:b/>
      <x:sz val="10"/>
      <x:color rgb="FFFFFFFF"/>
      <x:name val="Carlito"/>
    </x:font>
    <x:font>
      <x:sz val="10"/>
      <x:color rgb="FF355773"/>
      <x:name val="Carlito"/>
    </x:font>
    <x:font>
      <x:sz val="10"/>
      <x:color rgb="FF0000FF"/>
      <x:name val="Carlito"/>
    </x:font>
    <x:font>
      <x:sz val="9"/>
      <x:color rgb="FF1A1F2C"/>
      <x:name val="Carlito"/>
    </x:font>
    <x:font>
      <x:sz val="9"/>
      <x:color rgb="FF4A5567"/>
      <x:name val="Carlito"/>
    </x:font>
    <x:font>
      <x:b/>
      <x:sz val="10"/>
      <x:color rgb="FF1A1F2C"/>
      <x:name val="Carlito"/>
    </x:font>
    <x:font>
      <x:b/>
      <x:sz val="10"/>
      <x:color rgb="FF355773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E1116"/>
      </x:patternFill>
    </x:fill>
    <x:fill>
      <x:patternFill patternType="solid">
        <x:fgColor rgb="FFFAF8F3"/>
      </x:patternFill>
    </x:fill>
    <x:fill>
      <x:patternFill patternType="solid">
        <x:fgColor rgb="FFF2EEE5"/>
      </x:patternFill>
    </x:fill>
    <x:fill>
      <x:patternFill patternType="solid">
        <x:fgColor rgb="FFFFFFFF"/>
      </x:patternFill>
    </x:fill>
    <x:fill>
      <x:patternFill patternType="solid">
        <x:fgColor rgb="FF355773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  <x:fill>
      <x:patternFill patternType="solid">
        <x:fgColor rgb="FFEAF3EC"/>
      </x:patternFill>
    </x:fill>
  </x:fills>
  <x:borders count="5">
    <x:border/>
    <x:border>
      <x:left style="medium">
        <x:color rgb="FF4A7C5E"/>
      </x:left>
      <x:top style="thin">
        <x:color rgb="FFE5E1D6"/>
      </x:top>
      <x:bottom style="thin">
        <x:color rgb="FFE5E1D6"/>
      </x:bottom>
    </x:border>
    <x:border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left style="thin">
        <x:color rgb="FFE5E1D6"/>
      </x:left>
      <x:right style="thin">
        <x:color rgb="FFE5E1D6"/>
      </x:right>
      <x:top style="thin">
        <x:color rgb="FFE5E1D6"/>
      </x:top>
      <x:bottom style="thin">
        <x:color rgb="FFE5E1D6"/>
      </x:bottom>
    </x:border>
    <x:border>
      <x:top style="thin">
        <x:color rgb="FFE5E1D6"/>
      </x:top>
      <x:bottom style="thin">
        <x:color rgb="FFE5E1D6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3" xfId="0" applyNumberFormat="1" applyFont="1" applyFill="1" applyBorder="1"/>
    <x:xf numFmtId="0" fontId="4" fillId="5" borderId="3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vertical="center" wrapText="1"/>
    </x:xf>
    <x:xf numFmtId="0" fontId="4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3" xfId="0" applyNumberFormat="1" applyFont="1" applyFill="1" applyBorder="1"/>
    <x:xf numFmtId="0" fontId="5" fillId="6" borderId="3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horizontal="center" wrapText="1"/>
    </x:xf>
    <x:xf numFmtId="0" fontId="5" fillId="6" borderId="3" xfId="0" applyNumberFormat="1" applyFont="1" applyFill="1" applyBorder="1" applyAlignment="1">
      <x:alignment horizontal="center" vertical="center" wrapText="1"/>
    </x:xf>
    <x:xf numFmtId="0" fontId="4" fillId="7" borderId="3" xfId="0" applyNumberFormat="1" applyFont="1" applyFill="1" applyBorder="1" applyAlignment="1">
      <x:alignment vertical="center" wrapText="1"/>
    </x:xf>
    <x:xf numFmtId="0" fontId="4" fillId="8" borderId="3" xfId="0" applyNumberFormat="1" applyFont="1" applyFill="1" applyBorder="1" applyAlignment="1">
      <x:alignment vertical="center" wrapText="1"/>
    </x:xf>
    <x:xf numFmtId="0" fontId="4" fillId="9" borderId="3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3" xfId="0" applyNumberFormat="1" applyFont="1" applyFill="1" applyBorder="1"/>
    <x:xf numFmtId="0" fontId="6" fillId="7" borderId="3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horizontal="right" wrapText="1"/>
    </x:xf>
    <x:xf numFmtId="0" fontId="6" fillId="7" borderId="3" xfId="0" applyNumberFormat="1" applyFont="1" applyFill="1" applyBorder="1" applyAlignment="1">
      <x:alignment horizontal="right" vertic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3" xfId="0" applyNumberFormat="1" applyFont="1" applyFill="1" applyBorder="1"/>
    <x:xf numFmtId="0" fontId="7" fillId="8" borderId="3" xfId="0" applyNumberFormat="1" applyFont="1" applyFill="1" applyBorder="1" applyAlignment="1">
      <x:alignment wrapText="1"/>
    </x:xf>
    <x:xf numFmtId="0" fontId="7" fillId="8" borderId="3" xfId="0" applyNumberFormat="1" applyFont="1" applyFill="1" applyBorder="1" applyAlignment="1">
      <x:alignment horizontal="right" wrapText="1"/>
    </x:xf>
    <x:xf numFmtId="0" fontId="7" fillId="8" borderId="3" xfId="0" applyNumberFormat="1" applyFont="1" applyFill="1" applyBorder="1" applyAlignment="1">
      <x:alignment horizontal="right" vertical="center" wrapText="1"/>
    </x:xf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3" xfId="0" applyNumberFormat="1" applyFont="1" applyFill="1" applyBorder="1"/>
    <x:xf numFmtId="0" fontId="8" fillId="9" borderId="3" xfId="0" applyNumberFormat="1" applyFont="1" applyFill="1" applyBorder="1" applyAlignment="1">
      <x:alignment wrapText="1"/>
    </x:xf>
    <x:xf numFmtId="0" fontId="8" fillId="9" borderId="3" xfId="0" applyNumberFormat="1" applyFont="1" applyFill="1" applyBorder="1" applyAlignment="1">
      <x:alignment vertical="center" wrapText="1"/>
    </x:xf>
    <x:xf numFmtId="0" fontId="9" fillId="4" borderId="0" xfId="0" applyNumberFormat="1" applyFont="1" applyFill="1" applyBorder="1"/>
    <x:xf numFmtId="0" fontId="9" fillId="4" borderId="3" xfId="0" applyNumberFormat="1" applyFont="1" applyFill="1" applyBorder="1"/>
    <x:xf numFmtId="0" fontId="9" fillId="4" borderId="3" xfId="0" applyNumberFormat="1" applyFont="1" applyFill="1" applyBorder="1" applyAlignment="1">
      <x:alignment wrapText="1"/>
    </x:xf>
    <x:xf numFmtId="0" fontId="9" fillId="4" borderId="3" xfId="0" applyNumberFormat="1" applyFont="1" applyFill="1" applyBorder="1" applyAlignment="1">
      <x:alignment vertical="center" wrapText="1"/>
    </x:xf>
    <x:xf numFmtId="0" fontId="3" fillId="4" borderId="4" xfId="0" applyNumberFormat="1" applyFont="1" applyFill="1" applyBorder="1"/>
    <x:xf numFmtId="0" fontId="10" fillId="4" borderId="3" xfId="0" applyNumberFormat="1" applyFont="1" applyFill="1" applyBorder="1" applyAlignment="1">
      <x:alignment vertical="center" wrapText="1"/>
    </x:xf>
    <x:xf numFmtId="200" fontId="6" fillId="7" borderId="3" xfId="0" applyNumberFormat="1" applyFont="1" applyFill="1" applyBorder="1" applyAlignment="1">
      <x:alignment horizontal="right" vertical="center" wrapText="1"/>
    </x:xf>
    <x:xf numFmtId="200" fontId="7" fillId="8" borderId="3" xfId="0" applyNumberFormat="1" applyFont="1" applyFill="1" applyBorder="1" applyAlignment="1">
      <x:alignment horizontal="right" vertical="center" wrapText="1"/>
    </x:xf>
    <x:xf numFmtId="201" fontId="6" fillId="7" borderId="3" xfId="0" applyNumberFormat="1" applyFont="1" applyFill="1" applyBorder="1" applyAlignment="1">
      <x:alignment horizontal="right" vertical="center" wrapText="1"/>
    </x:xf>
    <x:xf numFmtId="202" fontId="7" fillId="8" borderId="3" xfId="0" applyNumberFormat="1" applyFont="1" applyFill="1" applyBorder="1" applyAlignment="1">
      <x:alignment horizontal="right" vertical="center" wrapText="1"/>
    </x:xf>
    <x:xf numFmtId="203" fontId="6" fillId="7" borderId="3" xfId="0" applyNumberFormat="1" applyFont="1" applyFill="1" applyBorder="1" applyAlignment="1">
      <x:alignment horizontal="right" vertical="center" wrapText="1"/>
    </x:xf>
    <x:xf numFmtId="0" fontId="6" fillId="7" borderId="3" xfId="0" applyNumberFormat="1" applyFont="1" applyFill="1" applyBorder="1" applyAlignment="1">
      <x:alignment vertical="center" wrapText="1"/>
    </x:xf>
    <x:xf numFmtId="200" fontId="4" fillId="5" borderId="3" xfId="0" applyNumberFormat="1" applyFont="1" applyFill="1" applyBorder="1" applyAlignment="1">
      <x:alignment vertical="center" wrapText="1"/>
    </x:xf>
    <x:xf numFmtId="0" fontId="11" fillId="9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4A7C5E"/>
      </x:font>
      <x:fill>
        <x:patternFill patternType="solid">
          <x:bgColor rgb="FFEAF3EC"/>
        </x:patternFill>
      </x:fill>
    </x:dxf>
    <x:dxf>
      <x:font>
        <x:b/>
        <x:color rgb="FF9C4A2B"/>
      </x:font>
      <x:fill>
        <x:patternFill patternType="solid">
          <x:bgColor rgb="FFF9EEDC"/>
        </x:patternFill>
      </x:fill>
    </x:dxf>
    <x:dxf>
      <x:font>
        <x:b/>
        <x:color rgb="FF9C4A2B"/>
      </x:font>
      <x:fill>
        <x:patternFill patternType="solid">
          <x:bgColor rgb="FFFCE8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fc1828f4034f98" /><Relationship Type="http://schemas.openxmlformats.org/officeDocument/2006/relationships/theme" Target="/xl/theme/theme1.xml" Id="Ra5daddf618204d49" /><Relationship Type="http://schemas.openxmlformats.org/officeDocument/2006/relationships/sharedStrings" Target="/xl/sharedStrings.xml" Id="Rbc1b0b475bee41e8" /><Relationship Type="http://schemas.openxmlformats.org/officeDocument/2006/relationships/worksheet" Target="/xl/worksheets/sheet1.xml" Id="R46f23a2c9ef24a9c" /><Relationship Type="http://schemas.openxmlformats.org/officeDocument/2006/relationships/worksheet" Target="/xl/worksheets/sheet2.xml" Id="R98a3af2b58b24425" /><Relationship Type="http://schemas.openxmlformats.org/officeDocument/2006/relationships/worksheet" Target="/xl/worksheets/sheet3.xml" Id="R1848ac5b0a364795" /><Relationship Type="http://schemas.openxmlformats.org/officeDocument/2006/relationships/worksheet" Target="/xl/worksheets/sheet4.xml" Id="Redc09a8afb5f46c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22.780000686645508" hidden="0" customWidth="1"/>
    <x:col min="2" max="2" width="68.88999938964844" hidden="0" customWidth="1"/>
  </x:cols>
  <x:sheetData>
    <x:row r="1" ht="24" customHeight="1">
      <x:c r="A1" s="2" t="str">
        <x:v>BUS123 · MATH-M08-L01 · Simple Interest, Discounting &amp; Present Value</x:v>
      </x:c>
      <x:c r="B1" s="2" t="str">
        <x:v>BUS123 · MATH-M08-L01 · Simple Interest, Discounting &amp; Present Value</x:v>
      </x:c>
    </x:row>
    <x:row r="2" ht="34" customHeight="1">
      <x:c r="A2" s="5" t="str">
        <x:v>Meridian Advisory Group — retrieval, Excel practice, decision, and independent transfer</x:v>
      </x:c>
      <x:c r="B2" s="5" t="str">
        <x:v>Meridian Advisory Group — retrieval, Excel practice, decision, and independent transfer</x:v>
      </x:c>
    </x:row>
    <x:row r="3" ht="24" customHeight="1"/>
    <x:row r="4" ht="24" customHeight="1"/>
    <x:row r="5" ht="24" customHeight="1">
      <x:c r="A5" s="8" t="str">
        <x:v>How This Workbook Fits the 75-Minute Lesson</x:v>
      </x:c>
      <x:c r="B5" s="9" t="str">
        <x:v>How This Workbook Fits the 75-Minute Lesson</x:v>
      </x:c>
    </x:row>
    <x:row r="6" ht="24" customHeight="1"/>
    <x:row r="7" ht="42" customHeight="1">
      <x:c r="A7" s="15" t="n">
        <x:v>1</x:v>
      </x:c>
      <x:c r="B7" s="14" t="str">
        <x:v>Keep this workbook open during the deck. Use the exact tab and cell ranges named on each activity slide.</x:v>
      </x:c>
    </x:row>
    <x:row r="8" ht="42" customHeight="1">
      <x:c r="A8" s="15" t="n">
        <x:v>2</x:v>
      </x:c>
      <x:c r="B8" s="14" t="str">
        <x:v>Live You Try It is self-graded practice. Build formulas in yellow cells from the blue inputs and read the feedback text.</x:v>
      </x:c>
    </x:row>
    <x:row r="9" ht="42" customHeight="1">
      <x:c r="A9" s="15" t="n">
        <x:v>3</x:v>
      </x:c>
      <x:c r="B9" s="14" t="str">
        <x:v>Class Challenge is pair work: complete the round-trip audit, discount each future payment with one compound-periodic model, and reconcile the total.</x:v>
      </x:c>
    </x:row>
    <x:row r="10" ht="42" customHeight="1">
      <x:c r="A10" s="15" t="n">
        <x:v>4</x:v>
      </x:c>
      <x:c r="B10" s="14" t="str">
        <x:v>Your decision is incomplete until you choose an offer, write a two-sentence defense, and state the model and rate assumption.</x:v>
      </x:c>
    </x:row>
    <x:row r="11" ht="42" customHeight="1">
      <x:c r="A11" s="15" t="n">
        <x:v>5</x:v>
      </x:c>
      <x:c r="B11" s="14" t="str">
        <x:v>FormulaReferenceCard is a syntax reference. It is not a substitute for deciding which model answers the business question.</x:v>
      </x:c>
    </x:row>
    <x:row r="12" ht="24" customHeight="1"/>
    <x:row r="13" ht="24" customHeight="1"/>
    <x:row r="14" ht="24" customHeight="1">
      <x:c r="A14" s="8" t="str">
        <x:v>Tabs and Required Deliverables</x:v>
      </x:c>
      <x:c r="B14" s="9" t="str">
        <x:v>Tabs and Required Deliverables</x:v>
      </x:c>
    </x:row>
    <x:row r="15" ht="24" customHeight="1"/>
    <x:row r="16" ht="24" customHeight="1">
      <x:c r="A16" s="21" t="str">
        <x:v>Tab</x:v>
      </x:c>
      <x:c r="B16" s="21" t="str">
        <x:v>Purpose</x:v>
      </x:c>
    </x:row>
    <x:row r="17" ht="48" customHeight="1">
      <x:c r="A17" s="14" t="str">
        <x:v>Live You Try It</x:v>
      </x:c>
      <x:c r="B17" s="14" t="str">
        <x:v>Pause A: G6:G10. Pause B: G12:G14. Optional transfer after slide 15: G16:G18.</x:v>
      </x:c>
    </x:row>
    <x:row r="18" ht="48" customHeight="1">
      <x:c r="A18" s="14" t="str">
        <x:v>Class Challenge</x:v>
      </x:c>
      <x:c r="B18" s="14" t="str">
        <x:v>Build E6 and E12:E18; choose in B19; defend in B20:E21; disclose the model in B22:E23.</x:v>
      </x:c>
    </x:row>
    <x:row r="19" ht="48" customHeight="1">
      <x:c r="A19" s="14" t="str">
        <x:v>FormulaReferenceCard</x:v>
      </x:c>
      <x:c r="B19" s="14" t="str">
        <x:v>Selected syntax and model-boundary reminders for time, simple interest, manual PV, and Excel PV/FV.</x:v>
      </x:c>
    </x:row>
    <x:row r="20" ht="24" customHeight="1"/>
    <x:row r="21" ht="24" customHeight="1"/>
    <x:row r="22" ht="24" customHeight="1">
      <x:c r="A22" s="8" t="str">
        <x:v>Color and Evidence Key</x:v>
      </x:c>
      <x:c r="B22" s="9" t="str">
        <x:v>Color and Evidence Key</x:v>
      </x:c>
    </x:row>
    <x:row r="23" ht="24" customHeight="1"/>
    <x:row r="24" ht="38" customHeight="1">
      <x:c r="A24" s="22" t="str">
        <x:v>Blue cells</x:v>
      </x:c>
      <x:c r="B24" s="14" t="str">
        <x:v>Given inputs. Reference these cells rather than typing numbers inside formulas.</x:v>
      </x:c>
    </x:row>
    <x:row r="25" ht="38" customHeight="1">
      <x:c r="A25" s="23" t="str">
        <x:v>Yellow cells</x:v>
      </x:c>
      <x:c r="B25" s="14" t="str">
        <x:v>Student formula or response cells.</x:v>
      </x:c>
    </x:row>
    <x:row r="26" ht="38" customHeight="1">
      <x:c r="A26" s="24" t="str">
        <x:v>Green feedback</x:v>
      </x:c>
      <x:c r="B26" s="14" t="str">
        <x:v>Correct-value feedback. Also inspect the formula bar to confirm cell references.</x:v>
      </x:c>
    </x:row>
    <x:row r="27" ht="38" customHeight="1">
      <x:c r="A27" s="14" t="str">
        <x:v>Text evidence</x:v>
      </x:c>
      <x:c r="B27" s="14" t="str">
        <x:v>Feedback words, formula precedents, reconciliation, and written reasoning carry the meaning; color is secondary.</x:v>
      </x:c>
    </x:row>
  </x:sheetData>
  <x:mergeCells>
    <x:mergeCell ref="A1:B1"/>
    <x:mergeCell ref="A2:B2"/>
    <x:mergeCell ref="A5:B5"/>
    <x:mergeCell ref="A14:B14"/>
    <x:mergeCell ref="A22:B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7.559999942779541" hidden="0" customWidth="1"/>
    <x:col min="2" max="2" width="7.78000020980835" hidden="0" customWidth="1"/>
    <x:col min="3" max="3" width="34.439998626708984" hidden="0" customWidth="1"/>
    <x:col min="4" max="4" width="13.109999656677246" hidden="0" customWidth="1"/>
    <x:col min="5" max="5" width="13.109999656677246" hidden="0" customWidth="1"/>
    <x:col min="6" max="6" width="13.109999656677246" hidden="0" customWidth="1"/>
    <x:col min="7" max="7" width="18.889999389648438" hidden="0" customWidth="1"/>
    <x:col min="8" max="8" width="34.439998626708984" hidden="0" customWidth="1"/>
    <x:col min="9" max="9" width="30" hidden="0" customWidth="1"/>
  </x:cols>
  <x:sheetData>
    <x:row r="1" ht="30" customHeight="1">
      <x:c r="A1" s="2" t="str">
        <x:v>Live You Try It · Build, Read Feedback, Explain</x:v>
      </x:c>
      <x:c r="B1" s="2" t="str">
        <x:v>Live You Try It · Build, Read Feedback, Explain</x:v>
      </x:c>
      <x:c r="C1" s="2" t="str">
        <x:v>Live You Try It · Build, Read Feedback, Explain</x:v>
      </x:c>
      <x:c r="D1" s="2" t="str">
        <x:v>Live You Try It · Build, Read Feedback, Explain</x:v>
      </x:c>
      <x:c r="E1" s="2" t="str">
        <x:v>Live You Try It · Build, Read Feedback, Explain</x:v>
      </x:c>
      <x:c r="F1" s="2" t="str">
        <x:v>Live You Try It · Build, Read Feedback, Explain</x:v>
      </x:c>
      <x:c r="G1" s="2" t="str">
        <x:v>Live You Try It · Build, Read Feedback, Explain</x:v>
      </x:c>
      <x:c r="H1" s="2" t="str">
        <x:v>Live You Try It · Build, Read Feedback, Explain</x:v>
      </x:c>
      <x:c r="I1" s="2" t="str">
        <x:v>Live You Try It · Build, Read Feedback, Explain</x:v>
      </x:c>
    </x:row>
    <x:row r="2" ht="34" customHeight="1">
      <x:c r="A2" s="5" t="str">
        <x:v>Blue cells contain transfer inputs. Build formulas in yellow cells; feedback uses words as well as color.</x:v>
      </x:c>
      <x:c r="B2" s="5" t="str">
        <x:v>Blue cells contain transfer inputs. Build formulas in yellow cells; feedback uses words as well as color.</x:v>
      </x:c>
      <x:c r="C2" s="5" t="str">
        <x:v>Blue cells contain transfer inputs. Build formulas in yellow cells; feedback uses words as well as color.</x:v>
      </x:c>
      <x:c r="D2" s="5" t="str">
        <x:v>Blue cells contain transfer inputs. Build formulas in yellow cells; feedback uses words as well as color.</x:v>
      </x:c>
      <x:c r="E2" s="5" t="str">
        <x:v>Blue cells contain transfer inputs. Build formulas in yellow cells; feedback uses words as well as color.</x:v>
      </x:c>
      <x:c r="F2" s="5" t="str">
        <x:v>Blue cells contain transfer inputs. Build formulas in yellow cells; feedback uses words as well as color.</x:v>
      </x:c>
      <x:c r="G2" s="5" t="str">
        <x:v>Blue cells contain transfer inputs. Build formulas in yellow cells; feedback uses words as well as color.</x:v>
      </x:c>
      <x:c r="H2" s="5" t="str">
        <x:v>Blue cells contain transfer inputs. Build formulas in yellow cells; feedback uses words as well as color.</x:v>
      </x:c>
      <x:c r="I2" s="5" t="str">
        <x:v>Blue cells contain transfer inputs. Build formulas in yellow cells; feedback uses words as well as color.</x:v>
      </x:c>
    </x:row>
    <x:row r="3" ht="30" customHeight="1"/>
    <x:row r="4" ht="30" customHeight="1"/>
    <x:row r="5" ht="30" customHeight="1">
      <x:c r="A5" s="21" t="str">
        <x:v>Pause</x:v>
      </x:c>
      <x:c r="B5" s="21" t="str">
        <x:v>Slide</x:v>
      </x:c>
      <x:c r="C5" s="21" t="str">
        <x:v>What to model</x:v>
      </x:c>
      <x:c r="D5" s="21" t="str">
        <x:v>Input 1</x:v>
      </x:c>
      <x:c r="E5" s="21" t="str">
        <x:v>Input 2</x:v>
      </x:c>
      <x:c r="F5" s="21" t="str">
        <x:v>Input 3</x:v>
      </x:c>
      <x:c r="G5" s="21" t="str">
        <x:v>Your formula / result</x:v>
      </x:c>
      <x:c r="H5" s="21" t="str">
        <x:v>Feedback</x:v>
      </x:c>
      <x:c r="I5" s="21" t="str">
        <x:v>Hint</x:v>
      </x:c>
    </x:row>
    <x:row r="6" ht="44" customHeight="1">
      <x:c r="A6" s="14" t="str">
        <x:v>A1</x:v>
      </x:c>
      <x:c r="B6" s="14" t="n">
        <x:v>8</x:v>
      </x:c>
      <x:c r="C6" s="14" t="str">
        <x:v>Exact-interest time in years</x:v>
      </x:c>
      <x:c r="D6" s="30" t="n">
        <x:v>75</x:v>
      </x:c>
      <x:c r="E6" s="30" t="n">
        <x:v>365</x:v>
      </x:c>
      <x:c r="F6" s="30"/>
      <x:c r="G6" s="51"/>
      <x:c r="H6" s="41" t="str">
        <x:f>IF(G6="","Enter a formula using cell references",IF(ABS(G6-(D6/E6))&lt;0.0001,"Correct value - confirm formula bar uses references","Try again - check the time basis"))</x:f>
        <x:v>Enter a formula using cell references</x:v>
      </x:c>
      <x:c r="I6" s="45" t="str">
        <x:v>Use the specified 365-day basis.</x:v>
      </x:c>
    </x:row>
    <x:row r="7" ht="44" customHeight="1">
      <x:c r="A7" s="14" t="str">
        <x:v>A2</x:v>
      </x:c>
      <x:c r="B7" s="14" t="n">
        <x:v>8</x:v>
      </x:c>
      <x:c r="C7" s="14" t="str">
        <x:v>Exact interest on the Meridian note</x:v>
      </x:c>
      <x:c r="D7" s="48" t="n">
        <x:v>42000</x:v>
      </x:c>
      <x:c r="E7" s="50" t="n">
        <x:v>0.048</x:v>
      </x:c>
      <x:c r="F7" s="30" t="str">
        <x:f>IF(G6="","",G6)</x:f>
      </x:c>
      <x:c r="G7" s="49"/>
      <x:c r="H7" s="41" t="str">
        <x:f>IF(G7="","Enter a formula using cell references",IF(ABS(G7-(D7*E7*F7))&lt;0.05,"Correct value - confirm formula bar uses references","Try again - reference the exact-time result"))</x:f>
        <x:v>Enter a formula using cell references</x:v>
      </x:c>
      <x:c r="I7" s="45" t="str">
        <x:v>Reference A1's time result.</x:v>
      </x:c>
    </x:row>
    <x:row r="8" ht="44" customHeight="1">
      <x:c r="A8" s="14" t="str">
        <x:v>A3</x:v>
      </x:c>
      <x:c r="B8" s="14" t="n">
        <x:v>8</x:v>
      </x:c>
      <x:c r="C8" s="14" t="str">
        <x:v>Ordinary-interest time in years</x:v>
      </x:c>
      <x:c r="D8" s="30" t="n">
        <x:v>75</x:v>
      </x:c>
      <x:c r="E8" s="30" t="n">
        <x:v>360</x:v>
      </x:c>
      <x:c r="F8" s="30"/>
      <x:c r="G8" s="51"/>
      <x:c r="H8" s="41" t="str">
        <x:f>IF(G8="","Enter a formula using cell references",IF(ABS(G8-(D8/E8))&lt;0.0001,"Correct value - confirm formula bar uses references","Try again - check the time basis"))</x:f>
        <x:v>Enter a formula using cell references</x:v>
      </x:c>
      <x:c r="I8" s="45" t="str">
        <x:v>Use the specified 360-day basis.</x:v>
      </x:c>
    </x:row>
    <x:row r="9" ht="44" customHeight="1">
      <x:c r="A9" s="14" t="str">
        <x:v>A4</x:v>
      </x:c>
      <x:c r="B9" s="14" t="n">
        <x:v>8</x:v>
      </x:c>
      <x:c r="C9" s="14" t="str">
        <x:v>Ordinary interest on the same note</x:v>
      </x:c>
      <x:c r="D9" s="48" t="n">
        <x:v>42000</x:v>
      </x:c>
      <x:c r="E9" s="50" t="n">
        <x:v>0.048</x:v>
      </x:c>
      <x:c r="F9" s="30" t="str">
        <x:f>IF(G8="","",G8)</x:f>
      </x:c>
      <x:c r="G9" s="49"/>
      <x:c r="H9" s="41" t="str">
        <x:f>IF(G9="","Enter a formula using cell references",IF(ABS(G9-(D9*E9*F9))&lt;0.05,"Correct value - confirm formula bar uses references","Try again - reference the ordinary-time result"))</x:f>
        <x:v>Enter a formula using cell references</x:v>
      </x:c>
      <x:c r="I9" s="45" t="str">
        <x:v>Reference A3's time result.</x:v>
      </x:c>
    </x:row>
    <x:row r="10" ht="44" customHeight="1">
      <x:c r="A10" s="14" t="str">
        <x:v>A5</x:v>
      </x:c>
      <x:c r="B10" s="14" t="n">
        <x:v>8</x:v>
      </x:c>
      <x:c r="C10" s="14" t="str">
        <x:v>Extra interest from the 360-day basis</x:v>
      </x:c>
      <x:c r="D10" s="48" t="str">
        <x:f>IF(G7="","",G7)</x:f>
      </x:c>
      <x:c r="E10" s="48" t="str">
        <x:f>IF(G9="","",G9)</x:f>
      </x:c>
      <x:c r="F10" s="30"/>
      <x:c r="G10" s="49"/>
      <x:c r="H10" s="41" t="str">
        <x:f>IF(G10="","Enter a formula using cell references",IF(ABS(G10-(E10-D10))&lt;0.05,"Correct value - explain the denominator difference","Try again - ordinary interest minus exact interest"))</x:f>
        <x:v>Enter a formula using cell references</x:v>
      </x:c>
      <x:c r="I10" s="45" t="str">
        <x:v>Ordinary interest minus exact interest.</x:v>
      </x:c>
    </x:row>
    <x:row r="11" ht="44" customHeight="1">
      <x:c r="A11" s="8" t="str">
        <x:v>Pause B · Simple Interest Transfer</x:v>
      </x:c>
      <x:c r="B11" s="46" t="str">
        <x:v>Pause B · Simple Interest Transfer</x:v>
      </x:c>
      <x:c r="C11" s="46" t="str">
        <x:v>Pause B · Simple Interest Transfer</x:v>
      </x:c>
      <x:c r="D11" s="46" t="str">
        <x:v>Pause B · Simple Interest Transfer</x:v>
      </x:c>
      <x:c r="E11" s="46" t="str">
        <x:v>Pause B · Simple Interest Transfer</x:v>
      </x:c>
      <x:c r="F11" s="46" t="str">
        <x:v>Pause B · Simple Interest Transfer</x:v>
      </x:c>
      <x:c r="G11" s="46" t="str">
        <x:v>Pause B · Simple Interest Transfer</x:v>
      </x:c>
      <x:c r="H11" s="46" t="str">
        <x:v>Pause B · Simple Interest Transfer</x:v>
      </x:c>
      <x:c r="I11" s="9" t="str">
        <x:v>Pause B · Simple Interest Transfer</x:v>
      </x:c>
    </x:row>
    <x:row r="12" ht="44" customHeight="1">
      <x:c r="A12" s="14" t="str">
        <x:v>B1</x:v>
      </x:c>
      <x:c r="B12" s="14" t="n">
        <x:v>12</x:v>
      </x:c>
      <x:c r="C12" s="14" t="str">
        <x:v>Convert the 8-month term to years</x:v>
      </x:c>
      <x:c r="D12" s="30" t="n">
        <x:v>8</x:v>
      </x:c>
      <x:c r="E12" s="30" t="n">
        <x:v>12</x:v>
      </x:c>
      <x:c r="F12" s="30"/>
      <x:c r="G12" s="51"/>
      <x:c r="H12" s="41" t="str">
        <x:f>IF(G12="","Enter a formula using cell references",IF(ABS(G12-(D12/E12))&lt;0.0001,"Correct value - confirm formula bar uses references","Try again - months divided by 12"))</x:f>
        <x:v>Enter a formula using cell references</x:v>
      </x:c>
      <x:c r="I12" s="45" t="str">
        <x:v>Months divided by 12.</x:v>
      </x:c>
    </x:row>
    <x:row r="13" ht="44" customHeight="1">
      <x:c r="A13" s="14" t="str">
        <x:v>B2</x:v>
      </x:c>
      <x:c r="B13" s="14" t="n">
        <x:v>12</x:v>
      </x:c>
      <x:c r="C13" s="14" t="str">
        <x:v>Calculate simple interest</x:v>
      </x:c>
      <x:c r="D13" s="48" t="n">
        <x:v>18500</x:v>
      </x:c>
      <x:c r="E13" s="50" t="n">
        <x:v>0.062</x:v>
      </x:c>
      <x:c r="F13" s="30" t="str">
        <x:f>IF(G12="","",G12)</x:f>
      </x:c>
      <x:c r="G13" s="49"/>
      <x:c r="H13" s="41" t="str">
        <x:f>IF(G13="","Enter a formula using cell references",IF(ABS(G13-(D13*E13*F13))&lt;0.05,"Correct value - confirm formula bar uses references","Try again - trace principal, rate, and time"))</x:f>
        <x:v>Enter a formula using cell references</x:v>
      </x:c>
      <x:c r="I13" s="45" t="str">
        <x:v>Principal × rate × B1 time.</x:v>
      </x:c>
    </x:row>
    <x:row r="14" ht="44" customHeight="1">
      <x:c r="A14" s="14" t="str">
        <x:v>B3</x:v>
      </x:c>
      <x:c r="B14" s="14" t="n">
        <x:v>12</x:v>
      </x:c>
      <x:c r="C14" s="14" t="str">
        <x:v>Calculate simple future value</x:v>
      </x:c>
      <x:c r="D14" s="48" t="n">
        <x:v>18500</x:v>
      </x:c>
      <x:c r="E14" s="50" t="n">
        <x:v>0.062</x:v>
      </x:c>
      <x:c r="F14" s="30" t="str">
        <x:f>IF(G12="","",G12)</x:f>
      </x:c>
      <x:c r="G14" s="49"/>
      <x:c r="H14" s="41" t="str">
        <x:f>IF(G14="","Enter a formula using cell references",IF(ABS(G14-(D14*(1+E14*F14)))&lt;0.05,"Correct value - future value exceeds principal","Try again - include principal plus interest"))</x:f>
        <x:v>Enter a formula using cell references</x:v>
      </x:c>
      <x:c r="I14" s="45" t="str">
        <x:v>Principal × (1 + rate × time).</x:v>
      </x:c>
    </x:row>
    <x:row r="15" ht="44" customHeight="1">
      <x:c r="A15" s="8" t="str">
        <x:v>Optional Transfer · Manual PV vs Excel PV</x:v>
      </x:c>
      <x:c r="B15" s="46" t="str">
        <x:v>Optional Transfer · Manual PV vs Excel PV</x:v>
      </x:c>
      <x:c r="C15" s="46" t="str">
        <x:v>Optional Transfer · Manual PV vs Excel PV</x:v>
      </x:c>
      <x:c r="D15" s="46" t="str">
        <x:v>Optional Transfer · Manual PV vs Excel PV</x:v>
      </x:c>
      <x:c r="E15" s="46" t="str">
        <x:v>Optional Transfer · Manual PV vs Excel PV</x:v>
      </x:c>
      <x:c r="F15" s="46" t="str">
        <x:v>Optional Transfer · Manual PV vs Excel PV</x:v>
      </x:c>
      <x:c r="G15" s="46" t="str">
        <x:v>Optional Transfer · Manual PV vs Excel PV</x:v>
      </x:c>
      <x:c r="H15" s="46" t="str">
        <x:v>Optional Transfer · Manual PV vs Excel PV</x:v>
      </x:c>
      <x:c r="I15" s="9" t="str">
        <x:v>Optional Transfer · Manual PV vs Excel PV</x:v>
      </x:c>
    </x:row>
    <x:row r="16" ht="44" customHeight="1">
      <x:c r="A16" s="14" t="str">
        <x:v>C1</x:v>
      </x:c>
      <x:c r="B16" s="14" t="n">
        <x:v>15</x:v>
      </x:c>
      <x:c r="C16" s="14" t="str">
        <x:v>Manual simple-interest PV</x:v>
      </x:c>
      <x:c r="D16" s="48" t="n">
        <x:v>30000</x:v>
      </x:c>
      <x:c r="E16" s="50" t="n">
        <x:v>0.065</x:v>
      </x:c>
      <x:c r="F16" s="30" t="n">
        <x:v>1.5</x:v>
      </x:c>
      <x:c r="G16" s="49"/>
      <x:c r="H16" s="41" t="str">
        <x:f>IF(G16="","Enter a formula using cell references",IF(ABS(G16-(D16/(1+E16*F16)))&lt;0.05,"Correct simple-interest PV","Try again - divide by the simple discount factor"))</x:f>
        <x:v>Enter a formula using cell references</x:v>
      </x:c>
      <x:c r="I16" s="45" t="str">
        <x:v>Future value divided by the simple discount factor.</x:v>
      </x:c>
    </x:row>
    <x:row r="17" ht="44" customHeight="1">
      <x:c r="A17" s="14" t="str">
        <x:v>C2</x:v>
      </x:c>
      <x:c r="B17" s="14" t="n">
        <x:v>15</x:v>
      </x:c>
      <x:c r="C17" s="14" t="str">
        <x:v>Excel compound-periodic PV</x:v>
      </x:c>
      <x:c r="D17" s="48" t="n">
        <x:v>30000</x:v>
      </x:c>
      <x:c r="E17" s="50" t="n">
        <x:v>0.065</x:v>
      </x:c>
      <x:c r="F17" s="30" t="n">
        <x:v>1.5</x:v>
      </x:c>
      <x:c r="G17" s="49"/>
      <x:c r="H17" s="41" t="str">
        <x:f>IF(G17="","Enter a formula using cell references",IF(ABS(G17-PV(E17,F17,0,D17))&lt;0.05,"Correct compound-periodic PV and sign","Try again - use PV with a positive future inflow"))</x:f>
        <x:v>Enter a formula using cell references</x:v>
      </x:c>
      <x:c r="I17" s="45" t="str">
        <x:v>Use PV; keep Excel's cash-flow sign.</x:v>
      </x:c>
    </x:row>
    <x:row r="18" ht="44" customHeight="1">
      <x:c r="A18" s="14" t="str">
        <x:v>C3</x:v>
      </x:c>
      <x:c r="B18" s="14" t="n">
        <x:v>15</x:v>
      </x:c>
      <x:c r="C18" s="14" t="str">
        <x:v>Round trip the Excel PV result with FV</x:v>
      </x:c>
      <x:c r="D18" s="48" t="str">
        <x:f>IF(G17="","",G17)</x:f>
      </x:c>
      <x:c r="E18" s="50" t="n">
        <x:v>0.065</x:v>
      </x:c>
      <x:c r="F18" s="30" t="n">
        <x:v>1.5</x:v>
      </x:c>
      <x:c r="G18" s="49"/>
      <x:c r="H18" s="41" t="str">
        <x:f>IF(G18="","Enter a formula using cell references",IF(ABS(G18-FV(E18,F18,0,D18))&lt;0.05,"Correct round trip","Try again - reference C2's PV result"))</x:f>
        <x:v>Enter a formula using cell references</x:v>
      </x:c>
      <x:c r="I18" s="45" t="str">
        <x:v>Reference C2's negative PV result.</x:v>
      </x:c>
    </x:row>
    <x:row r="19" ht="30" customHeight="1"/>
    <x:row r="20" ht="30" customHeight="1">
      <x:c r="A20" s="47" t="str">
        <x:v>Self-check score</x:v>
      </x:c>
      <x:c r="B20" s="45" t="str">
        <x:f>COUNTIF(H6:H18,"Correct*")&amp;" of 11 complete"</x:f>
        <x:v>0 of 11 complete</x:v>
      </x:c>
    </x:row>
  </x:sheetData>
  <x:mergeCells>
    <x:mergeCell ref="A1:I1"/>
    <x:mergeCell ref="A2:I2"/>
    <x:mergeCell ref="A11:I11"/>
    <x:mergeCell ref="A15:I15"/>
  </x:mergeCells>
  <x:conditionalFormatting sqref="H6:H18">
    <x:cfRule type="containsText" dxfId="0" priority="1" operator="containsText" text="Correct"/>
    <x:cfRule type="containsText" dxfId="1" priority="2" operator="containsText" text="Try again"/>
    <x:cfRule type="containsText" dxfId="2" priority="3" operator="containsText" text="Check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8.890000343322754" hidden="0" customWidth="1"/>
    <x:col min="2" max="2" width="10" hidden="0" customWidth="1"/>
    <x:col min="3" max="3" width="24.440000534057617" hidden="0" customWidth="1"/>
    <x:col min="4" max="4" width="14.670000076293945" hidden="0" customWidth="1"/>
    <x:col min="5" max="5" width="20" hidden="0" customWidth="1"/>
    <x:col min="6" max="6" width="21.110000610351562" hidden="0" customWidth="1"/>
    <x:col min="7" max="7" width="18.889999389648438" hidden="0" customWidth="1"/>
    <x:col min="8" max="8" width="31.670000076293945" hidden="0" customWidth="1"/>
  </x:cols>
  <x:sheetData>
    <x:row r="1" ht="30" customHeight="1">
      <x:c r="A1" s="2" t="str">
        <x:v>Class Challenge · Discount, Reconcile, Recommend</x:v>
      </x:c>
      <x:c r="B1" s="2" t="str">
        <x:v>Class Challenge · Discount, Reconcile, Recommend</x:v>
      </x:c>
      <x:c r="C1" s="2" t="str">
        <x:v>Class Challenge · Discount, Reconcile, Recommend</x:v>
      </x:c>
      <x:c r="D1" s="2" t="str">
        <x:v>Class Challenge · Discount, Reconcile, Recommend</x:v>
      </x:c>
      <x:c r="E1" s="2" t="str">
        <x:v>Class Challenge · Discount, Reconcile, Recommend</x:v>
      </x:c>
      <x:c r="F1" s="2" t="str">
        <x:v>Class Challenge · Discount, Reconcile, Recommend</x:v>
      </x:c>
      <x:c r="G1" s="2" t="str">
        <x:v>Class Challenge · Discount, Reconcile, Recommend</x:v>
      </x:c>
      <x:c r="H1" s="2" t="str">
        <x:v>Class Challenge · Discount, Reconcile, Recommend</x:v>
      </x:c>
    </x:row>
    <x:row r="2" ht="34" customHeight="1">
      <x:c r="A2" s="5" t="str">
        <x:v>Pair deliverable: one compound-periodic model, a reconciled offer comparison, and a written defense.</x:v>
      </x:c>
      <x:c r="B2" s="5" t="str">
        <x:v>Pair deliverable: one compound-periodic model, a reconciled offer comparison, and a written defense.</x:v>
      </x:c>
      <x:c r="C2" s="5" t="str">
        <x:v>Pair deliverable: one compound-periodic model, a reconciled offer comparison, and a written defense.</x:v>
      </x:c>
      <x:c r="D2" s="5" t="str">
        <x:v>Pair deliverable: one compound-periodic model, a reconciled offer comparison, and a written defense.</x:v>
      </x:c>
      <x:c r="E2" s="5" t="str">
        <x:v>Pair deliverable: one compound-periodic model, a reconciled offer comparison, and a written defense.</x:v>
      </x:c>
      <x:c r="F2" s="5" t="str">
        <x:v>Pair deliverable: one compound-periodic model, a reconciled offer comparison, and a written defense.</x:v>
      </x:c>
      <x:c r="G2" s="5" t="str">
        <x:v>Pair deliverable: one compound-periodic model, a reconciled offer comparison, and a written defense.</x:v>
      </x:c>
      <x:c r="H2" s="5" t="str">
        <x:v>Pair deliverable: one compound-periodic model, a reconciled offer comparison, and a written defense.</x:v>
      </x:c>
    </x:row>
    <x:row r="3" ht="30" customHeight="1"/>
    <x:row r="4" ht="30" customHeight="1">
      <x:c r="A4" s="8" t="str">
        <x:v>Model Audit Before the Decision</x:v>
      </x:c>
      <x:c r="B4" s="46" t="str">
        <x:v>Model Audit Before the Decision</x:v>
      </x:c>
      <x:c r="C4" s="46" t="str">
        <x:v>Model Audit Before the Decision</x:v>
      </x:c>
      <x:c r="D4" s="46" t="str">
        <x:v>Model Audit Before the Decision</x:v>
      </x:c>
      <x:c r="E4" s="46" t="str">
        <x:v>Model Audit Before the Decision</x:v>
      </x:c>
      <x:c r="F4" s="46" t="str">
        <x:v>Model Audit Before the Decision</x:v>
      </x:c>
      <x:c r="G4" s="46" t="str">
        <x:v>Model Audit Before the Decision</x:v>
      </x:c>
      <x:c r="H4" s="9" t="str">
        <x:v>Model Audit Before the Decision</x:v>
      </x:c>
    </x:row>
    <x:row r="5" ht="30" customHeight="1">
      <x:c r="A5" s="21" t="str">
        <x:v>#</x:v>
      </x:c>
      <x:c r="B5" s="21" t="str">
        <x:v>Skill</x:v>
      </x:c>
      <x:c r="C5" s="21" t="str">
        <x:v>Scenario</x:v>
      </x:c>
      <x:c r="D5" s="21" t="str">
        <x:v>Input A</x:v>
      </x:c>
      <x:c r="E5" s="21" t="str">
        <x:v>Formula / Answer</x:v>
      </x:c>
      <x:c r="F5" s="21" t="str">
        <x:v>Input B</x:v>
      </x:c>
      <x:c r="G5" s="21" t="str">
        <x:v>Input C</x:v>
      </x:c>
      <x:c r="H5" s="21" t="str">
        <x:v>Build Hint</x:v>
      </x:c>
    </x:row>
    <x:row r="6" ht="48" customHeight="1">
      <x:c r="A6" s="14" t="str">
        <x:v>C9</x:v>
      </x:c>
      <x:c r="B6" s="14" t="str">
        <x:v>Round trip</x:v>
      </x:c>
      <x:c r="C6" s="14" t="str">
        <x:v>Use FV() to audit a compound-periodic PV result</x:v>
      </x:c>
      <x:c r="D6" s="48" t="n">
        <x:v>-27306.68</x:v>
      </x:c>
      <x:c r="E6" s="49"/>
      <x:c r="F6" s="50" t="n">
        <x:v>0.058</x:v>
      </x:c>
      <x:c r="G6" s="52" t="n">
        <x:v>2.25</x:v>
      </x:c>
      <x:c r="H6" s="45" t="str">
        <x:v>The result should reproduce a $31,000 future value.</x:v>
      </x:c>
    </x:row>
    <x:row r="7" ht="30" customHeight="1"/>
    <x:row r="8" ht="30" customHeight="1">
      <x:c r="A8" s="8" t="str">
        <x:v>Meridian Offer Decision Inputs</x:v>
      </x:c>
      <x:c r="B8" s="46" t="str">
        <x:v>Meridian Offer Decision Inputs</x:v>
      </x:c>
      <x:c r="C8" s="46" t="str">
        <x:v>Meridian Offer Decision Inputs</x:v>
      </x:c>
      <x:c r="D8" s="46" t="str">
        <x:v>Meridian Offer Decision Inputs</x:v>
      </x:c>
      <x:c r="E8" s="46" t="str">
        <x:v>Meridian Offer Decision Inputs</x:v>
      </x:c>
      <x:c r="F8" s="46" t="str">
        <x:v>Meridian Offer Decision Inputs</x:v>
      </x:c>
      <x:c r="G8" s="46" t="str">
        <x:v>Meridian Offer Decision Inputs</x:v>
      </x:c>
      <x:c r="H8" s="9" t="str">
        <x:v>Meridian Offer Decision Inputs</x:v>
      </x:c>
    </x:row>
    <x:row r="9" ht="30" customHeight="1">
      <x:c r="A9" s="14" t="str">
        <x:v>Cash offer today</x:v>
      </x:c>
      <x:c r="B9" s="48" t="n">
        <x:v>75000</x:v>
      </x:c>
      <x:c r="C9" s="14" t="str">
        <x:v>Annual discount rate</x:v>
      </x:c>
      <x:c r="D9" s="50" t="n">
        <x:v>0.06</x:v>
      </x:c>
      <x:c r="E9" s="14" t="str">
        <x:v>Model</x:v>
      </x:c>
      <x:c r="F9" s="30" t="str">
        <x:v>Compound-periodic annual PV</x:v>
      </x:c>
      <x:c r="G9" s="14" t="str">
        <x:v>Valuation date</x:v>
      </x:c>
      <x:c r="H9" s="30" t="str">
        <x:v>Today</x:v>
      </x:c>
    </x:row>
    <x:row r="10" ht="30" customHeight="1"/>
    <x:row r="11" ht="30" customHeight="1">
      <x:c r="A11" s="21" t="str">
        <x:v>#</x:v>
      </x:c>
      <x:c r="B11" s="21" t="str">
        <x:v>Year</x:v>
      </x:c>
      <x:c r="C11" s="21" t="str">
        <x:v>Future payment</x:v>
      </x:c>
      <x:c r="D11" s="21" t="str">
        <x:v>Rate per period</x:v>
      </x:c>
      <x:c r="E11" s="21" t="str">
        <x:v>Formula / Answer</x:v>
      </x:c>
      <x:c r="F11" s="21" t="str">
        <x:v>Evidence</x:v>
      </x:c>
      <x:c r="G11" s="21" t="str">
        <x:v>Model</x:v>
      </x:c>
      <x:c r="H11" s="21" t="str">
        <x:v>Build Hint</x:v>
      </x:c>
    </x:row>
    <x:row r="12" ht="42" customHeight="1">
      <x:c r="A12" s="14" t="str">
        <x:v>C10</x:v>
      </x:c>
      <x:c r="B12" s="14" t="n">
        <x:v>1</x:v>
      </x:c>
      <x:c r="C12" s="54" t="n">
        <x:v>18000</x:v>
      </x:c>
      <x:c r="D12" s="50" t="n">
        <x:f>$D$9</x:f>
        <x:v>0.06</x:v>
      </x:c>
      <x:c r="E12" s="49"/>
      <x:c r="F12" s="45" t="str">
        <x:v>Use one rate cell</x:v>
      </x:c>
      <x:c r="G12" s="45" t="str">
        <x:v>Compound-periodic PV</x:v>
      </x:c>
      <x:c r="H12" s="45" t="str">
        <x:v>=-PV(rate, year, 0, future payment)</x:v>
      </x:c>
    </x:row>
    <x:row r="13" ht="42" customHeight="1">
      <x:c r="A13" s="14" t="str">
        <x:v>C11</x:v>
      </x:c>
      <x:c r="B13" s="14" t="n">
        <x:v>2</x:v>
      </x:c>
      <x:c r="C13" s="54" t="n">
        <x:v>22000</x:v>
      </x:c>
      <x:c r="D13" s="50" t="n">
        <x:f>$D$9</x:f>
        <x:v>0.06</x:v>
      </x:c>
      <x:c r="E13" s="49"/>
      <x:c r="F13" s="45" t="str">
        <x:v>Use one rate cell</x:v>
      </x:c>
      <x:c r="G13" s="45" t="str">
        <x:v>Compound-periodic PV</x:v>
      </x:c>
      <x:c r="H13" s="45" t="str">
        <x:v>=-PV(rate, year, 0, future payment)</x:v>
      </x:c>
    </x:row>
    <x:row r="14" ht="42" customHeight="1">
      <x:c r="A14" s="14" t="str">
        <x:v>C12</x:v>
      </x:c>
      <x:c r="B14" s="14" t="n">
        <x:v>3</x:v>
      </x:c>
      <x:c r="C14" s="54" t="n">
        <x:v>25000</x:v>
      </x:c>
      <x:c r="D14" s="50" t="n">
        <x:f>$D$9</x:f>
        <x:v>0.06</x:v>
      </x:c>
      <x:c r="E14" s="49"/>
      <x:c r="F14" s="45" t="str">
        <x:v>Use one rate cell</x:v>
      </x:c>
      <x:c r="G14" s="45" t="str">
        <x:v>Compound-periodic PV</x:v>
      </x:c>
      <x:c r="H14" s="45" t="str">
        <x:v>=-PV(rate, year, 0, future payment)</x:v>
      </x:c>
    </x:row>
    <x:row r="15" ht="42" customHeight="1">
      <x:c r="A15" s="14" t="str">
        <x:v>C13</x:v>
      </x:c>
      <x:c r="B15" s="14" t="n">
        <x:v>4</x:v>
      </x:c>
      <x:c r="C15" s="54" t="n">
        <x:v>20000</x:v>
      </x:c>
      <x:c r="D15" s="50" t="n">
        <x:f>$D$9</x:f>
        <x:v>0.06</x:v>
      </x:c>
      <x:c r="E15" s="49"/>
      <x:c r="F15" s="45" t="str">
        <x:v>Use one rate cell</x:v>
      </x:c>
      <x:c r="G15" s="45" t="str">
        <x:v>Compound-periodic PV</x:v>
      </x:c>
      <x:c r="H15" s="45" t="str">
        <x:v>=-PV(rate, year, 0, future payment)</x:v>
      </x:c>
    </x:row>
    <x:row r="16" ht="42" customHeight="1">
      <x:c r="A16" s="14" t="str">
        <x:v>C14</x:v>
      </x:c>
      <x:c r="B16" s="14" t="n">
        <x:v>5</x:v>
      </x:c>
      <x:c r="C16" s="54" t="n">
        <x:v>15000</x:v>
      </x:c>
      <x:c r="D16" s="50" t="n">
        <x:f>$D$9</x:f>
        <x:v>0.06</x:v>
      </x:c>
      <x:c r="E16" s="49"/>
      <x:c r="F16" s="45" t="str">
        <x:v>Use one rate cell</x:v>
      </x:c>
      <x:c r="G16" s="45" t="str">
        <x:v>Compound-periodic PV</x:v>
      </x:c>
      <x:c r="H16" s="45" t="str">
        <x:v>=-PV(rate, year, 0, future payment)</x:v>
      </x:c>
    </x:row>
    <x:row r="17" ht="42" customHeight="1">
      <x:c r="A17" s="14" t="str">
        <x:v>C15</x:v>
      </x:c>
      <x:c r="B17" s="14"/>
      <x:c r="C17" s="14"/>
      <x:c r="D17" s="14"/>
      <x:c r="E17" s="49"/>
      <x:c r="F17" s="45" t="str">
        <x:v>Reconcile to five rows</x:v>
      </x:c>
      <x:c r="G17" s="45" t="str">
        <x:v>Total PV</x:v>
      </x:c>
      <x:c r="H17" s="45" t="str">
        <x:v>Sum E12:E16</x:v>
      </x:c>
    </x:row>
    <x:row r="18" ht="42" customHeight="1">
      <x:c r="A18" s="14" t="str">
        <x:v>C16</x:v>
      </x:c>
      <x:c r="B18" s="14"/>
      <x:c r="C18" s="14"/>
      <x:c r="D18" s="14"/>
      <x:c r="E18" s="49"/>
      <x:c r="F18" s="45" t="str">
        <x:v>Positive favors stream</x:v>
      </x:c>
      <x:c r="G18" s="45" t="str">
        <x:v>Spread vs cash offer</x:v>
      </x:c>
      <x:c r="H18" s="45" t="str">
        <x:v>Total PV minus B9</x:v>
      </x:c>
    </x:row>
    <x:row r="19" ht="44" customHeight="1">
      <x:c r="A19" s="14" t="str">
        <x:v>C17 · Choose</x:v>
      </x:c>
      <x:c r="B19" s="36" t="str">
        <x:v>Select: Payment stream or Cash offer</x:v>
      </x:c>
      <x:c r="C19" s="36" t="str">
        <x:v>Select: Payment stream or Cash offer</x:v>
      </x:c>
      <x:c r="D19" s="36" t="str">
        <x:v>Select: Payment stream or Cash offer</x:v>
      </x:c>
      <x:c r="E19" s="36" t="str">
        <x:v>Select: Payment stream or Cash offer</x:v>
      </x:c>
      <x:c r="F19" s="45" t="str">
        <x:v>Use the sign of C16, then consider the model assumption.</x:v>
      </x:c>
      <x:c r="G19" s="45" t="str">
        <x:v>Use the sign of C16, then consider the model assumption.</x:v>
      </x:c>
      <x:c r="H19" s="45" t="str">
        <x:v>Use the sign of C16, then consider the model assumption.</x:v>
      </x:c>
    </x:row>
    <x:row r="20" ht="44" customHeight="1">
      <x:c r="A20" s="14" t="str">
        <x:v>C18 · Defend</x:v>
      </x:c>
      <x:c r="B20" s="36" t="str">
        <x:v>Write two sentences: recommend an offer and cite total PV plus the dollar spread.</x:v>
      </x:c>
      <x:c r="C20" s="36" t="str">
        <x:v>Write two sentences: recommend an offer and cite total PV plus the dollar spread.</x:v>
      </x:c>
      <x:c r="D20" s="36" t="str">
        <x:v>Write two sentences: recommend an offer and cite total PV plus the dollar spread.</x:v>
      </x:c>
      <x:c r="E20" s="36" t="str">
        <x:v>Write two sentences: recommend an offer and cite total PV plus the dollar spread.</x:v>
      </x:c>
      <x:c r="F20" s="45" t="str">
        <x:v>A number without a recommendation is incomplete.</x:v>
      </x:c>
      <x:c r="G20" s="45" t="str">
        <x:v>A number without a recommendation is incomplete.</x:v>
      </x:c>
      <x:c r="H20" s="45" t="str">
        <x:v>A number without a recommendation is incomplete.</x:v>
      </x:c>
    </x:row>
    <x:row r="21" ht="44" customHeight="1">
      <x:c r="A21" s="14" t="str">
        <x:v>C18 · Defend</x:v>
      </x:c>
      <x:c r="B21" s="36" t="str">
        <x:v>Write two sentences: recommend an offer and cite total PV plus the dollar spread.</x:v>
      </x:c>
      <x:c r="C21" s="36" t="str">
        <x:v>Write two sentences: recommend an offer and cite total PV plus the dollar spread.</x:v>
      </x:c>
      <x:c r="D21" s="36" t="str">
        <x:v>Write two sentences: recommend an offer and cite total PV plus the dollar spread.</x:v>
      </x:c>
      <x:c r="E21" s="36" t="str">
        <x:v>Write two sentences: recommend an offer and cite total PV plus the dollar spread.</x:v>
      </x:c>
      <x:c r="F21" s="45" t="str">
        <x:v>A number without a recommendation is incomplete.</x:v>
      </x:c>
      <x:c r="G21" s="45" t="str">
        <x:v>A number without a recommendation is incomplete.</x:v>
      </x:c>
      <x:c r="H21" s="45" t="str">
        <x:v>A number without a recommendation is incomplete.</x:v>
      </x:c>
    </x:row>
    <x:row r="22" ht="44" customHeight="1">
      <x:c r="A22" s="14" t="str">
        <x:v>C19 · Disclose</x:v>
      </x:c>
      <x:c r="B22" s="36" t="str">
        <x:v>State the compound-periodic model, 6% annual rate, annual periods, today's valuation date, and one condition that could reverse the decision.</x:v>
      </x:c>
      <x:c r="C22" s="36" t="str">
        <x:v>State the compound-periodic model, 6% annual rate, annual periods, today's valuation date, and one condition that could reverse the decision.</x:v>
      </x:c>
      <x:c r="D22" s="36" t="str">
        <x:v>State the compound-periodic model, 6% annual rate, annual periods, today's valuation date, and one condition that could reverse the decision.</x:v>
      </x:c>
      <x:c r="E22" s="36" t="str">
        <x:v>State the compound-periodic model, 6% annual rate, annual periods, today's valuation date, and one condition that could reverse the decision.</x:v>
      </x:c>
      <x:c r="F22" s="45" t="str">
        <x:v>The recommendation is conditional on the model and rate assumptions.</x:v>
      </x:c>
      <x:c r="G22" s="45" t="str">
        <x:v>The recommendation is conditional on the model and rate assumptions.</x:v>
      </x:c>
      <x:c r="H22" s="45" t="str">
        <x:v>The recommendation is conditional on the model and rate assumptions.</x:v>
      </x:c>
    </x:row>
    <x:row r="23" ht="44" customHeight="1">
      <x:c r="A23" s="14" t="str">
        <x:v>C19 · Disclose</x:v>
      </x:c>
      <x:c r="B23" s="36" t="str">
        <x:v>State the compound-periodic model, 6% annual rate, annual periods, today's valuation date, and one condition that could reverse the decision.</x:v>
      </x:c>
      <x:c r="C23" s="36" t="str">
        <x:v>State the compound-periodic model, 6% annual rate, annual periods, today's valuation date, and one condition that could reverse the decision.</x:v>
      </x:c>
      <x:c r="D23" s="36" t="str">
        <x:v>State the compound-periodic model, 6% annual rate, annual periods, today's valuation date, and one condition that could reverse the decision.</x:v>
      </x:c>
      <x:c r="E23" s="36" t="str">
        <x:v>State the compound-periodic model, 6% annual rate, annual periods, today's valuation date, and one condition that could reverse the decision.</x:v>
      </x:c>
      <x:c r="F23" s="45" t="str">
        <x:v>The recommendation is conditional on the model and rate assumptions.</x:v>
      </x:c>
      <x:c r="G23" s="45" t="str">
        <x:v>The recommendation is conditional on the model and rate assumptions.</x:v>
      </x:c>
      <x:c r="H23" s="45" t="str">
        <x:v>The recommendation is conditional on the model and rate assumptions.</x:v>
      </x:c>
    </x:row>
  </x:sheetData>
  <x:mergeCells>
    <x:mergeCell ref="A1:H1"/>
    <x:mergeCell ref="A2:H2"/>
    <x:mergeCell ref="A4:H4"/>
    <x:mergeCell ref="A8:H8"/>
    <x:mergeCell ref="B19:E19"/>
    <x:mergeCell ref="F19:H19"/>
    <x:mergeCell ref="A20:A21"/>
    <x:mergeCell ref="B20:E21"/>
    <x:mergeCell ref="F20:H21"/>
    <x:mergeCell ref="A22:A23"/>
    <x:mergeCell ref="B22:E23"/>
    <x:mergeCell ref="F22:H23"/>
  </x:mergeCells>
  <x:dataValidations count="1">
    <x:dataValidation type="list" sqref="B19:E19">
      <x:formula1>"Payment stream,Cash offer"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5.559999465942383" hidden="0" customWidth="1"/>
    <x:col min="2" max="2" width="35.560001373291016" hidden="0" customWidth="1"/>
    <x:col min="3" max="3" width="54.439998626708984" hidden="0" customWidth="1"/>
    <x:col min="4" max="4" width="53.33000183105469" hidden="0" customWidth="1"/>
  </x:cols>
  <x:sheetData>
    <x:row r="1" ht="34" customHeight="1">
      <x:c r="A1" s="2" t="str">
        <x:v>FormulaReferenceCard · MATH-M08-L01</x:v>
      </x:c>
      <x:c r="B1" s="2" t="str">
        <x:v>FormulaReferenceCard · MATH-M08-L01</x:v>
      </x:c>
      <x:c r="C1" s="2" t="str">
        <x:v>FormulaReferenceCard · MATH-M08-L01</x:v>
      </x:c>
      <x:c r="D1" s="2" t="str">
        <x:v>FormulaReferenceCard · MATH-M08-L01</x:v>
      </x:c>
    </x:row>
    <x:row r="2" ht="36" customHeight="1">
      <x:c r="A2" s="5" t="str">
        <x:v>Use after you identify the business question and model. Rate and period units must match.</x:v>
      </x:c>
      <x:c r="B2" s="5" t="str">
        <x:v>Use after you identify the business question and model. Rate and period units must match.</x:v>
      </x:c>
      <x:c r="C2" s="5" t="str">
        <x:v>Use after you identify the business question and model. Rate and period units must match.</x:v>
      </x:c>
      <x:c r="D2" s="5" t="str">
        <x:v>Use after you identify the business question and model. Rate and period units must match.</x:v>
      </x:c>
    </x:row>
    <x:row r="3" ht="34" customHeight="1"/>
    <x:row r="4" ht="34" customHeight="1"/>
    <x:row r="5" ht="34" customHeight="1">
      <x:c r="A5" s="21" t="str">
        <x:v>Concept</x:v>
      </x:c>
      <x:c r="B5" s="21" t="str">
        <x:v>Excel Pattern</x:v>
      </x:c>
      <x:c r="C5" s="21" t="str">
        <x:v>Plain-English Meaning</x:v>
      </x:c>
      <x:c r="D5" s="21" t="str">
        <x:v>Watch Out For</x:v>
      </x:c>
    </x:row>
    <x:row r="6" ht="52" customHeight="1">
      <x:c r="A6" s="14" t="str">
        <x:v>Months to years</x:v>
      </x:c>
      <x:c r="B6" s="55" t="str">
        <x:v>=Months/12</x:v>
      </x:c>
      <x:c r="C6" s="14" t="str">
        <x:v>Converts months to a year fraction for an annual rate.</x:v>
      </x:c>
      <x:c r="D6" s="14" t="str">
        <x:v>Do not use months directly as T.</x:v>
      </x:c>
    </x:row>
    <x:row r="7" ht="52" customHeight="1">
      <x:c r="A7" s="14" t="str">
        <x:v>Exact-interest days</x:v>
      </x:c>
      <x:c r="B7" s="55" t="str">
        <x:v>=Days/365</x:v>
      </x:c>
      <x:c r="C7" s="14" t="str">
        <x:v>Uses the stated 365-day basis.</x:v>
      </x:c>
      <x:c r="D7" s="14" t="str">
        <x:v>Use only when the problem or contract specifies it.</x:v>
      </x:c>
    </x:row>
    <x:row r="8" ht="52" customHeight="1">
      <x:c r="A8" s="14" t="str">
        <x:v>Ordinary-interest days</x:v>
      </x:c>
      <x:c r="B8" s="55" t="str">
        <x:v>=Days/360</x:v>
      </x:c>
      <x:c r="C8" s="14" t="str">
        <x:v>Uses the stated 360-day basis.</x:v>
      </x:c>
      <x:c r="D8" s="14" t="str">
        <x:v>The smaller denominator creates more interest for positive inputs.</x:v>
      </x:c>
    </x:row>
    <x:row r="9" ht="52" customHeight="1">
      <x:c r="A9" s="14" t="str">
        <x:v>Simple interest</x:v>
      </x:c>
      <x:c r="B9" s="55" t="str">
        <x:v>=Principal*Rate*Time</x:v>
      </x:c>
      <x:c r="C9" s="14" t="str">
        <x:v>Calculates interest only on original principal.</x:v>
      </x:c>
      <x:c r="D9" s="14" t="str">
        <x:v>Time must already be in years.</x:v>
      </x:c>
    </x:row>
    <x:row r="10" ht="52" customHeight="1">
      <x:c r="A10" s="14" t="str">
        <x:v>Simple future value</x:v>
      </x:c>
      <x:c r="B10" s="55" t="str">
        <x:v>=Principal*(1+Rate*Time)</x:v>
      </x:c>
      <x:c r="C10" s="14" t="str">
        <x:v>Moves one principal forward with simple interest.</x:v>
      </x:c>
      <x:c r="D10" s="14" t="str">
        <x:v>Do not substitute FV() for this simple model.</x:v>
      </x:c>
    </x:row>
    <x:row r="11" ht="52" customHeight="1">
      <x:c r="A11" s="14" t="str">
        <x:v>Solve for principal</x:v>
      </x:c>
      <x:c r="B11" s="55" t="str">
        <x:v>=Interest/(Rate*Time)</x:v>
      </x:c>
      <x:c r="C11" s="14" t="str">
        <x:v>Back-solves the original amount.</x:v>
      </x:c>
      <x:c r="D11" s="14" t="str">
        <x:v>Identify the unknown before rearranging.</x:v>
      </x:c>
    </x:row>
    <x:row r="12" ht="52" customHeight="1">
      <x:c r="A12" s="14" t="str">
        <x:v>Manual simple PV</x:v>
      </x:c>
      <x:c r="B12" s="55" t="str">
        <x:v>=FV/(1+Rate*Time)</x:v>
      </x:c>
      <x:c r="C12" s="14" t="str">
        <x:v>Reverses a simple-interest promise.</x:v>
      </x:c>
      <x:c r="D12" s="14" t="str">
        <x:v>Do not label it compound-periodic PV.</x:v>
      </x:c>
    </x:row>
    <x:row r="13" ht="52" customHeight="1">
      <x:c r="A13" s="14" t="str">
        <x:v>Excel PV raw sign</x:v>
      </x:c>
      <x:c r="B13" s="55" t="str">
        <x:v>=PV(Rate,Nper,0,FV)</x:v>
      </x:c>
      <x:c r="C13" s="14" t="str">
        <x:v>Discounts one future lump sum with a compound-periodic model.</x:v>
      </x:c>
      <x:c r="D13" s="14" t="str">
        <x:v>Rate is per period; a positive FV returns a negative PV.</x:v>
      </x:c>
    </x:row>
    <x:row r="14" ht="52" customHeight="1">
      <x:c r="A14" s="14" t="str">
        <x:v>Positive PV for comparison</x:v>
      </x:c>
      <x:c r="B14" s="55" t="str">
        <x:v>=-PV(Rate,Nper,0,FV)</x:v>
      </x:c>
      <x:c r="C14" s="14" t="str">
        <x:v>Returns the positive magnitude for an offer table.</x:v>
      </x:c>
      <x:c r="D14" s="14" t="str">
        <x:v>Keep sign logic explicit rather than hiding it.</x:v>
      </x:c>
    </x:row>
    <x:row r="15" ht="52" customHeight="1">
      <x:c r="A15" s="14" t="str">
        <x:v>Excel FV round trip</x:v>
      </x:c>
      <x:c r="B15" s="55" t="str">
        <x:v>=FV(Rate,Nper,0,PV_Result)</x:v>
      </x:c>
      <x:c r="C15" s="14" t="str">
        <x:v>Checks that the compound PV grows back to the original FV.</x:v>
      </x:c>
      <x:c r="D15" s="14" t="str">
        <x:v>Use the negative raw PV result.</x:v>
      </x:c>
    </x:row>
    <x:row r="16" ht="52" customHeight="1">
      <x:c r="A16" s="14" t="str">
        <x:v>Payment-stream total</x:v>
      </x:c>
      <x:c r="B16" s="55" t="str">
        <x:v>=SUM(PV_Range)</x:v>
      </x:c>
      <x:c r="C16" s="14" t="str">
        <x:v>Adds present values already moved to the same date.</x:v>
      </x:c>
      <x:c r="D16" s="14" t="str">
        <x:v>Discount each payment before summing.</x:v>
      </x:c>
    </x:row>
  </x:sheetData>
  <x:mergeCells>
    <x:mergeCell ref="A1:D1"/>
    <x:mergeCell ref="A2:D2"/>
  </x:mergeCells>
  <x:pageMargins left="0.7" right="0.7" top="0.75" bottom="0.75" header="0.3" footer="0.3"/>
</x:worksheet>
</file>