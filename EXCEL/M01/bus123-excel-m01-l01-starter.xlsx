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147a468bb4017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7b877880ef894f14"/>
    <sheet name="Live You Try It" sheetId="2" r:id="R3e044cff404a4b21"/>
    <sheet name="Charge Analysis" sheetId="3" r:id="Re7951ec3c10e44ac"/>
    <sheet name="Challenge - Payer Mix" sheetId="4" r:id="Ra442a19d335545c0"/>
    <sheet name="FormulaReferenceCard" sheetId="5" r:id="Rcbf77a8322b147f2"/>
  </sheet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\$#,##0"/>
    <x:numFmt numFmtId="165" formatCode="$#,##0"/>
  </x:numFmts>
  <x:fonts count="16">
    <x:font>
      <x:sz val="11"/>
      <x:color theme="1"/>
      <x:name val="Calibri"/>
    </x:font>
    <x:font>
      <x:b/>
      <x:sz val="20"/>
      <x:color rgb="FFFFFFFF"/>
      <x:name val="Calibri"/>
    </x:font>
    <x:font>
      <x:i/>
      <x:sz val="11"/>
      <x:color rgb="FFFFFFFF"/>
      <x:name val="Calibri"/>
    </x:font>
    <x:font>
      <x:b/>
      <x:sz val="13"/>
      <x:color rgb="FF4A7C5E"/>
      <x:name val="Calibri"/>
    </x:font>
    <x:font>
      <x:sz val="11"/>
      <x:color rgb="FF1A1F2C"/>
      <x:name val="Calibri"/>
    </x:font>
    <x:font>
      <x:b/>
      <x:sz val="11"/>
      <x:color rgb="FF1A1F2C"/>
      <x:name val="Calibri"/>
    </x:font>
    <x:font>
      <x:i/>
      <x:sz val="11"/>
      <x:color rgb="FF1A1F2C"/>
      <x:name val="Calibri"/>
    </x:font>
    <x:font>
      <x:b/>
      <x:sz val="11"/>
      <x:color rgb="FFB8843D"/>
      <x:name val="Calibri"/>
    </x:font>
    <x:font>
      <x:i/>
      <x:sz val="10"/>
      <x:color rgb="FF7A8290"/>
      <x:name val="Calibri"/>
    </x:font>
    <x:font>
      <x:b/>
      <x:sz val="11"/>
      <x:color rgb="FF0000FF"/>
      <x:name val="Calibri"/>
    </x:font>
    <x:font>
      <x:b/>
      <x:sz val="11"/>
      <x:color rgb="FF4A7C5E"/>
      <x:name val="Calibri"/>
    </x:font>
    <x:font>
      <x:sz val="10"/>
      <x:color rgb="FF4A7C5E"/>
      <x:name val="Consolas"/>
    </x:font>
    <x:font>
      <x:b/>
      <x:sz val="11"/>
      <x:color rgb="FF355773"/>
      <x:name val="Calibri"/>
    </x:font>
    <x:font>
      <x:sz val="11"/>
      <x:color rgb="FFFFFFFF"/>
      <x:name val="Calibri"/>
    </x:font>
    <x:font>
      <x:sz val="10"/>
      <x:color rgb="FF7A8290"/>
      <x:name val="Calibri"/>
    </x:font>
    <x:font>
      <x:b/>
      <x:sz val="10"/>
      <x:color rgb="FF1A1F2C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FF1A1F2C"/>
      </x:patternFill>
    </x:fill>
    <x:fill>
      <x:patternFill patternType="solid">
        <x:fgColor rgb="FFB8843D"/>
      </x:patternFill>
    </x:fill>
    <x:fill>
      <x:patternFill patternType="solid">
        <x:fgColor rgb="FF9C4A2B"/>
      </x:patternFill>
    </x:fill>
    <x:fill>
      <x:patternFill patternType="solid">
        <x:fgColor rgb="FF4A7C5E"/>
      </x:patternFill>
    </x:fill>
    <x:fill>
      <x:patternFill patternType="solid">
        <x:fgColor rgb="FFFFD966"/>
      </x:patternFill>
    </x:fill>
    <x:fill>
      <x:patternFill patternType="solid">
        <x:fgColor rgb="FFC6E6D2"/>
      </x:patternFill>
    </x:fill>
    <x:fill>
      <x:patternFill patternType="solid">
        <x:fgColor rgb="FFF3C9BB"/>
      </x:patternFill>
    </x:fill>
    <x:fill>
      <x:patternFill patternType="solid">
        <x:fgColor rgb="FFF2EEE5"/>
      </x:patternFill>
    </x:fill>
    <x:fill>
      <x:patternFill patternType="solid">
        <x:fgColor rgb="FF0E1116"/>
      </x:patternFill>
    </x:fill>
    <x:fill>
      <x:patternFill patternType="solid">
        <x:fgColor rgb="FFFFFFFF"/>
      </x:patternFill>
    </x:fill>
    <x:fill>
      <x:patternFill patternType="solid">
        <x:fgColor rgb="FFEAF3EC"/>
      </x:patternFill>
    </x:fill>
    <x:fill>
      <x:patternFill patternType="solid">
        <x:fgColor rgb="FFF2EEE5"/>
      </x:patternFill>
    </x:fill>
    <x:fill>
      <x:patternFill patternType="solid">
        <x:fgColor rgb="FF0E1116"/>
      </x:patternFill>
    </x:fill>
    <x:fill>
      <x:patternFill patternType="solid">
        <x:fgColor rgb="FFFFFFFF"/>
      </x:patternFill>
    </x:fill>
    <x:fill>
      <x:patternFill patternType="solid">
        <x:fgColor rgb="FFEAF3EC"/>
      </x:patternFill>
    </x:fill>
    <x:fill>
      <x:patternFill patternType="solid">
        <x:fgColor rgb="FFF2EEE5"/>
      </x:patternFill>
    </x:fill>
    <x:fill>
      <x:patternFill patternType="solid">
        <x:fgColor rgb="FFF2EEE5"/>
      </x:patternFill>
    </x:fill>
    <x:fill>
      <x:patternFill patternType="solid">
        <x:fgColor rgb="FF1A1F2C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E5E1D6"/>
      </x:left>
      <x:right style="thin">
        <x:color rgb="FFE5E1D6"/>
      </x:right>
      <x:top style="thin">
        <x:color rgb="FFE5E1D6"/>
      </x:top>
      <x:bottom style="thin">
        <x:color rgb="FFE5E1D6"/>
      </x:bottom>
    </x:border>
    <x:border>
      <x:left style="thin">
        <x:color rgb="FFE5E1D6"/>
      </x:left>
      <x:top style="thin">
        <x:color rgb="FFE5E1D6"/>
      </x:top>
    </x:border>
    <x:border>
      <x:top style="thin">
        <x:color rgb="FFE5E1D6"/>
      </x:top>
    </x:border>
    <x:border>
      <x:right style="thin">
        <x:color rgb="FFE5E1D6"/>
      </x:right>
      <x:top style="thin">
        <x:color rgb="FFE5E1D6"/>
      </x:top>
    </x:border>
    <x:border>
      <x:left style="thin">
        <x:color rgb="FFE5E1D6"/>
      </x:left>
      <x:bottom style="thin">
        <x:color rgb="FFE5E1D6"/>
      </x:bottom>
    </x:border>
    <x:border>
      <x:bottom style="thin">
        <x:color rgb="FFE5E1D6"/>
      </x:bottom>
    </x:border>
    <x:border>
      <x:right style="thin">
        <x:color rgb="FFE5E1D6"/>
      </x:right>
      <x:bottom style="thin">
        <x:color rgb="FFE5E1D6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3" fillId="0" borderId="0" xfId="0"/>
    <x:xf numFmtId="0" fontId="6" fillId="9" borderId="0" xfId="0" applyAlignment="1">
      <x:alignment horizontal="left" vertical="center" wrapText="1"/>
    </x:xf>
    <x:xf numFmtId="0" fontId="5" fillId="8" borderId="0" xfId="0" applyAlignment="1">
      <x:alignment horizontal="left" vertical="center" wrapText="1"/>
    </x:xf>
    <x:xf numFmtId="0" fontId="5" fillId="7" borderId="0" xfId="0" applyAlignment="1">
      <x:alignment horizontal="left" vertical="center" wrapText="1"/>
    </x:xf>
    <x:xf numFmtId="0" fontId="5" fillId="6" borderId="0" xfId="0" applyAlignment="1">
      <x:alignment horizontal="left" vertical="center" wrapText="1"/>
    </x:xf>
    <x:xf numFmtId="0" fontId="4" fillId="0" borderId="0" xfId="0" applyAlignment="1">
      <x:alignment horizontal="left" vertical="center" wrapText="1"/>
    </x:xf>
    <x:xf numFmtId="0" fontId="3" fillId="0" borderId="0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2" fillId="2" borderId="0" xfId="0"/>
    <x:xf numFmtId="0" fontId="1" fillId="2" borderId="0" xfId="0"/>
    <x:xf numFmtId="0" fontId="0" fillId="3" borderId="0" xfId="0"/>
    <x:xf numFmtId="0" fontId="0" fillId="4" borderId="0" xfId="0"/>
    <x:xf numFmtId="0" fontId="0" fillId="5" borderId="0" xfId="0"/>
    <x:xf numFmtId="0" fontId="7" fillId="2" borderId="1" xfId="0" applyAlignment="1">
      <x:alignment horizontal="center" vertical="center" wrapText="1"/>
    </x:xf>
    <x:xf numFmtId="0" fontId="4" fillId="0" borderId="1" xfId="0"/>
    <x:xf numFmtId="164" fontId="4" fillId="0" borderId="1" xfId="0" applyAlignment="1">
      <x:alignment horizontal="right" vertical="center"/>
    </x:xf>
    <x:xf numFmtId="3" fontId="4" fillId="0" borderId="1" xfId="0" applyAlignment="1">
      <x:alignment horizontal="right" vertical="center"/>
    </x:xf>
    <x:xf numFmtId="0" fontId="4" fillId="0" borderId="1" xfId="0" applyAlignment="1">
      <x:alignment horizontal="left" vertical="center" wrapText="1"/>
    </x:xf>
    <x:xf numFmtId="164" fontId="5" fillId="6" borderId="1" xfId="0" applyAlignment="1">
      <x:alignment horizontal="right" vertical="center"/>
    </x:xf>
    <x:xf numFmtId="0" fontId="8" fillId="0" borderId="0" xfId="0" applyAlignment="1">
      <x:alignment horizontal="left" vertical="center" wrapText="1"/>
    </x:xf>
    <x:xf numFmtId="3" fontId="5" fillId="6" borderId="1" xfId="0" applyAlignment="1">
      <x:alignment horizontal="right" vertical="center"/>
    </x:xf>
    <x:xf numFmtId="0" fontId="4" fillId="0" borderId="0" xfId="0"/>
    <x:xf numFmtId="2" fontId="9" fillId="9" borderId="1" xfId="0" applyAlignment="1">
      <x:alignment horizontal="right" vertical="center"/>
    </x:xf>
    <x:xf numFmtId="0" fontId="8" fillId="0" borderId="0" xfId="0"/>
    <x:xf numFmtId="9" fontId="5" fillId="6" borderId="1" xfId="0" applyAlignment="1">
      <x:alignment horizontal="right" vertical="center"/>
    </x:xf>
    <x:xf numFmtId="0" fontId="5" fillId="0" borderId="1" xfId="0"/>
    <x:xf numFmtId="0" fontId="10" fillId="0" borderId="1" xfId="0"/>
    <x:xf numFmtId="0" fontId="7" fillId="2" borderId="1" xfId="0" applyAlignment="1">
      <x:alignment horizontal="left" vertical="center" wrapText="1"/>
    </x:xf>
    <x:xf numFmtId="0" fontId="11" fillId="0" borderId="1" xfId="0" applyAlignment="1">
      <x:alignment horizontal="left" vertical="center" wrapText="1"/>
    </x:xf>
    <x:xf numFmtId="0" fontId="11" fillId="9" borderId="1" xfId="0" applyAlignment="1">
      <x:alignment horizontal="left" vertical="center" wrapText="1"/>
    </x:xf>
    <x:xf numFmtId="0" fontId="4" fillId="9" borderId="1" xfId="0" applyAlignment="1">
      <x:alignment horizontal="left" vertical="center" wrapText="1"/>
    </x:xf>
    <x:xf numFmtId="0" fontId="0" fillId="10" borderId="0" xfId="0"/>
    <x:xf numFmtId="0" fontId="7" fillId="10" borderId="0" xfId="0"/>
    <x:xf numFmtId="0" fontId="7" fillId="10" borderId="0" xfId="0" applyAlignment="1">
      <x:alignment wrapText="1"/>
    </x:xf>
    <x:xf numFmtId="0" fontId="0" fillId="11" borderId="0" xfId="0"/>
    <x:xf numFmtId="0" fontId="4" fillId="11" borderId="0" xfId="0"/>
    <x:xf numFmtId="0" fontId="4" fillId="11" borderId="1" xfId="0"/>
    <x:xf numFmtId="0" fontId="4" fillId="11" borderId="1" xfId="0" applyAlignment="1">
      <x:alignment wrapText="1"/>
    </x:xf>
    <x:xf numFmtId="0" fontId="4" fillId="12" borderId="1" xfId="0" applyAlignment="1">
      <x:alignment wrapText="1"/>
    </x:xf>
    <x:xf numFmtId="0" fontId="12" fillId="12" borderId="1" xfId="0" applyAlignment="1">
      <x:alignment wrapText="1"/>
    </x:xf>
    <x:xf numFmtId="0" fontId="4" fillId="13" borderId="1" xfId="0" applyAlignment="1">
      <x:alignment wrapText="1"/>
    </x:xf>
    <x:xf numFmtId="0" fontId="0" fillId="14" borderId="0" xfId="0"/>
    <x:xf numFmtId="0" fontId="7" fillId="14" borderId="0" xfId="0"/>
    <x:xf numFmtId="0" fontId="7" fillId="14" borderId="1" xfId="0"/>
    <x:xf numFmtId="0" fontId="7" fillId="14" borderId="1" xfId="0" applyAlignment="1">
      <x:alignment wrapText="1"/>
    </x:xf>
    <x:xf numFmtId="0" fontId="0" fillId="15" borderId="0" xfId="0"/>
    <x:xf numFmtId="0" fontId="4" fillId="15" borderId="0" xfId="0"/>
    <x:xf numFmtId="0" fontId="4" fillId="15" borderId="1" xfId="0"/>
    <x:xf numFmtId="0" fontId="4" fillId="15" borderId="1" xfId="0" applyAlignment="1">
      <x:alignment wrapText="1"/>
    </x:xf>
    <x:xf numFmtId="0" fontId="4" fillId="16" borderId="1" xfId="0" applyAlignment="1">
      <x:alignment wrapText="1"/>
    </x:xf>
    <x:xf numFmtId="0" fontId="12" fillId="16" borderId="1" xfId="0" applyAlignment="1">
      <x:alignment wrapText="1"/>
    </x:xf>
    <x:xf numFmtId="0" fontId="4" fillId="17" borderId="1" xfId="0" applyAlignment="1">
      <x:alignment wrapText="1"/>
    </x:xf>
    <x:xf numFmtId="0" fontId="1" fillId="2" borderId="0" xfId="0" applyAlignment="1">
      <x:alignment vertical="center"/>
    </x:xf>
    <x:xf numFmtId="0" fontId="0" fillId="2" borderId="0" xfId="0"/>
    <x:xf numFmtId="0" fontId="13" fillId="2" borderId="0" xfId="0" applyAlignment="1">
      <x:alignment vertical="center"/>
    </x:xf>
    <x:xf numFmtId="0" fontId="6" fillId="0" borderId="0" xfId="0" applyAlignment="1">
      <x:alignment vertical="center" wrapText="1"/>
    </x:xf>
    <x:xf numFmtId="0" fontId="3" fillId="0" borderId="0" xfId="0" applyAlignment="1">
      <x:alignment horizontal="left" vertical="center"/>
    </x:xf>
    <x:xf numFmtId="165" fontId="5" fillId="6" borderId="1" xfId="0" applyAlignment="1">
      <x:alignment horizontal="right" vertical="center"/>
    </x:xf>
    <x:xf numFmtId="0" fontId="14" fillId="0" borderId="0" xfId="0" applyAlignment="1">
      <x:alignment horizontal="left" vertical="center" wrapText="1"/>
    </x:xf>
    <x:xf numFmtId="0" fontId="15" fillId="17" borderId="0" xfId="0" applyAlignment="1">
      <x:alignment horizontal="left" vertical="center" wrapText="1"/>
    </x:xf>
    <x:xf numFmtId="2" fontId="5" fillId="6" borderId="1" xfId="0" applyAlignment="1">
      <x:alignment horizontal="right" vertical="center"/>
    </x:xf>
    <x:xf numFmtId="0" fontId="7" fillId="14" borderId="1" xfId="0" applyAlignment="1">
      <x:alignment vertical="center" wrapText="1"/>
    </x:xf>
    <x:xf numFmtId="0" fontId="4" fillId="0" borderId="1" xfId="0" applyAlignment="1">
      <x:alignment vertical="top" wrapText="1"/>
    </x:xf>
    <x:xf numFmtId="0" fontId="12" fillId="16" borderId="1" xfId="0" applyAlignment="1">
      <x:alignment vertical="top" wrapText="1"/>
    </x:xf>
    <x:xf numFmtId="0" fontId="4" fillId="17" borderId="1" xfId="0" applyAlignment="1">
      <x:alignment vertical="top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5" fillId="8" borderId="0" xfId="0" applyNumberFormat="1" applyFont="1" applyFill="1" applyBorder="1" applyAlignment="1">
      <x:alignment horizontal="left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6" fillId="18" borderId="0" xfId="0" applyNumberFormat="1" applyFont="1" applyFill="1" applyBorder="1"/>
    <x:xf numFmtId="0" fontId="6" fillId="18" borderId="0" xfId="0" applyNumberFormat="1" applyFont="1" applyFill="1" applyBorder="1" applyAlignment="1">
      <x:alignment wrapText="1"/>
    </x:xf>
    <x:xf numFmtId="0" fontId="6" fillId="18" borderId="0" xfId="0" applyNumberFormat="1" applyFont="1" applyFill="1" applyBorder="1" applyAlignment="1">
      <x:alignment horizontal="left" wrapText="1"/>
    </x:xf>
    <x:xf numFmtId="0" fontId="6" fillId="18" borderId="0" xfId="0" applyNumberFormat="1" applyFont="1" applyFill="1" applyBorder="1" applyAlignment="1">
      <x:alignment horizontal="left" vertical="center" wrapText="1"/>
    </x:xf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7" fillId="19" borderId="0" xfId="0" applyNumberFormat="1" applyFont="1" applyFill="1" applyBorder="1" applyAlignment="1">
      <x:alignment wrapText="1"/>
    </x:xf>
    <x:xf numFmtId="0" fontId="7" fillId="19" borderId="0" xfId="0" applyNumberFormat="1" applyFont="1" applyFill="1" applyBorder="1" applyAlignment="1">
      <x:alignment horizontal="left" wrapText="1"/>
    </x:xf>
    <x:xf numFmtId="0" fontId="7" fillId="19" borderId="0" xfId="0" applyNumberFormat="1" applyFont="1" applyFill="1" applyBorder="1" applyAlignment="1">
      <x:alignment horizontal="left" vertical="center" wrapText="1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1" xfId="0" applyNumberFormat="1" applyFont="1" applyFill="1" applyBorder="1"/>
    <x:xf numFmtId="164" fontId="5" fillId="20" borderId="1" xfId="0" applyNumberFormat="1" applyFont="1" applyFill="1" applyBorder="1"/>
    <x:xf numFmtId="164" fontId="5" fillId="20" borderId="1" xfId="0" applyNumberFormat="1" applyFont="1" applyFill="1" applyBorder="1" applyAlignment="1">
      <x:alignment horizontal="right"/>
    </x:xf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1" xfId="0" applyNumberFormat="1" applyFont="1" applyFill="1" applyBorder="1"/>
    <x:xf numFmtId="0" fontId="5" fillId="21" borderId="1" xfId="0" applyNumberFormat="1" applyFont="1" applyFill="1" applyBorder="1" applyAlignment="1">
      <x:alignment wrapText="1"/>
    </x:xf>
    <x:xf numFmtId="0" fontId="5" fillId="18" borderId="0" xfId="0" applyNumberFormat="1" applyFont="1" applyFill="1" applyBorder="1"/>
    <x:xf numFmtId="0" fontId="5" fillId="18" borderId="0" xfId="0" applyNumberFormat="1" applyFont="1" applyFill="1" applyBorder="1" applyAlignment="1">
      <x:alignment wrapText="1"/>
    </x:xf>
    <x:xf numFmtId="0" fontId="7" fillId="19" borderId="1" xfId="0" applyNumberFormat="1" applyFont="1" applyFill="1" applyBorder="1"/>
    <x:xf numFmtId="0" fontId="7" fillId="19" borderId="1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wrapText="1"/>
    </x:xf>
    <x:xf numFmtId="0" fontId="7" fillId="19" borderId="0" xfId="0" applyNumberFormat="1" applyFont="1" applyFill="1" applyBorder="1" applyAlignment="1">
      <x:alignment horizontal="left"/>
    </x:xf>
    <x:xf numFmtId="0" fontId="4" fillId="20" borderId="0" xfId="0" applyNumberFormat="1" applyFont="1" applyFill="1" applyBorder="1"/>
    <x:xf numFmtId="0" fontId="4" fillId="20" borderId="2" xfId="0" applyNumberFormat="1" applyFont="1" applyFill="1" applyBorder="1"/>
    <x:xf numFmtId="0" fontId="4" fillId="20" borderId="3" xfId="0" applyNumberFormat="1" applyFont="1" applyFill="1" applyBorder="1"/>
    <x:xf numFmtId="0" fontId="4" fillId="20" borderId="4" xfId="0" applyNumberFormat="1" applyFont="1" applyFill="1" applyBorder="1"/>
    <x:xf numFmtId="0" fontId="4" fillId="20" borderId="5" xfId="0" applyNumberFormat="1" applyFont="1" applyFill="1" applyBorder="1"/>
    <x:xf numFmtId="0" fontId="4" fillId="20" borderId="6" xfId="0" applyNumberFormat="1" applyFont="1" applyFill="1" applyBorder="1"/>
    <x:xf numFmtId="0" fontId="4" fillId="20" borderId="7" xfId="0" applyNumberFormat="1" applyFont="1" applyFill="1" applyBorder="1"/>
    <x:xf numFmtId="0" fontId="4" fillId="20" borderId="2" xfId="0" applyNumberFormat="1" applyFont="1" applyFill="1" applyBorder="1" applyAlignment="1">
      <x:alignment wrapText="1"/>
    </x:xf>
    <x:xf numFmtId="0" fontId="4" fillId="20" borderId="3" xfId="0" applyNumberFormat="1" applyFont="1" applyFill="1" applyBorder="1" applyAlignment="1">
      <x:alignment wrapText="1"/>
    </x:xf>
    <x:xf numFmtId="0" fontId="4" fillId="20" borderId="4" xfId="0" applyNumberFormat="1" applyFont="1" applyFill="1" applyBorder="1" applyAlignment="1">
      <x:alignment wrapText="1"/>
    </x:xf>
    <x:xf numFmtId="0" fontId="4" fillId="20" borderId="5" xfId="0" applyNumberFormat="1" applyFont="1" applyFill="1" applyBorder="1" applyAlignment="1">
      <x:alignment wrapText="1"/>
    </x:xf>
    <x:xf numFmtId="0" fontId="4" fillId="20" borderId="6" xfId="0" applyNumberFormat="1" applyFont="1" applyFill="1" applyBorder="1" applyAlignment="1">
      <x:alignment wrapText="1"/>
    </x:xf>
    <x:xf numFmtId="0" fontId="4" fillId="20" borderId="7" xfId="0" applyNumberFormat="1" applyFont="1" applyFill="1" applyBorder="1" applyAlignment="1">
      <x:alignment wrapText="1"/>
    </x:xf>
    <x:xf numFmtId="0" fontId="4" fillId="20" borderId="2" xfId="0" applyNumberFormat="1" applyFont="1" applyFill="1" applyBorder="1" applyAlignment="1">
      <x:alignment vertical="top" wrapText="1"/>
    </x:xf>
    <x:xf numFmtId="0" fontId="4" fillId="20" borderId="3" xfId="0" applyNumberFormat="1" applyFont="1" applyFill="1" applyBorder="1" applyAlignment="1">
      <x:alignment vertical="top" wrapText="1"/>
    </x:xf>
    <x:xf numFmtId="0" fontId="4" fillId="20" borderId="4" xfId="0" applyNumberFormat="1" applyFont="1" applyFill="1" applyBorder="1" applyAlignment="1">
      <x:alignment vertical="top" wrapText="1"/>
    </x:xf>
    <x:xf numFmtId="0" fontId="4" fillId="20" borderId="5" xfId="0" applyNumberFormat="1" applyFont="1" applyFill="1" applyBorder="1" applyAlignment="1">
      <x:alignment vertical="top" wrapText="1"/>
    </x:xf>
    <x:xf numFmtId="0" fontId="4" fillId="20" borderId="6" xfId="0" applyNumberFormat="1" applyFont="1" applyFill="1" applyBorder="1" applyAlignment="1">
      <x:alignment vertical="top" wrapText="1"/>
    </x:xf>
    <x:xf numFmtId="0" fontId="4" fillId="20" borderId="7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12" fillId="12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0"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sz val="11"/>
        <x:color rgb="FF9C4A2B"/>
        <x:name val="Calibri"/>
      </x:font>
      <x:fill>
        <x:patternFill>
          <x:bgColor rgb="FFF3C9BB"/>
        </x:patternFill>
      </x:fill>
    </x:dxf>
    <x:dxf>
      <x:font>
        <x:b/>
        <x:sz val="11"/>
        <x:color rgb="FF1A6B3C"/>
        <x:name val="Calibri"/>
      </x:font>
      <x:fill>
        <x:patternFill>
          <x:bgColor rgb="FFC6E6D2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  <x:dxf>
      <x:font>
        <x:b/>
        <x:color rgb="FF4A7C5E"/>
      </x:font>
      <x:fill>
        <x:patternFill patternType="solid">
          <x:bgColor rgb="FFE2F0D9"/>
        </x:patternFill>
      </x:fill>
    </x:dxf>
    <x:dxf>
      <x:font>
        <x:b/>
        <x:color rgb="FF9C4A2B"/>
      </x:font>
      <x:fill>
        <x:patternFill patternType="solid">
          <x:bgColor rgb="FFFCE4D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1A6B3C"/>
      <x:rgbColor rgb="FF000080"/>
      <x:rgbColor rgb="FFB8843D"/>
      <x:rgbColor rgb="FF800080"/>
      <x:rgbColor rgb="FF008080"/>
      <x:rgbColor rgb="FFC0C0C0"/>
      <x:rgbColor rgb="FF7A8290"/>
      <x:rgbColor rgb="FF9999FF"/>
      <x:rgbColor rgb="FF993366"/>
      <x:rgbColor rgb="FFF2EEE5"/>
      <x:rgbColor rgb="FFCCFFFF"/>
      <x:rgbColor rgb="FF660066"/>
      <x:rgbColor rgb="FFFF8080"/>
      <x:rgbColor rgb="FF0066CC"/>
      <x:rgbColor rgb="FFE5E1D6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6D2"/>
      <x:rgbColor rgb="FFFFD966"/>
      <x:rgbColor rgb="FF99CCFF"/>
      <x:rgbColor rgb="FFFF99CC"/>
      <x:rgbColor rgb="FFCC99FF"/>
      <x:rgbColor rgb="FFF3C9BB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4A7C5E"/>
      <x:rgbColor rgb="FF003300"/>
      <x:rgbColor rgb="FF333300"/>
      <x:rgbColor rgb="FF9C4A2B"/>
      <x:rgbColor rgb="FF993366"/>
      <x:rgbColor rgb="FF333399"/>
      <x:rgbColor rgb="FF1A1F2C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c26e4d4024964" /><Relationship Type="http://schemas.openxmlformats.org/officeDocument/2006/relationships/theme" Target="/xl/theme/theme1.xml" Id="R732ed5cd8daa4795" /><Relationship Type="http://schemas.openxmlformats.org/officeDocument/2006/relationships/sharedStrings" Target="/xl/sharedStrings.xml" Id="Ra1f2bfe0057d43d1" /><Relationship Type="http://schemas.openxmlformats.org/officeDocument/2006/relationships/worksheet" Target="/xl/worksheets/sheet1.xml" Id="R7b877880ef894f14" /><Relationship Type="http://schemas.openxmlformats.org/officeDocument/2006/relationships/worksheet" Target="/xl/worksheets/sheet2.xml" Id="R3e044cff404a4b21" /><Relationship Type="http://schemas.openxmlformats.org/officeDocument/2006/relationships/worksheet" Target="/xl/worksheets/sheet3.xml" Id="Re7951ec3c10e44ac" /><Relationship Type="http://schemas.openxmlformats.org/officeDocument/2006/relationships/worksheet" Target="/xl/worksheets/sheet4.xml" Id="Ra442a19d335545c0" /><Relationship Type="http://schemas.openxmlformats.org/officeDocument/2006/relationships/worksheet" Target="/xl/worksheets/sheet5.xml" Id="Rcbf77a8322b147f2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baseColWidth="10" defaultColWidth="8.6640625" defaultRowHeight="15"/>
  <cols>
    <col min="1" max="1" width="3" customWidth="1"/>
    <col min="2" max="2" width="26" customWidth="1"/>
    <col min="3" max="7" width="16" customWidth="1"/>
    <col min="8" max="8" width="3" customWidth="1"/>
  </cols>
  <sheetData>
    <row r="1" ht="30" customHeight="1">
      <c r="A1" s="10" t="inlineStr">
        <is>
          <t xml:space="preserve">BUS123 · Foundations of Excel</t>
        </is>
      </c>
      <c r="B1" t="str">
        <v>BUS123 · Creating and Editing Worksheets</v>
      </c>
    </row>
    <row r="2" ht="19.5" customHeight="1">
      <c r="A2" s="9" t="inlineStr">
        <is>
          <t xml:space="preserve">EXCEL-M01 · Lesson 01  ·  Harborside Medical Center</t>
        </is>
      </c>
    </row>
    <row r="3" ht="6" customHeight="1">
      <c r="A3" s="11" t="n"/>
      <c r="B3" s="11" t="n"/>
      <c r="C3" s="12" t="n"/>
      <c r="D3" s="12" t="n"/>
      <c r="E3" s="13" t="n"/>
      <c r="F3" s="13" t="n"/>
      <c r="G3" s="13" t="n"/>
      <c r="H3" s="13" t="n"/>
    </row>
    <row r="5" ht="18" customHeight="1">
      <c r="B5" s="8" t="n"/>
    </row>
    <row r="6" ht="19.5" customHeight="1">
      <c r="B6" s="7" t="inlineStr">
        <is>
          <t xml:space="preserve">Welcome</t>
        </is>
      </c>
    </row>
    <row r="7" ht="54" customHeight="1">
      <c r="B7" s="66" t="str">
        <v>This workbook is your hands-on practice for Excel M01. You will use aggregate operating data from Harborside Medical Center to locate evidence, construct formulas, verify the model, and support a business recommendation.</v>
      </c>
    </row>
    <row r="8" ht="18" customHeight="1">
      <c r="B8" s="67" t="n"/>
    </row>
    <row r="9" ht="19.5" customHeight="1">
      <c r="B9" s="68" t="inlineStr">
        <is>
          <t xml:space="preserve">Learning Objectives</t>
        </is>
      </c>
    </row>
    <row r="10" ht="18" customHeight="1">
      <c r="B10" s="66" t="str">
        <v>• Locate an active cell and explain what its Name Box and Formula Bar reveal.</v>
      </c>
    </row>
    <row r="11" ht="18" customHeight="1">
      <c r="B11" s="66" t="str">
        <v>• Construct SUM, AVERAGE, COUNT, MAX, and MIN formulas from a business question.</v>
      </c>
    </row>
    <row r="12" ht="18" customHeight="1">
      <c r="B12" s="66" t="str">
        <v>• Copy a reimbursement formula while keeping one shared input fixed with an absolute reference.</v>
      </c>
    </row>
    <row r="13" ht="18" customHeight="1">
      <c r="B13" s="66" t="str">
        <v>• Reconcile a model to zero and support a claim-share recommendation with formula evidence.</v>
      </c>
    </row>
    <row r="14" ht="18" customHeight="1">
      <c r="B14" s="67" t="n"/>
    </row>
    <row r="15" ht="19.5" customHeight="1">
      <c r="B15" s="68" t="inlineStr">
        <is>
          <t xml:space="preserve">How to use this workbook</t>
        </is>
      </c>
    </row>
    <row r="16" ht="44" customHeight="1">
      <c r="B16" s="66" t="str">
        <v>Work left to right: complete Live You Try It during the slide pauses, finish Charge Analysis independently in class, then complete Challenge - Payer Mix after class unless your instructor directs otherwise.</v>
      </c>
    </row>
    <row r="17" ht="18" customHeight="1">
      <c r="B17" s="67" t="n"/>
    </row>
    <row r="18" ht="21.75" customHeight="1">
      <c r="B18" s="69" t="inlineStr">
        <is>
          <t xml:space="preserve">  YELLOW cell  = student entry. Type the slide givens, source data, or formula here.</t>
        </is>
      </c>
    </row>
    <row r="19" ht="21.75" customHeight="1">
      <c r="B19" s="70" t="inlineStr">
        <is>
          <t xml:space="preserve">  GREEN cell   = correct. Your answer matches the expected result.</t>
        </is>
      </c>
    </row>
    <row r="20" ht="21.75" customHeight="1">
      <c r="B20" s="71" t="inlineStr">
        <is>
          <t xml:space="preserve">  RED cell     = recheck. Something's off — review your formula.</t>
        </is>
      </c>
    </row>
    <row r="21" ht="18" customHeight="1">
      <c r="B21" s="67" t="n"/>
    </row>
    <row r="22" ht="48" customHeight="1">
      <c r="B22" s="72" t="str">
        <v>Live You Try It is self-graded practice. Charge Analysis is the in-class independent transfer. Challenge - Payer Mix is the post-class transfer. Use FormulaReferenceCard only after you have chosen the method that fits the business question.</v>
      </c>
    </row>
  </sheetData>
  <mergeCells>
    <mergeCell ref="B14:G14"/>
    <mergeCell ref="B17:G17"/>
    <mergeCell ref="B8:G8"/>
    <mergeCell ref="B13:G13"/>
    <mergeCell ref="A1:H1"/>
    <mergeCell ref="B19:G19"/>
    <mergeCell ref="B10:G10"/>
    <mergeCell ref="B9:G9"/>
    <mergeCell ref="B15:G15"/>
    <mergeCell ref="B6:G6"/>
    <mergeCell ref="B20:G20"/>
    <mergeCell ref="B5:G5"/>
    <mergeCell ref="A2:H2"/>
    <mergeCell ref="B7:G7"/>
    <mergeCell ref="B16:G16"/>
    <mergeCell ref="B22:G22"/>
    <mergeCell ref="B18:G18"/>
    <mergeCell ref="B12:G12"/>
    <mergeCell ref="B21:G21"/>
    <mergeCell ref="B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baseColWidth="8" defaultRowHeight="15"/>
  <cols>
    <col min="1" max="1" width="3" customWidth="1"/>
    <col min="2" max="2" width="28" customWidth="1"/>
    <col min="3" max="3" width="16" customWidth="1"/>
    <col min="4" max="4" width="36" customWidth="1"/>
    <col min="5" max="5" width="3" customWidth="1"/>
    <col min="6" max="6" width="30" customWidth="1"/>
    <col min="7" max="7" width="24" customWidth="1"/>
    <col min="8" max="8" width="3" customWidth="1"/>
  </cols>
  <sheetData>
    <row r="1" ht="30" customHeight="1">
      <c r="A1" s="53" t="inlineStr">
        <is>
          <t xml:space="preserve">Live You Try It</t>
        </is>
      </c>
      <c r="B1" s="54" t="n"/>
      <c r="C1" s="54" t="n"/>
      <c r="D1" s="54" t="n"/>
      <c r="E1" s="54" t="n"/>
      <c r="F1" s="54" t="n"/>
      <c r="G1" s="54" t="n"/>
      <c r="H1" s="54" t="n"/>
    </row>
    <row r="2" ht="19.5" customHeight="1">
      <c r="A2" s="55" t="inlineStr">
        <is>
          <t xml:space="preserve">Self-graded Excel pauses · enter slide givens first, then build formulas from those cells</t>
        </is>
      </c>
      <c r="B2" s="73" t="str">
        <v>Guided class pauses · enter the supplied values, choose the method, build the formula, and use feedback to verify both formula construction and result</v>
      </c>
      <c r="C2" s="73" t="n"/>
      <c r="D2" s="73" t="n"/>
      <c r="E2" s="73" t="n"/>
      <c r="F2" s="73" t="n"/>
      <c r="G2" s="73" t="n"/>
      <c r="H2" s="54" t="n"/>
    </row>
    <row r="3" ht="6" customHeight="1">
      <c r="A3" s="11" t="n"/>
      <c r="B3" s="74" t="n"/>
      <c r="C3" s="74" t="n"/>
      <c r="D3" s="74" t="n"/>
      <c r="E3" s="75" t="n"/>
      <c r="F3" s="75" t="n"/>
      <c r="G3" s="75" t="n"/>
      <c r="H3" s="13" t="n"/>
    </row>
    <row r="4" ht="32" customHeight="1">
      <c r="B4" s="76" t="str">
        <v>Practice only. A correct value typed directly is not proof of mastery: formula cells turn green only when they contain a formula and return the expected result.</v>
      </c>
      <c r="C4" s="77"/>
      <c r="D4" s="77"/>
      <c r="E4" s="77"/>
      <c r="F4" s="77"/>
      <c r="G4" s="77"/>
    </row>
    <row r="5" ht="18" customHeight="1"/>
    <row r="6" ht="19.5" customHeight="1">
      <c r="B6" s="57" t="inlineStr">
        <is>
          <t xml:space="preserve">Pause 1 · SUM the slide charges</t>
        </is>
      </c>
    </row>
    <row r="7" ht="18" customHeight="1">
      <c r="B7" s="14" t="inlineStr">
        <is>
          <t xml:space="preserve">Task</t>
        </is>
      </c>
      <c r="C7" s="14" t="inlineStr">
        <is>
          <t xml:space="preserve">Yellow entry cell</t>
        </is>
      </c>
      <c r="D7" s="14" t="inlineStr">
        <is>
          <t xml:space="preserve">Hint</t>
        </is>
      </c>
      <c r="E7" s="14" t="n"/>
      <c r="F7" s="14" t="n"/>
      <c r="G7" s="14" t="inlineStr">
        <is>
          <t xml:space="preserve">Feedback</t>
        </is>
      </c>
    </row>
    <row r="8" ht="18" customHeight="1">
      <c r="B8" s="18" t="inlineStr">
        <is>
          <t xml:space="preserve">Cardiology charge</t>
        </is>
      </c>
      <c r="C8" s="58" t="n"/>
      <c r="D8" s="59" t="inlineStr">
        <is>
          <t xml:space="preserve">Slide 12 value</t>
        </is>
      </c>
      <c r="G8" s="60" t="str">
        <f>IF(C8="","Enter slide value",IF(C8=84200,"OK","Check slide 12"))</f>
        <v>Enter slide value</v>
      </c>
    </row>
    <row r="9" ht="18" customHeight="1">
      <c r="B9" s="18" t="inlineStr">
        <is>
          <t xml:space="preserve">Radiology charge</t>
        </is>
      </c>
      <c r="C9" s="58" t="n"/>
      <c r="D9" s="59" t="inlineStr">
        <is>
          <t xml:space="preserve">Slide 12 value</t>
        </is>
      </c>
      <c r="G9" s="60" t="str">
        <f>IF(C9="","Enter slide value",IF(C9=61500,"OK","Check slide 12"))</f>
        <v>Enter slide value</v>
      </c>
    </row>
    <row r="10" ht="18" customHeight="1">
      <c r="B10" s="18" t="inlineStr">
        <is>
          <t xml:space="preserve">Pediatrics charge</t>
        </is>
      </c>
      <c r="C10" s="58" t="n"/>
      <c r="D10" s="59" t="inlineStr">
        <is>
          <t xml:space="preserve">Slide 12 value</t>
        </is>
      </c>
      <c r="G10" s="60" t="str">
        <f>IF(C10="","Enter slide value",IF(C10=39800,"OK","Check slide 12"))</f>
        <v>Enter slide value</v>
      </c>
    </row>
    <row r="11" ht="18" customHeight="1">
      <c r="B11" s="18" t="inlineStr">
        <is>
          <t xml:space="preserve">Emergency charge</t>
        </is>
      </c>
      <c r="C11" s="58" t="n"/>
      <c r="D11" s="59" t="inlineStr">
        <is>
          <t xml:space="preserve">Slide 12 value</t>
        </is>
      </c>
      <c r="G11" s="60" t="str">
        <f>IF(C11="","Enter slide value",IF(C11=52500,"OK","Check slide 12"))</f>
        <v>Enter slide value</v>
      </c>
    </row>
    <row r="12" ht="18" customHeight="1">
      <c r="B12" s="18" t="inlineStr">
        <is>
          <t xml:space="preserve">Total monthly charges</t>
        </is>
      </c>
      <c r="C12" s="58" t="n"/>
      <c r="D12" s="59" t="inlineStr">
        <is>
          <t xml:space="preserve">Use =SUM(range) and reference the input cells above.</t>
        </is>
      </c>
      <c r="G12" s="60" t="str">
        <f>IF(C12="","Build a SUM formula",IF(NOT(_xlfn.ISFORMULA(C12)),"Use a formula, not a typed total",IF(ROUND(C12,0)=238000,"Correct formula and result","Recheck the SUM range")))</f>
        <v>Build a SUM formula</v>
      </c>
    </row>
    <row r="13" ht="18" customHeight="1"/>
    <row r="14" ht="19.5" customHeight="1">
      <c r="B14" s="57" t="inlineStr">
        <is>
          <t xml:space="preserve">Pause 2 · Lock the reimbursement rate</t>
        </is>
      </c>
    </row>
    <row r="15" ht="18" customHeight="1">
      <c r="B15" s="14" t="inlineStr">
        <is>
          <t xml:space="preserve">Task</t>
        </is>
      </c>
      <c r="C15" s="14" t="inlineStr">
        <is>
          <t xml:space="preserve">Yellow entry cell</t>
        </is>
      </c>
      <c r="D15" s="14" t="inlineStr">
        <is>
          <t xml:space="preserve">Hint</t>
        </is>
      </c>
      <c r="E15" s="14" t="n"/>
      <c r="F15" s="14" t="n"/>
      <c r="G15" s="14" t="inlineStr">
        <is>
          <t xml:space="preserve">Feedback</t>
        </is>
      </c>
    </row>
    <row r="16" ht="18" customHeight="1">
      <c r="B16" s="18" t="inlineStr">
        <is>
          <t xml:space="preserve">Contracted reimbursement rate</t>
        </is>
      </c>
      <c r="C16" s="61" t="n"/>
      <c r="D16" s="59" t="inlineStr">
        <is>
          <t xml:space="preserve">Slide 13 value</t>
        </is>
      </c>
      <c r="G16" s="60" t="str">
        <f>IF(C16="","Enter slide value",IF(ROUND(C16,2)=0.62,"OK","Check slide 13"))</f>
        <v>Enter slide value</v>
      </c>
    </row>
    <row r="17" ht="18" customHeight="1">
      <c r="B17" s="18" t="inlineStr">
        <is>
          <t xml:space="preserve">Cardiology charge</t>
        </is>
      </c>
      <c r="C17" s="58" t="n"/>
      <c r="D17" s="59" t="inlineStr">
        <is>
          <t xml:space="preserve">Slide 13 value</t>
        </is>
      </c>
      <c r="G17" s="60" t="str">
        <f>IF(C17="","Enter slide value",IF(C17=84200,"OK","Check slide 13"))</f>
        <v>Enter slide value</v>
      </c>
    </row>
    <row r="18" ht="18" customHeight="1">
      <c r="B18" s="18" t="inlineStr">
        <is>
          <t xml:space="preserve">Radiology charge</t>
        </is>
      </c>
      <c r="C18" s="58" t="n"/>
      <c r="D18" s="59" t="inlineStr">
        <is>
          <t xml:space="preserve">Slide 13 value</t>
        </is>
      </c>
      <c r="G18" s="60" t="str">
        <f>IF(C18="","Enter slide value",IF(C18=61500,"OK","Check slide 13"))</f>
        <v>Enter slide value</v>
      </c>
    </row>
    <row r="19" ht="18" customHeight="1">
      <c r="B19" s="18" t="inlineStr">
        <is>
          <t xml:space="preserve">Cardiology expected reimbursement</t>
        </is>
      </c>
      <c r="C19" s="58" t="n"/>
      <c r="D19" s="59" t="inlineStr">
        <is>
          <t xml:space="preserve">Reference the charge, then lock the rate with $.</t>
        </is>
      </c>
      <c r="G19" s="60" t="str">
        <f>IF(C19="","Build the formula",IF(NOT(_xlfn.ISFORMULA(C19)),"Use a formula, not a typed result",IF(AND(ROUND(C19,0)=52204,ISNUMBER(SEARCH("$C$16",_xlfn.FORMULATEXT(C19)))),"Correct formula and locked rate","Check the result and locked $C$16")))</f>
        <v>Build the formula</v>
      </c>
    </row>
    <row r="20" ht="18" customHeight="1">
      <c r="B20" s="18" t="inlineStr">
        <is>
          <t xml:space="preserve">Radiology expected reimbursement</t>
        </is>
      </c>
      <c r="C20" s="58" t="n"/>
      <c r="D20" s="59" t="inlineStr">
        <is>
          <t xml:space="preserve">Copy the formula down and keep the rate fixed.</t>
        </is>
      </c>
      <c r="G20" s="60" t="str">
        <f>IF(C20="","Copy or build the formula",IF(NOT(_xlfn.ISFORMULA(C20)),"Use a formula, not a typed result",IF(AND(ROUND(C20,0)=38130,ISNUMBER(SEARCH("$C$16",_xlfn.FORMULATEXT(C20)))),"Correct formula and locked rate","Check the result and locked $C$16")))</f>
        <v>Copy or build the formula</v>
      </c>
    </row>
    <row r="21" ht="18" customHeight="1"/>
    <row r="22" ht="19.5" customHeight="1">
      <c r="B22" s="57" t="inlineStr">
        <is>
          <t xml:space="preserve">Pause 3 · Payer mix percent check</t>
        </is>
      </c>
    </row>
    <row r="23" ht="18" customHeight="1">
      <c r="B23" s="14" t="inlineStr">
        <is>
          <t xml:space="preserve">Task</t>
        </is>
      </c>
      <c r="C23" s="14" t="inlineStr">
        <is>
          <t xml:space="preserve">Yellow entry cell</t>
        </is>
      </c>
      <c r="D23" s="14" t="inlineStr">
        <is>
          <t xml:space="preserve">Hint</t>
        </is>
      </c>
      <c r="E23" s="14" t="n"/>
      <c r="F23" s="14" t="n"/>
      <c r="G23" s="14" t="inlineStr">
        <is>
          <t xml:space="preserve">Feedback</t>
        </is>
      </c>
    </row>
    <row r="24" ht="18" customHeight="1">
      <c r="B24" s="18" t="inlineStr">
        <is>
          <t xml:space="preserve">Medicare share</t>
        </is>
      </c>
      <c r="C24" s="25" t="n"/>
      <c r="D24" s="59" t="inlineStr">
        <is>
          <t xml:space="preserve">Slide 15 value</t>
        </is>
      </c>
      <c r="G24" s="60" t="str">
        <f>IF(C24="","Enter slide value",IF(ROUND(C24,2)=0.41,"OK","Check slide 15"))</f>
        <v>Enter slide value</v>
      </c>
    </row>
    <row r="25" ht="18" customHeight="1">
      <c r="B25" s="18" t="inlineStr">
        <is>
          <t xml:space="preserve">Medicaid share</t>
        </is>
      </c>
      <c r="C25" s="25" t="n"/>
      <c r="D25" s="59" t="inlineStr">
        <is>
          <t xml:space="preserve">Slide 15 value</t>
        </is>
      </c>
      <c r="G25" s="60" t="str">
        <f>IF(C25="","Enter slide value",IF(ROUND(C25,2)=0.23,"OK","Check slide 15"))</f>
        <v>Enter slide value</v>
      </c>
    </row>
    <row r="26" ht="18" customHeight="1">
      <c r="B26" s="18" t="inlineStr">
        <is>
          <t xml:space="preserve">Commercial share</t>
        </is>
      </c>
      <c r="C26" s="25" t="n"/>
      <c r="D26" s="59" t="inlineStr">
        <is>
          <t xml:space="preserve">Slide 15 value</t>
        </is>
      </c>
      <c r="G26" s="60" t="str">
        <f>IF(C26="","Enter slide value",IF(ROUND(C26,2)=0.28,"OK","Check slide 15"))</f>
        <v>Enter slide value</v>
      </c>
    </row>
    <row r="27" ht="18" customHeight="1">
      <c r="B27" s="18" t="inlineStr">
        <is>
          <t xml:space="preserve">Self-pay share</t>
        </is>
      </c>
      <c r="C27" s="25" t="n"/>
      <c r="D27" s="59" t="inlineStr">
        <is>
          <t xml:space="preserve">Slide 15 value</t>
        </is>
      </c>
      <c r="G27" s="60" t="str">
        <f>IF(C27="","Enter slide value",IF(ROUND(C27,2)=0.08,"OK","Check slide 15"))</f>
        <v>Enter slide value</v>
      </c>
    </row>
    <row r="28" ht="32" customHeight="1">
      <c r="B28" s="18" t="inlineStr">
        <is>
          <t xml:space="preserve">Total payer mix</t>
        </is>
      </c>
      <c r="C28" s="25" t="n"/>
      <c r="D28" s="59" t="inlineStr">
        <is>
          <t xml:space="preserve">Use SUM to verify the mix totals 100%.</t>
        </is>
      </c>
      <c r="G28" s="60" t="str">
        <f>IF(C28="","Build a SUM formula",IF(NOT(_xlfn.ISFORMULA(C28)),"Use a formula, not a typed 100%",IF(ROUND(C28,4)=1,"Correct formula and reconciliation","The mix should total 100%")))</f>
        <v>Build a SUM formula</v>
      </c>
    </row>
    <row r="29" ht="18" customHeight="1">
      <c r="B29" s="18" t="inlineStr">
        <is>
          <t xml:space="preserve">Largest payer share</t>
        </is>
      </c>
      <c r="C29" s="25" t="n"/>
      <c r="D29" s="59" t="inlineStr">
        <is>
          <t xml:space="preserve">Use MAX to identify the biggest share.</t>
        </is>
      </c>
      <c r="G29" s="60" t="str">
        <f>IF(C29="","Build a MAX formula",IF(NOT(_xlfn.ISFORMULA(C29)),"Use a formula, not a typed share",IF(ROUND(C29,2)=0.41,"Correct formula and result","Recheck the payer shares")))</f>
        <v>Build a MAX formula</v>
      </c>
    </row>
    <row r="30" ht="18" customHeight="1"/>
  </sheetData>
  <mergeCells>
    <mergeCell ref="D11:F11"/>
    <mergeCell ref="D27:F27"/>
    <mergeCell ref="B6:E6"/>
    <mergeCell ref="D17:F17"/>
    <mergeCell ref="A1:H1"/>
    <mergeCell ref="D16:F16"/>
    <mergeCell ref="D28:F28"/>
    <mergeCell ref="D12:F12"/>
    <mergeCell ref="D18:F18"/>
    <mergeCell ref="D9:F9"/>
    <mergeCell ref="D25:F25"/>
    <mergeCell ref="D8:F8"/>
    <mergeCell ref="B22:E22"/>
    <mergeCell ref="D24:F24"/>
    <mergeCell ref="D29:F29"/>
    <mergeCell ref="A2:H2"/>
    <mergeCell ref="B4:G4"/>
    <mergeCell ref="D26:F26"/>
    <mergeCell ref="D20:F20"/>
    <mergeCell ref="B14:E14"/>
    <mergeCell ref="D10:F10"/>
    <mergeCell ref="D19:F19"/>
  </mergeCells>
  <conditionalFormatting sqref="C12:C12">
    <cfRule type="expression" dxfId="32" priority="1">
      <formula>AND(_xlfn.ISFORMULA(C12),ROUND(C12,0)=238000)</formula>
    </cfRule>
    <cfRule type="expression" dxfId="33" priority="2">
      <formula>AND(C12&lt;&gt;"",NOT(AND(_xlfn.ISFORMULA(C12),ROUND(C12,0)=238000)))</formula>
    </cfRule>
  </conditionalFormatting>
  <conditionalFormatting sqref="C19:C19">
    <cfRule type="expression" dxfId="34" priority="3">
      <formula>AND(_xlfn.ISFORMULA(C19),ROUND(C19,0)=52204)</formula>
    </cfRule>
    <cfRule type="expression" dxfId="35" priority="4">
      <formula>AND(C19&lt;&gt;"",NOT(AND(_xlfn.ISFORMULA(C19),ROUND(C19,0)=52204)))</formula>
    </cfRule>
  </conditionalFormatting>
  <conditionalFormatting sqref="C20:C20">
    <cfRule type="expression" dxfId="36" priority="5">
      <formula>AND(_xlfn.ISFORMULA(C20),ROUND(C20,0)=38130)</formula>
    </cfRule>
    <cfRule type="expression" dxfId="37" priority="6">
      <formula>AND(C20&lt;&gt;"",NOT(AND(_xlfn.ISFORMULA(C20),ROUND(C20,0)=38130)))</formula>
    </cfRule>
  </conditionalFormatting>
  <conditionalFormatting sqref="C28:C28">
    <cfRule type="expression" dxfId="38" priority="7">
      <formula>AND(_xlfn.ISFORMULA(C28),ROUND(C28,4)=1)</formula>
    </cfRule>
    <cfRule type="expression" dxfId="39" priority="8">
      <formula>AND(C28&lt;&gt;"",NOT(AND(_xlfn.ISFORMULA(C28),ROUND(C28,4)=1)))</formula>
    </cfRule>
  </conditionalFormatting>
  <conditionalFormatting sqref="C29:C29">
    <cfRule type="expression" dxfId="40" priority="9">
      <formula>AND(_xlfn.ISFORMULA(C29),ROUND(C29,2)=0.41)</formula>
    </cfRule>
    <cfRule type="expression" dxfId="41" priority="10">
      <formula>AND(C29&lt;&gt;"",NOT(AND(_xlfn.ISFORMULA(C29),ROUND(C29,2)=0.41)))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baseColWidth="10" defaultColWidth="8.6640625" defaultRowHeight="15"/>
  <cols>
    <col min="1" max="1" width="3" customWidth="1"/>
    <col min="2" max="2" width="22" customWidth="1"/>
    <col min="3" max="4" width="16" customWidth="1"/>
    <col min="5" max="5" width="18" customWidth="1"/>
    <col min="6" max="6" width="4" customWidth="1"/>
    <col min="7" max="7" width="30" customWidth="1"/>
    <col min="8" max="8" width="3" customWidth="1"/>
  </cols>
  <sheetData>
    <row r="1" ht="30" customHeight="1">
      <c r="A1" s="10" t="inlineStr">
        <is>
          <t xml:space="preserve">Charge Analysis</t>
        </is>
      </c>
    </row>
    <row r="2" ht="19.5" customHeight="1">
      <c r="A2" s="9" t="inlineStr">
        <is>
          <t xml:space="preserve">Harborside Medical Center · Monthly charges by department</t>
        </is>
      </c>
      <c r="B2" t="str">
        <v>Harborside Medical Center · Monthly charges by department · simplified training contract</v>
      </c>
    </row>
    <row r="3" ht="34" customHeight="1">
      <c r="A3" s="11" t="n"/>
      <c r="B3" s="82" t="str">
        <v>Model boundary: expected reimbursement = stated charge × supplied rate. Actual payer and Medicare payment methodologies vary.</v>
      </c>
      <c r="C3" s="82" t="n"/>
      <c r="D3" s="82" t="n"/>
      <c r="E3" s="82" t="n"/>
      <c r="F3" s="82" t="n"/>
      <c r="G3" s="82" t="n"/>
      <c r="H3" s="13" t="n"/>
    </row>
    <row r="5" ht="16" customHeight="1">
      <c r="B5" s="14" t="inlineStr">
        <is>
          <t xml:space="preserve">Department</t>
        </is>
      </c>
      <c r="C5" s="14" t="inlineStr">
        <is>
          <t xml:space="preserve">Monthly Charges</t>
        </is>
      </c>
      <c r="D5" s="14" t="inlineStr">
        <is>
          <t xml:space="preserve">Patient Visits</t>
        </is>
      </c>
    </row>
    <row r="6">
      <c r="B6" s="15" t="inlineStr">
        <is>
          <t xml:space="preserve">Cardiology</t>
        </is>
      </c>
      <c r="C6" s="16" t="n">
        <v>84200</v>
      </c>
      <c r="D6" s="17" t="n">
        <v>612</v>
      </c>
    </row>
    <row r="7">
      <c r="B7" s="15" t="inlineStr">
        <is>
          <t xml:space="preserve">Radiology</t>
        </is>
      </c>
      <c r="C7" s="16" t="n">
        <v>61500</v>
      </c>
      <c r="D7" s="17" t="n">
        <v>488</v>
      </c>
    </row>
    <row r="8">
      <c r="B8" s="15" t="inlineStr">
        <is>
          <t xml:space="preserve">Pediatrics</t>
        </is>
      </c>
      <c r="C8" s="16" t="n">
        <v>39800</v>
      </c>
      <c r="D8" s="17" t="n">
        <v>920</v>
      </c>
    </row>
    <row r="9">
      <c r="B9" s="15" t="inlineStr">
        <is>
          <t xml:space="preserve">Emergency</t>
        </is>
      </c>
      <c r="C9" s="16" t="n">
        <v>52500</v>
      </c>
      <c r="D9" s="17" t="n">
        <v>1842</v>
      </c>
    </row>
    <row r="10">
      <c r="B10" s="15" t="inlineStr">
        <is>
          <t xml:space="preserve">Oncology</t>
        </is>
      </c>
      <c r="C10" s="16" t="n">
        <v>47300</v>
      </c>
      <c r="D10" s="17" t="n">
        <v>355</v>
      </c>
    </row>
    <row r="12" ht="17" customHeight="1">
      <c r="B12" s="1" t="inlineStr">
        <is>
          <t xml:space="preserve">Your Calculations</t>
        </is>
      </c>
    </row>
    <row r="13" ht="16" customHeight="1">
      <c r="B13" s="18" t="inlineStr">
        <is>
          <t xml:space="preserve">Total monthly charges</t>
        </is>
      </c>
      <c r="C13" s="58" t="n"/>
      <c r="G13" s="20" t="str">
        <f>IF(C13="","Build a formula",IF(NOT(_xlfn.ISFORMULA(C13)),"Use a formula, not a typed total",IF(ROUND(C13,0)=285300,"Correct","Recheck C6:C10")))</f>
        <v>Build a formula</v>
      </c>
    </row>
    <row r="14" ht="16" customHeight="1">
      <c r="B14" s="18" t="inlineStr">
        <is>
          <t xml:space="preserve">Average charges per dept</t>
        </is>
      </c>
      <c r="C14" s="58" t="n"/>
      <c r="G14" s="20" t="str">
        <f>IF(C14="","Build a formula",IF(NOT(_xlfn.ISFORMULA(C14)),"Use a formula",IF(ROUND(C14,0)=57060,"Correct","Recheck the average range")))</f>
        <v>Build a formula</v>
      </c>
    </row>
    <row r="15" ht="16" customHeight="1">
      <c r="B15" s="18" t="inlineStr">
        <is>
          <t xml:space="preserve">Number of departments</t>
        </is>
      </c>
      <c r="C15" s="21" t="n"/>
      <c r="G15" s="20" t="str">
        <f>IF(C15="","Build a formula",IF(NOT(_xlfn.ISFORMULA(C15)),"Use a formula",IF(C15=5,"Correct","Count the numeric charge cells")))</f>
        <v>Build a formula</v>
      </c>
    </row>
    <row r="16" ht="16" customHeight="1">
      <c r="B16" s="18" t="inlineStr">
        <is>
          <t xml:space="preserve">Highest department charge</t>
        </is>
      </c>
      <c r="C16" s="58" t="n"/>
      <c r="G16" s="20" t="str">
        <f>IF(C16="","Build a formula",IF(NOT(_xlfn.ISFORMULA(C16)),"Use a formula",IF(C16=84200,"Correct","Find the highest charge")))</f>
        <v>Build a formula</v>
      </c>
    </row>
    <row r="17" ht="16" customHeight="1">
      <c r="B17" s="18" t="inlineStr">
        <is>
          <t xml:space="preserve">Lowest department charge</t>
        </is>
      </c>
      <c r="C17" s="58" t="n"/>
      <c r="G17" s="20" t="str">
        <f>IF(C17="","Build a formula",IF(NOT(_xlfn.ISFORMULA(C17)),"Use a formula",IF(C17=39800,"Correct","Find the lowest charge")))</f>
        <v>Build a formula</v>
      </c>
    </row>
    <row r="20" ht="17" customHeight="1">
      <c r="B20" s="1" t="inlineStr">
        <is>
          <t xml:space="preserve">Expected Reimbursement</t>
        </is>
      </c>
    </row>
    <row r="21">
      <c r="B21" s="22" t="inlineStr">
        <is>
          <t xml:space="preserve">Contracted reimbursement rate</t>
        </is>
      </c>
      <c r="C21" s="23" t="n">
        <v>0.62</v>
      </c>
      <c r="G21" s="24" t="inlineStr">
        <is>
          <t xml:space="preserve">Given. Lock this cell with $ so every row uses it.</t>
        </is>
      </c>
    </row>
    <row r="22" ht="16" customHeight="1">
      <c r="B22" s="14" t="inlineStr">
        <is>
          <t xml:space="preserve">Department</t>
        </is>
      </c>
      <c r="C22" s="14" t="inlineStr">
        <is>
          <t xml:space="preserve">Monthly Charges</t>
        </is>
      </c>
      <c r="D22" s="14" t="inlineStr">
        <is>
          <t xml:space="preserve">Expected Reimb.</t>
        </is>
      </c>
    </row>
    <row r="23">
      <c r="B23" s="15" t="inlineStr">
        <is>
          <t xml:space="preserve">Cardiology</t>
        </is>
      </c>
      <c r="C23" s="16" t="n">
        <v>84200</v>
      </c>
      <c r="D23" s="58" t="n"/>
      <c r="G23" s="24" t="str">
        <f>IF(D23="","Build and copy the formula",IF(NOT(_xlfn.ISFORMULA(D23)),"Use a formula, not a typed result",IF(AND(ROUND(D23,0)=52204,ISNUMBER(SEARCH("$C$21",_xlfn.FORMULATEXT(D23)))),"Correct formula and locked rate","Check the result and locked $C$21")))</f>
        <v>Build and copy the formula</v>
      </c>
    </row>
    <row r="24">
      <c r="B24" s="15" t="inlineStr">
        <is>
          <t xml:space="preserve">Radiology</t>
        </is>
      </c>
      <c r="C24" s="16" t="n">
        <v>61500</v>
      </c>
      <c r="D24" s="58" t="n"/>
      <c r="G24" t="str">
        <f>IF(D24="","Build and copy the formula",IF(NOT(_xlfn.ISFORMULA(D24)),"Use a formula, not a typed result",IF(AND(ROUND(D24,0)=38130,ISNUMBER(SEARCH("$C$21",_xlfn.FORMULATEXT(D24)))),"Correct formula and locked rate","Check the result and locked $C$21")))</f>
        <v>Build and copy the formula</v>
      </c>
    </row>
    <row r="25">
      <c r="B25" s="15" t="inlineStr">
        <is>
          <t xml:space="preserve">Pediatrics</t>
        </is>
      </c>
      <c r="C25" s="16" t="n">
        <v>39800</v>
      </c>
      <c r="D25" s="58" t="n"/>
      <c r="G25" t="str">
        <f>IF(D25="","Build and copy the formula",IF(NOT(_xlfn.ISFORMULA(D25)),"Use a formula, not a typed result",IF(AND(ROUND(D25,0)=24676,ISNUMBER(SEARCH("$C$21",_xlfn.FORMULATEXT(D25)))),"Correct formula and locked rate","Check the result and locked $C$21")))</f>
        <v>Build and copy the formula</v>
      </c>
    </row>
    <row r="26">
      <c r="B26" s="15" t="inlineStr">
        <is>
          <t xml:space="preserve">Emergency</t>
        </is>
      </c>
      <c r="C26" s="16" t="n">
        <v>52500</v>
      </c>
      <c r="D26" s="58" t="n"/>
      <c r="G26" t="str">
        <f>IF(D26="","Build and copy the formula",IF(NOT(_xlfn.ISFORMULA(D26)),"Use a formula, not a typed result",IF(AND(ROUND(D26,0)=32550,ISNUMBER(SEARCH("$C$21",_xlfn.FORMULATEXT(D26)))),"Correct formula and locked rate","Check the result and locked $C$21")))</f>
        <v>Build and copy the formula</v>
      </c>
    </row>
    <row r="27">
      <c r="B27" s="15" t="inlineStr">
        <is>
          <t xml:space="preserve">Oncology</t>
        </is>
      </c>
      <c r="C27" s="16" t="n">
        <v>47300</v>
      </c>
      <c r="D27" s="58" t="n"/>
      <c r="G27" t="str">
        <f>IF(D27="","Build and copy the formula",IF(NOT(_xlfn.ISFORMULA(D27)),"Use a formula, not a typed result",IF(AND(ROUND(D27,0)=29326,ISNUMBER(SEARCH("$C$21",_xlfn.FORMULATEXT(D27)))),"Correct formula and locked rate","Check the result and locked $C$21")))</f>
        <v>Build and copy the formula</v>
      </c>
    </row>
    <row r="28" ht="28" customHeight="1">
      <c r="B28" s="87" t="str">
        <v>Model Check · prove the copied reimbursement formulas are complete</v>
      </c>
      <c r="C28" s="87"/>
      <c r="D28" s="87"/>
      <c r="E28" s="87"/>
      <c r="F28" s="87"/>
      <c r="G28" s="87"/>
    </row>
    <row r="29" ht="26" customHeight="1">
      <c r="B29" s="96" t="str">
        <v>Total expected reimbursement</v>
      </c>
      <c r="C29"/>
      <c r="D29" s="92"/>
      <c r="E29"/>
      <c r="F29"/>
      <c r="G29" s="98" t="str">
        <f>IF(D29="","Build a SUM check",IF(NOT(_xlfn.ISFORMULA(D29)),"Use a formula",IF(ROUND(D29,0)=176886,"Correct total","SUM D23:D27")))</f>
        <v>Build a SUM check</v>
      </c>
    </row>
    <row r="30" ht="26" customHeight="1">
      <c r="B30" s="96" t="str">
        <v>Control total (total charges × rate)</v>
      </c>
      <c r="C30"/>
      <c r="D30" s="92"/>
      <c r="E30"/>
      <c r="F30"/>
      <c r="G30" s="98" t="str">
        <f>IF(D30="","Build the control total",IF(NOT(_xlfn.ISFORMULA(D30)),"Use a formula",IF(ROUND(D30,0)=176886,"Correct control","Use total charges × locked rate")))</f>
        <v>Build the control total</v>
      </c>
    </row>
    <row r="31" ht="26" customHeight="1">
      <c r="B31" s="96" t="str">
        <v>Reconciliation difference (must equal 0)</v>
      </c>
      <c r="C31"/>
      <c r="D31" s="92"/>
      <c r="E31"/>
      <c r="F31"/>
      <c r="G31" s="98" t="str">
        <f>IF(D31="","Reconcile the two totals",IF(NOT(_xlfn.ISFORMULA(D31)),"Use a formula",IF(ROUND(D31,2)=0,"Reconciled to zero","The model does not reconcile")))</f>
        <v>Reconcile the two totals</v>
      </c>
    </row>
  </sheetData>
  <mergeCells>
    <mergeCell ref="B12:D12"/>
    <mergeCell ref="A2:H2"/>
    <mergeCell ref="B20:D20"/>
    <mergeCell ref="A1:H1"/>
    <mergeCell ref="B3:G3"/>
    <mergeCell ref="B28:G28"/>
  </mergeCells>
  <conditionalFormatting sqref="C13:C13">
    <cfRule type="expression" dxfId="42" priority="22">
      <formula>AND(_xlfn.ISFORMULA(C13),ROUND(C13,0)=285300)</formula>
    </cfRule>
    <cfRule type="expression" dxfId="43" priority="23">
      <formula>AND(C13&lt;&gt;"",NOT(AND(_xlfn.ISFORMULA(C13),ROUND(C13,0)=285300)))</formula>
    </cfRule>
  </conditionalFormatting>
  <conditionalFormatting sqref="C14:C14">
    <cfRule type="expression" dxfId="44" priority="24">
      <formula>AND(_xlfn.ISFORMULA(C14),ROUND(C14,0)=57060)</formula>
    </cfRule>
    <cfRule type="expression" dxfId="45" priority="25">
      <formula>AND(C14&lt;&gt;"",NOT(AND(_xlfn.ISFORMULA(C14),ROUND(C14,0)=57060)))</formula>
    </cfRule>
  </conditionalFormatting>
  <conditionalFormatting sqref="C15:C15">
    <cfRule type="expression" dxfId="46" priority="26">
      <formula>AND(_xlfn.ISFORMULA(C15),ROUND(C15,0)=5)</formula>
    </cfRule>
    <cfRule type="expression" dxfId="47" priority="27">
      <formula>AND(C15&lt;&gt;"",NOT(AND(_xlfn.ISFORMULA(C15),ROUND(C15,0)=5)))</formula>
    </cfRule>
  </conditionalFormatting>
  <conditionalFormatting sqref="C16:C16">
    <cfRule type="expression" dxfId="48" priority="28">
      <formula>AND(_xlfn.ISFORMULA(C16),ROUND(C16,0)=84200)</formula>
    </cfRule>
    <cfRule type="expression" dxfId="49" priority="29">
      <formula>AND(C16&lt;&gt;"",NOT(AND(_xlfn.ISFORMULA(C16),ROUND(C16,0)=84200)))</formula>
    </cfRule>
  </conditionalFormatting>
  <conditionalFormatting sqref="C17:C17">
    <cfRule type="expression" dxfId="50" priority="30">
      <formula>AND(_xlfn.ISFORMULA(C17),ROUND(C17,0)=39800)</formula>
    </cfRule>
    <cfRule type="expression" dxfId="51" priority="31">
      <formula>AND(C17&lt;&gt;"",NOT(AND(_xlfn.ISFORMULA(C17),ROUND(C17,0)=39800)))</formula>
    </cfRule>
  </conditionalFormatting>
  <conditionalFormatting sqref="D23:D23">
    <cfRule type="expression" dxfId="52" priority="32">
      <formula>AND(_xlfn.ISFORMULA(D23),ROUND(D23,0)=52204)</formula>
    </cfRule>
    <cfRule type="expression" dxfId="53" priority="33">
      <formula>AND(D23&lt;&gt;"",NOT(AND(_xlfn.ISFORMULA(D23),ROUND(D23,0)=52204)))</formula>
    </cfRule>
  </conditionalFormatting>
  <conditionalFormatting sqref="D24:D24">
    <cfRule type="expression" dxfId="54" priority="34">
      <formula>AND(_xlfn.ISFORMULA(D24),ROUND(D24,0)=38130)</formula>
    </cfRule>
    <cfRule type="expression" dxfId="55" priority="35">
      <formula>AND(D24&lt;&gt;"",NOT(AND(_xlfn.ISFORMULA(D24),ROUND(D24,0)=38130)))</formula>
    </cfRule>
  </conditionalFormatting>
  <conditionalFormatting sqref="D25:D25">
    <cfRule type="expression" dxfId="56" priority="36">
      <formula>AND(_xlfn.ISFORMULA(D25),ROUND(D25,0)=24676)</formula>
    </cfRule>
    <cfRule type="expression" dxfId="57" priority="37">
      <formula>AND(D25&lt;&gt;"",NOT(AND(_xlfn.ISFORMULA(D25),ROUND(D25,0)=24676)))</formula>
    </cfRule>
  </conditionalFormatting>
  <conditionalFormatting sqref="D26:D26">
    <cfRule type="expression" dxfId="58" priority="38">
      <formula>AND(_xlfn.ISFORMULA(D26),ROUND(D26,0)=32550)</formula>
    </cfRule>
    <cfRule type="expression" dxfId="59" priority="39">
      <formula>AND(D26&lt;&gt;"",NOT(AND(_xlfn.ISFORMULA(D26),ROUND(D26,0)=32550)))</formula>
    </cfRule>
  </conditionalFormatting>
  <conditionalFormatting sqref="D27:D27">
    <cfRule type="expression" dxfId="60" priority="40">
      <formula>AND(_xlfn.ISFORMULA(D27),ROUND(D27,0)=29326)</formula>
    </cfRule>
    <cfRule type="expression" dxfId="61" priority="41">
      <formula>AND(D27&lt;&gt;"",NOT(AND(_xlfn.ISFORMULA(D27),ROUND(D27,0)=29326)))</formula>
    </cfRule>
  </conditionalFormatting>
  <conditionalFormatting sqref="D29:D29">
    <cfRule type="expression" dxfId="62" priority="42">
      <formula>AND(_xlfn.ISFORMULA(D29),ROUND(D29,0)=176886)</formula>
    </cfRule>
    <cfRule type="expression" dxfId="63" priority="43">
      <formula>AND(D29&lt;&gt;"",NOT(AND(_xlfn.ISFORMULA(D29),ROUND(D29,0)=176886)))</formula>
    </cfRule>
  </conditionalFormatting>
  <conditionalFormatting sqref="D30:D30">
    <cfRule type="expression" dxfId="64" priority="44">
      <formula>AND(_xlfn.ISFORMULA(D30),ROUND(D30,0)=176886)</formula>
    </cfRule>
    <cfRule type="expression" dxfId="65" priority="45">
      <formula>AND(D30&lt;&gt;"",NOT(AND(_xlfn.ISFORMULA(D30),ROUND(D30,0)=176886)))</formula>
    </cfRule>
  </conditionalFormatting>
  <conditionalFormatting sqref="D31:D31">
    <cfRule type="expression" dxfId="66" priority="46">
      <formula>AND(_xlfn.ISFORMULA(D31),ROUND(D31,2)=0)</formula>
    </cfRule>
    <cfRule type="expression" dxfId="67" priority="47">
      <formula>AND(D31&lt;&gt;"",NOT(AND(_xlfn.ISFORMULA(D31),ROUND(D31,2)=0)))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baseColWidth="10" defaultColWidth="8.6640625" defaultRowHeight="15"/>
  <cols>
    <col min="1" max="1" width="3" customWidth="1"/>
    <col min="2" max="2" width="20" customWidth="1"/>
    <col min="3" max="4" width="16" customWidth="1"/>
    <col min="5" max="5" width="4" customWidth="1"/>
    <col min="6" max="6" width="32" customWidth="1"/>
    <col min="7" max="7" width="24" hidden="0" customWidth="1"/>
    <col min="8" max="8" width="3" customWidth="1"/>
  </cols>
  <sheetData>
    <row r="1" ht="30" customHeight="1">
      <c r="A1" s="10" t="inlineStr">
        <is>
          <t xml:space="preserve">Challenge · Payer Mix</t>
        </is>
      </c>
    </row>
    <row r="2" ht="19.5" customHeight="1">
      <c r="A2" s="9" t="inlineStr">
        <is>
          <t xml:space="preserve">Harborside Medical Center · Share of claims by payer</t>
        </is>
      </c>
      <c r="B2" t="str">
        <v>Harborside Medical Center · Share of claims by payer · post-class transfer</v>
      </c>
    </row>
    <row r="3" ht="6" customHeight="1">
      <c r="A3" s="11" t="n"/>
      <c r="B3" s="11" t="n"/>
      <c r="C3" s="12" t="n"/>
      <c r="D3" s="12" t="n"/>
      <c r="E3" s="13" t="n"/>
      <c r="F3" s="13" t="n"/>
      <c r="G3" s="13" t="n"/>
      <c r="H3" s="13" t="n"/>
    </row>
    <row r="5" ht="16" customHeight="1">
      <c r="B5" s="14" t="inlineStr">
        <is>
          <t xml:space="preserve">Payer</t>
        </is>
      </c>
      <c r="C5" s="14" t="inlineStr">
        <is>
          <t xml:space="preserve">Claims</t>
        </is>
      </c>
      <c r="D5" s="14" t="inlineStr">
        <is>
          <t xml:space="preserve">% of Total</t>
        </is>
      </c>
      <c r="G5" s="100" t="str">
        <v>Feedback</v>
      </c>
    </row>
    <row r="6">
      <c r="B6" s="15" t="inlineStr">
        <is>
          <t xml:space="preserve">Medicare</t>
        </is>
      </c>
      <c r="C6" s="17" t="n">
        <v>410</v>
      </c>
      <c r="D6" s="25" t="n"/>
      <c r="F6" s="101" t="str">
        <v>Lock $C$10 before copying each share formula.</v>
      </c>
      <c r="G6" s="98" t="str">
        <f>IF(D6="","Build the share formula",IF(NOT(_xlfn.ISFORMULA(D6)),"Use a formula, not a typed percent",IF(AND(ROUND(D6,2)=0.41,ISNUMBER(SEARCH("$C$10",_xlfn.FORMULATEXT(D6)))),"Correct formula and locked total","Check the share and locked $C$10")))</f>
        <v>Build the share formula</v>
      </c>
    </row>
    <row r="7">
      <c r="B7" s="15" t="inlineStr">
        <is>
          <t xml:space="preserve">Medicaid</t>
        </is>
      </c>
      <c r="C7" s="17" t="n">
        <v>230</v>
      </c>
      <c r="D7" s="25" t="n"/>
      <c r="F7" s="77"/>
      <c r="G7" s="98" t="str">
        <f>IF(D7="","Build the share formula",IF(NOT(_xlfn.ISFORMULA(D7)),"Use a formula, not a typed percent",IF(AND(ROUND(D7,2)=0.23,ISNUMBER(SEARCH("$C$10",_xlfn.FORMULATEXT(D7)))),"Correct formula and locked total","Check the share and locked $C$10")))</f>
        <v>Build the share formula</v>
      </c>
    </row>
    <row r="8">
      <c r="B8" s="15" t="inlineStr">
        <is>
          <t xml:space="preserve">Commercial</t>
        </is>
      </c>
      <c r="C8" s="17" t="n">
        <v>280</v>
      </c>
      <c r="D8" s="25" t="n"/>
      <c r="F8" s="77"/>
      <c r="G8" s="98" t="str">
        <f>IF(D8="","Build the share formula",IF(NOT(_xlfn.ISFORMULA(D8)),"Use a formula, not a typed percent",IF(AND(ROUND(D8,2)=0.28,ISNUMBER(SEARCH("$C$10",_xlfn.FORMULATEXT(D8)))),"Correct formula and locked total","Check the share and locked $C$10")))</f>
        <v>Build the share formula</v>
      </c>
    </row>
    <row r="9">
      <c r="B9" s="15" t="inlineStr">
        <is>
          <t xml:space="preserve">Self-pay</t>
        </is>
      </c>
      <c r="C9" s="17" t="n">
        <v>80</v>
      </c>
      <c r="D9" s="25" t="n"/>
      <c r="F9" s="77"/>
      <c r="G9" s="98" t="str">
        <f>IF(D9="","Build the share formula",IF(NOT(_xlfn.ISFORMULA(D9)),"Use a formula, not a typed percent",IF(AND(ROUND(D9,2)=0.08,ISNUMBER(SEARCH("$C$10",_xlfn.FORMULATEXT(D9)))),"Correct formula and locked total","Check the share and locked $C$10")))</f>
        <v>Build the share formula</v>
      </c>
    </row>
    <row r="10">
      <c r="B10" s="26" t="inlineStr">
        <is>
          <t xml:space="preserve">Total claims</t>
        </is>
      </c>
      <c r="C10" s="21" t="n"/>
      <c r="F10" s="77"/>
      <c r="G10" s="98" t="str">
        <f>IF(C10="","Build the total formula",IF(NOT(_xlfn.ISFORMULA(C10)),"Use a formula, not a typed total",IF(C10=1000,"Correct formula and total","Recheck C6:C9")))</f>
        <v>Build the total formula</v>
      </c>
    </row>
    <row r="11">
      <c r="F11" s="77"/>
      <c r="G11" s="98"/>
    </row>
    <row r="12">
      <c r="B12" s="27" t="inlineStr">
        <is>
          <t xml:space="preserve">Largest payer share</t>
        </is>
      </c>
      <c r="D12" s="25" t="n"/>
      <c r="F12" s="101" t="str">
        <v>Name the payer with the largest claim share.</v>
      </c>
      <c r="G12" s="98" t="str">
        <f>IF(D12="","Build a MAX formula",IF(NOT(_xlfn.ISFORMULA(D12)),"Use a formula, not a typed share",IF(ROUND(D12,2)=0.41,"Correct: 41% is the largest claim share","Recheck D6:D9")))</f>
        <v>Build a MAX formula</v>
      </c>
    </row>
    <row r="14" ht="28" customHeight="1">
      <c r="B14" s="102" t="str">
        <v>Decision Deliverable</v>
      </c>
      <c r="C14" s="102"/>
      <c r="D14" s="102"/>
      <c r="E14" s="102"/>
      <c r="F14" s="102"/>
      <c r="G14" s="102"/>
    </row>
    <row r="15" ht="30" customHeight="1">
      <c r="B15" s="80" t="str">
        <v>Write one sentence: identify the payer with the largest share of claims and cite the formula cell that supports your conclusion.</v>
      </c>
      <c r="C15" s="80"/>
      <c r="D15" s="80"/>
      <c r="E15" s="80"/>
      <c r="F15" s="80"/>
      <c r="G15" s="80"/>
    </row>
    <row r="16" ht="26" customHeight="1">
      <c r="B16" s="116"/>
      <c r="C16" s="117"/>
      <c r="D16" s="117"/>
      <c r="E16" s="117"/>
      <c r="F16" s="117"/>
      <c r="G16" s="118"/>
    </row>
    <row r="17" ht="26" customHeight="1">
      <c r="B17" s="119"/>
      <c r="C17" s="120"/>
      <c r="D17" s="120"/>
      <c r="E17" s="120"/>
      <c r="F17" s="120"/>
      <c r="G17" s="121"/>
    </row>
  </sheetData>
  <mergeCells>
    <mergeCell ref="A2:H2"/>
    <mergeCell ref="A1:H1"/>
    <mergeCell ref="B14:G14"/>
    <mergeCell ref="B15:G15"/>
    <mergeCell ref="B16:G17"/>
  </mergeCells>
  <conditionalFormatting sqref="D6:D6">
    <cfRule type="expression" dxfId="68" priority="14">
      <formula>AND(_xlfn.ISFORMULA(D6),ROUND(D6,2)=0.41)</formula>
    </cfRule>
    <cfRule type="expression" dxfId="69" priority="15">
      <formula>AND(D6&lt;&gt;"",NOT(AND(_xlfn.ISFORMULA(D6),ROUND(D6,2)=0.41)))</formula>
    </cfRule>
  </conditionalFormatting>
  <conditionalFormatting sqref="D7:D7">
    <cfRule type="expression" dxfId="70" priority="16">
      <formula>AND(_xlfn.ISFORMULA(D7),ROUND(D7,2)=0.23)</formula>
    </cfRule>
    <cfRule type="expression" dxfId="71" priority="17">
      <formula>AND(D7&lt;&gt;"",NOT(AND(_xlfn.ISFORMULA(D7),ROUND(D7,2)=0.23)))</formula>
    </cfRule>
  </conditionalFormatting>
  <conditionalFormatting sqref="D8:D8">
    <cfRule type="expression" dxfId="72" priority="18">
      <formula>AND(_xlfn.ISFORMULA(D8),ROUND(D8,2)=0.28)</formula>
    </cfRule>
    <cfRule type="expression" dxfId="73" priority="19">
      <formula>AND(D8&lt;&gt;"",NOT(AND(_xlfn.ISFORMULA(D8),ROUND(D8,2)=0.28)))</formula>
    </cfRule>
  </conditionalFormatting>
  <conditionalFormatting sqref="D9:D9">
    <cfRule type="expression" dxfId="74" priority="20">
      <formula>AND(_xlfn.ISFORMULA(D9),ROUND(D9,2)=0.08)</formula>
    </cfRule>
    <cfRule type="expression" dxfId="75" priority="21">
      <formula>AND(D9&lt;&gt;"",NOT(AND(_xlfn.ISFORMULA(D9),ROUND(D9,2)=0.08)))</formula>
    </cfRule>
  </conditionalFormatting>
  <conditionalFormatting sqref="C10:C10">
    <cfRule type="expression" dxfId="76" priority="22">
      <formula>AND(_xlfn.ISFORMULA(C10),C10=1000)</formula>
    </cfRule>
    <cfRule type="expression" dxfId="77" priority="23">
      <formula>AND(C10&lt;&gt;"",NOT(AND(_xlfn.ISFORMULA(C10),C10=1000)))</formula>
    </cfRule>
  </conditionalFormatting>
  <conditionalFormatting sqref="D12:D12">
    <cfRule type="expression" dxfId="78" priority="24">
      <formula>AND(_xlfn.ISFORMULA(D12),ROUND(D12,2)=0.41)</formula>
    </cfRule>
    <cfRule type="expression" dxfId="79" priority="25">
      <formula>AND(D12&lt;&gt;"",NOT(AND(_xlfn.ISFORMULA(D12),ROUND(D12,2)=0.41)))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baseColWidth="8" defaultRowHeight="15"/>
  <cols>
    <col min="1" max="1" width="22" customWidth="1"/>
    <col min="2" max="2" width="24" customWidth="1"/>
    <col min="3" max="3" width="38" customWidth="1"/>
    <col min="4" max="4" width="38" customWidth="1"/>
  </cols>
  <sheetData>
    <row r="1" ht="31.5" customHeight="1">
      <c r="A1" s="122" t="inlineStr">
        <is>
          <t xml:space="preserve">Concept</t>
        </is>
      </c>
      <c r="B1" s="122" t="inlineStr">
        <is>
          <t xml:space="preserve">Excel Pattern</t>
        </is>
      </c>
      <c r="C1" s="122" t="inlineStr">
        <is>
          <t xml:space="preserve">Plain-English Meaning</t>
        </is>
      </c>
      <c r="D1" s="122" t="inlineStr">
        <is>
          <t xml:space="preserve">Watch Out For</t>
        </is>
      </c>
    </row>
    <row r="2" ht="31.5" customHeight="1">
      <c r="A2" s="123" t="inlineStr">
        <is>
          <t xml:space="preserve">Total a range</t>
        </is>
      </c>
      <c r="B2" s="124" t="inlineStr">
        <is>
          <t xml:space="preserve"> =SUM(C6:C10)</t>
        </is>
      </c>
      <c r="C2" s="123" t="inlineStr">
        <is>
          <t xml:space="preserve">Adds selected numbers into one total.</t>
        </is>
      </c>
      <c r="D2" s="125" t="inlineStr">
        <is>
          <t xml:space="preserve">Use a range instead of typing each charge.</t>
        </is>
      </c>
    </row>
    <row r="3" ht="31.5" customHeight="1">
      <c r="A3" s="123" t="inlineStr">
        <is>
          <t xml:space="preserve">Average a range</t>
        </is>
      </c>
      <c r="B3" s="124" t="inlineStr">
        <is>
          <t xml:space="preserve"> =AVERAGE(C6:C10)</t>
        </is>
      </c>
      <c r="C3" s="123" t="inlineStr">
        <is>
          <t xml:space="preserve">Finds the typical value from several numbers.</t>
        </is>
      </c>
      <c r="D3" s="125" t="inlineStr">
        <is>
          <t xml:space="preserve">Average is not the same as total.</t>
        </is>
      </c>
    </row>
    <row r="4" ht="31.5" customHeight="1">
      <c r="A4" s="123" t="inlineStr">
        <is>
          <t xml:space="preserve">Count numeric cells</t>
        </is>
      </c>
      <c r="B4" s="124" t="inlineStr">
        <is>
          <t xml:space="preserve"> =COUNT(C6:C10)</t>
        </is>
      </c>
      <c r="C4" s="123" t="inlineStr">
        <is>
          <t xml:space="preserve">Counts cells that contain numbers.</t>
        </is>
      </c>
      <c r="D4" s="125" t="inlineStr">
        <is>
          <t xml:space="preserve">Text labels are ignored.</t>
        </is>
      </c>
    </row>
    <row r="5" ht="31.5" customHeight="1">
      <c r="A5" s="123" t="inlineStr">
        <is>
          <t xml:space="preserve">Highest value</t>
        </is>
      </c>
      <c r="B5" s="124" t="inlineStr">
        <is>
          <t xml:space="preserve"> =MAX(C6:C10)</t>
        </is>
      </c>
      <c r="C5" s="123" t="inlineStr">
        <is>
          <t xml:space="preserve">Returns the largest value in a range.</t>
        </is>
      </c>
      <c r="D5" s="125" t="inlineStr">
        <is>
          <t xml:space="preserve">MAX finds the biggest number, not the biggest label.</t>
        </is>
      </c>
    </row>
    <row r="6" ht="31.5" customHeight="1">
      <c r="A6" s="123" t="inlineStr">
        <is>
          <t xml:space="preserve">Lowest value</t>
        </is>
      </c>
      <c r="B6" s="124" t="inlineStr">
        <is>
          <t xml:space="preserve"> =MIN(C6:C10)</t>
        </is>
      </c>
      <c r="C6" s="123" t="inlineStr">
        <is>
          <t xml:space="preserve">Returns the smallest value in a range.</t>
        </is>
      </c>
      <c r="D6" s="125" t="inlineStr">
        <is>
          <t xml:space="preserve">MIN finds the smallest number, not the smallest label.</t>
        </is>
      </c>
    </row>
    <row r="7" ht="31.5" customHeight="1">
      <c r="A7" s="123" t="inlineStr">
        <is>
          <t xml:space="preserve">Percent of total</t>
        </is>
      </c>
      <c r="B7" s="124" t="inlineStr">
        <is>
          <t xml:space="preserve"> =C6/$C$10</t>
        </is>
      </c>
      <c r="C7" s="123" t="inlineStr">
        <is>
          <t xml:space="preserve">Shows one value as a share of the total.</t>
        </is>
      </c>
      <c r="D7" s="125" t="inlineStr">
        <is>
          <t xml:space="preserve">Lock the total before copying.</t>
        </is>
      </c>
    </row>
    <row r="8" ht="31.5" customHeight="1">
      <c r="A8" s="123" t="inlineStr">
        <is>
          <t xml:space="preserve">Absolute reference</t>
        </is>
      </c>
      <c r="B8" s="124" t="inlineStr">
        <is>
          <t xml:space="preserve"> $C$21 or $C$10</t>
        </is>
      </c>
      <c r="C8" s="123" t="inlineStr">
        <is>
          <t xml:space="preserve">Locks a shared input so copied formulas keep using it.</t>
        </is>
      </c>
      <c r="D8" s="125" t="str">
        <v>Windows: F4. Mac: Command+T or F4. First decide what must stay fixed.</v>
      </c>
    </row>
    <row r="9" ht="31.5" customHeight="1">
      <c r="A9" s="123" t="inlineStr">
        <is>
          <t xml:space="preserve">Range notation</t>
        </is>
      </c>
      <c r="B9" s="124" t="inlineStr">
        <is>
          <t xml:space="preserve">C6:C10</t>
        </is>
      </c>
      <c r="C9" s="123" t="inlineStr">
        <is>
          <t xml:space="preserve">Means cell C6 through cell C10.</t>
        </is>
      </c>
      <c r="D9" s="125" t="inlineStr">
        <is>
          <t xml:space="preserve">Include only the cells you want calculated.</t>
        </is>
      </c>
    </row>
  </sheetData>
  <pageMargins left="0.7" right="0.7" top="0.75" bottom="0.75" header="0.3" footer="0.3"/>
</worksheet>
</file>