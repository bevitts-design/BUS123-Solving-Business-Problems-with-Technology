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1_ContributionMargin" sheetId="1" state="visible" r:id="rId3"/>
    <sheet name="Tab2_Breakeven" sheetId="2" state="visible" r:id="rId4"/>
    <sheet name="Tab3_ProfitLoss" sheetId="3" state="visible" r:id="rId5"/>
    <sheet name="AnswerKey_Instructo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<sst xmlns="http://schemas.openxmlformats.org/spreadsheetml/2006/main" count="202" uniqueCount="174">
  <si>
    <t xml:space="preserve">BUS 123  |  Excel &amp; Business Math  —  Endicott College</t>
  </si>
  <si>
    <t xml:space="preserve">Day 6  |  Breakeven Analysis  |  Endicott Management Group (EMG)</t>
  </si>
  <si>
    <t xml:space="preserve">TAB 1: Contribution Margin Calculator</t>
  </si>
  <si>
    <t xml:space="preserve">📋  INSTRUCTIONS: EMG offers three event packages. For each package, calculate the Contribution Margin (CM = Selling Price − Variable Cost). Use formulas — not manual math. Format all dollar columns as Currency. Then use MAX to find the highest CM package.</t>
  </si>
  <si>
    <t xml:space="preserve">Event Package</t>
  </si>
  <si>
    <t xml:space="preserve">Selling Price
(per package)</t>
  </si>
  <si>
    <t xml:space="preserve">Variable Cost
(per package)</t>
  </si>
  <si>
    <t xml:space="preserve">Contribution Margin
(CM)</t>
  </si>
  <si>
    <t xml:space="preserve">Your Answer
(Enter Formula ↓)</t>
  </si>
  <si>
    <t xml:space="preserve">Feedback</t>
  </si>
  <si>
    <t xml:space="preserve">Corporate Conference Package</t>
  </si>
  <si>
    <t xml:space="preserve">Campus Event Package</t>
  </si>
  <si>
    <t xml:space="preserve">Gala &amp; Fundraiser Package</t>
  </si>
  <si>
    <t xml:space="preserve">📊  Which package has the HIGHEST Contribution Margin?</t>
  </si>
  <si>
    <t xml:space="preserve">Answer Key: MAX =</t>
  </si>
  <si>
    <t xml:space="preserve">   Use =MAX() on your CM column (Column E) to find the highest value:</t>
  </si>
  <si>
    <t xml:space="preserve">Your MAX formula →</t>
  </si>
  <si>
    <t xml:space="preserve">💡  FORMULA HINTS  (expand if you need help)</t>
  </si>
  <si>
    <t xml:space="preserve">  Contribution Margin:</t>
  </si>
  <si>
    <t xml:space="preserve">Contribution Margin  =  Selling Price - Variable Cost</t>
  </si>
  <si>
    <t xml:space="preserve">e.g.  =B6-C6</t>
  </si>
  <si>
    <t xml:space="preserve">  MAX function:</t>
  </si>
  <si>
    <t xml:space="preserve">MAX function  =  MAX(range of cells)</t>
  </si>
  <si>
    <t xml:space="preserve">e.g.  =MAX(E6:E8)</t>
  </si>
  <si>
    <t xml:space="preserve">  Format as currency:</t>
  </si>
  <si>
    <t xml:space="preserve">Home tab → Number group → $ icon</t>
  </si>
  <si>
    <t xml:space="preserve">TAB 2: Breakeven Calculator  —  Corporate Conference Package</t>
  </si>
  <si>
    <t xml:space="preserve">📋  INSTRUCTIONS: EMG needs to know how many Corporate Conference Packages to sell each month just to cover all costs. Step 1: Enter each fixed cost (blue cells). Step 2: Use SUM for the total. Step 3: Pull Contribution Margin from Tab 1 (use a cell reference!). Step 4: Calculate breakeven. Step 5: Use CEILING to get a whole number.</t>
  </si>
  <si>
    <t xml:space="preserve">SECTION A — EMG Monthly Fixed Costs</t>
  </si>
  <si>
    <t xml:space="preserve">Fixed Cost Item</t>
  </si>
  <si>
    <t xml:space="preserve">Monthly Amount ($)</t>
  </si>
  <si>
    <t xml:space="preserve">Your Entry</t>
  </si>
  <si>
    <t xml:space="preserve">Notes</t>
  </si>
  <si>
    <t xml:space="preserve">  Office Rent</t>
  </si>
  <si>
    <t xml:space="preserve">Paid monthly regardless of sales</t>
  </si>
  <si>
    <t xml:space="preserve">  Staff Salaries (fixed)</t>
  </si>
  <si>
    <t xml:space="preserve">Management + admin staff</t>
  </si>
  <si>
    <t xml:space="preserve">  Insurance</t>
  </si>
  <si>
    <t xml:space="preserve">General liability policy</t>
  </si>
  <si>
    <t xml:space="preserve">  Software &amp; Technology</t>
  </si>
  <si>
    <t xml:space="preserve">CRM, accounting tools</t>
  </si>
  <si>
    <t xml:space="preserve">  Utilities &amp; Miscellaneous</t>
  </si>
  <si>
    <t xml:space="preserve">Electric, internet, supplies</t>
  </si>
  <si>
    <t xml:space="preserve">  TOTAL FIXED COSTS</t>
  </si>
  <si>
    <t xml:space="preserve">SECTION B — Breakeven Inputs (from Tab 1)</t>
  </si>
  <si>
    <t xml:space="preserve">Input</t>
  </si>
  <si>
    <t xml:space="preserve">Answer Key Value</t>
  </si>
  <si>
    <t xml:space="preserve">Your Cell Reference</t>
  </si>
  <si>
    <t xml:space="preserve">Instructions</t>
  </si>
  <si>
    <t xml:space="preserve">Contribution Margin (Corporate Package)</t>
  </si>
  <si>
    <t xml:space="preserve">Link to Tab 1, cell D6 — the CM you calculated!</t>
  </si>
  <si>
    <t xml:space="preserve">         ↳  Feedback: =IF(C16="","← Enter cross-sheet reference",IF(ABS(C16-B16)&lt;0.01,"✓ CM Linked Correctly!","✗ Check the reference — should be =Tab1_ContributionMargin!D6"))</t>
  </si>
  <si>
    <t xml:space="preserve">SECTION C — Breakeven Calculation</t>
  </si>
  <si>
    <t xml:space="preserve">Calculation Step</t>
  </si>
  <si>
    <t xml:space="preserve">Answer Key</t>
  </si>
  <si>
    <t xml:space="preserve">Your Formula</t>
  </si>
  <si>
    <t xml:space="preserve">What to type</t>
  </si>
  <si>
    <t xml:space="preserve">  Step 1: Raw Breakeven (FC ÷ CM)</t>
  </si>
  <si>
    <t xml:space="preserve">Type: =C12/C16   (may have a decimal -- that is OK!)</t>
  </si>
  <si>
    <t xml:space="preserve">  Step 2: CEILING — Whole Units Required</t>
  </si>
  <si>
    <t xml:space="preserve">Type: =CEILING(C12/C16,1)   rounds up to nearest whole unit</t>
  </si>
  <si>
    <t xml:space="preserve">🎯  EMG must sell this many packages to break even:</t>
  </si>
  <si>
    <t xml:space="preserve">← Your CEILING result from Step 2 above</t>
  </si>
  <si>
    <t xml:space="preserve">💡  FORMULA HINTS</t>
  </si>
  <si>
    <t xml:space="preserve">  Breakeven:</t>
  </si>
  <si>
    <t xml:space="preserve">Breakeven  =  Total Fixed Costs / Contribution Margin</t>
  </si>
  <si>
    <t xml:space="preserve">Example answer key: =B12/B16</t>
  </si>
  <si>
    <t xml:space="preserve">  CEILING:</t>
  </si>
  <si>
    <t xml:space="preserve">CEILING  =  CEILING(number, 1)  rounds UP to whole unit</t>
  </si>
  <si>
    <t xml:space="preserve">Example answer key: =CEILING(B12/B16,1)</t>
  </si>
  <si>
    <t xml:space="preserve">  Cross-sheet:</t>
  </si>
  <si>
    <t xml:space="preserve">Cross-sheet  =  SheetName!CellAddress  (green text = link)</t>
  </si>
  <si>
    <t xml:space="preserve">TAB 3: Profit / Loss Scenario Builder</t>
  </si>
  <si>
    <t xml:space="preserve">📋  INSTRUCTIONS: Build a model that calculates profit or loss at any sales volume. Enter the number of packages sold in the blue cell. Build each formula step-by-step. Your IF function should display 'PROFIT', 'LOSS', or 'BREAKEVEN' automatically. Then change the units sold and watch what happens!</t>
  </si>
  <si>
    <t xml:space="preserve">INPUTS — Change These Numbers to Test Different Scenarios</t>
  </si>
  <si>
    <t xml:space="preserve">Item</t>
  </si>
  <si>
    <t xml:space="preserve">Value</t>
  </si>
  <si>
    <t xml:space="preserve">  Units Sold This Month</t>
  </si>
  <si>
    <t xml:space="preserve">Type any number here — watch the model update!</t>
  </si>
  <si>
    <t xml:space="preserve">  Selling Price (per package)</t>
  </si>
  <si>
    <t xml:space="preserve">Link to Tab 1 col B row 6, or type $500</t>
  </si>
  <si>
    <t xml:space="preserve">  Variable Cost (per package)</t>
  </si>
  <si>
    <t xml:space="preserve">Link to Tab 1 col C row 6, or type $175</t>
  </si>
  <si>
    <t xml:space="preserve">  Total Fixed Costs (monthly)</t>
  </si>
  <si>
    <t xml:space="preserve">Link to Tab 2 cell C12 (your total)</t>
  </si>
  <si>
    <t xml:space="preserve">CALCULATIONS — Build Each Formula Below</t>
  </si>
  <si>
    <t xml:space="preserve">Calculation</t>
  </si>
  <si>
    <t xml:space="preserve">Formula Pattern</t>
  </si>
  <si>
    <t xml:space="preserve">  Total Revenue</t>
  </si>
  <si>
    <t xml:space="preserve">Units Sold x Selling Price  -- type: =C7*C8</t>
  </si>
  <si>
    <t xml:space="preserve">  Total Variable Costs</t>
  </si>
  <si>
    <t xml:space="preserve">Units Sold x Variable Cost  -- type: =C7*C9</t>
  </si>
  <si>
    <t xml:space="preserve">  Total Fixed Costs</t>
  </si>
  <si>
    <t xml:space="preserve">Link to fixed costs input above  -- type: =C10</t>
  </si>
  <si>
    <t xml:space="preserve">  Net Profit / Loss</t>
  </si>
  <si>
    <t xml:space="preserve">Revenue - Variable Costs - Fixed Costs  -- type: =C14-C15-C16</t>
  </si>
  <si>
    <t xml:space="preserve">PROFIT / LOSS STATUS — IF Function Challenge</t>
  </si>
  <si>
    <t xml:space="preserve">  What is EMG's status this month?</t>
  </si>
  <si>
    <t xml:space="preserve">Your IF: =IF(C17&gt;0,"PROFIT",IF(C17&lt;0,"LOSS","BREAKEVEN"))</t>
  </si>
  <si>
    <t xml:space="preserve">  Your IF Formula Result:</t>
  </si>
  <si>
    <t xml:space="preserve">⭐  BONUS CHALLENGE — Connecting Day 5 Discounts to Day 6 Breakeven</t>
  </si>
  <si>
    <t xml:space="preserve">Scenario: Dune Road Apparel (a client of EMG) orders $5,000 in event supplies from a vendor.</t>
  </si>
  <si>
    <t xml:space="preserve">The vendor offers terms of 2/10, n/30 (2% discount if paid within 10 days).</t>
  </si>
  <si>
    <t xml:space="preserve">Question 1: How much does Dune Road SAVE if they pay early?</t>
  </si>
  <si>
    <t xml:space="preserve">Question 2: If that savings is passed to EMG as a $100 reduction in variable cost per package,</t>
  </si>
  <si>
    <t xml:space="preserve">            what happens to the breakeven point?  (Hint: recalculate CM and BE with new VC)</t>
  </si>
  <si>
    <t xml:space="preserve">Build your answer below — use formulas, not manual math:</t>
  </si>
  <si>
    <t xml:space="preserve">  Discount Rate (from Day 5)</t>
  </si>
  <si>
    <t xml:space="preserve">2% = 0.02</t>
  </si>
  <si>
    <t xml:space="preserve">  Invoice Amount</t>
  </si>
  <si>
    <t xml:space="preserve">$5,000 order</t>
  </si>
  <si>
    <t xml:space="preserve">  Early Payment Savings</t>
  </si>
  <si>
    <t xml:space="preserve">Invoice x Discount Rate  -- type: =C35*C34</t>
  </si>
  <si>
    <t xml:space="preserve">  New Variable Cost per package</t>
  </si>
  <si>
    <t xml:space="preserve">Original VC minus savings  -- type: =C9-C36</t>
  </si>
  <si>
    <t xml:space="preserve">  New Contribution Margin</t>
  </si>
  <si>
    <t xml:space="preserve">Selling Price minus New VC  -- type: =C8-C37</t>
  </si>
  <si>
    <t xml:space="preserve">  New Breakeven (CEILING)</t>
  </si>
  <si>
    <t xml:space="preserve">Type: =CEILING(C10/C38, 1)</t>
  </si>
  <si>
    <t xml:space="preserve">💡  IF FUNCTION HINT:  =IF(logical_test, value_if_true, value_if_false)   — Nest IFs for 3 outcomes</t>
  </si>
  <si>
    <t xml:space="preserve">   Example: =IF(C17&gt;0,"PROFIT",IF(C17&lt;0,"LOSS","BREAKEVEN"))   — the inner IF is the "else" of the outer IF</t>
  </si>
  <si>
    <t xml:space="preserve">INSTRUCTOR ANSWER KEY  —  Day 6: Breakeven Analysis</t>
  </si>
  <si>
    <t xml:space="preserve">⚠️  INSTRUCTOR USE ONLY — Do not distribute to students</t>
  </si>
  <si>
    <t xml:space="preserve">TAB 1 — Contribution Margin</t>
  </si>
  <si>
    <t xml:space="preserve">Answer</t>
  </si>
  <si>
    <t xml:space="preserve">Formula / Notes</t>
  </si>
  <si>
    <t xml:space="preserve">  Corporate Conference Package CM</t>
  </si>
  <si>
    <t xml:space="preserve">$325.00</t>
  </si>
  <si>
    <t xml:space="preserve">$500 − $175</t>
  </si>
  <si>
    <t xml:space="preserve">  Campus Event Package CM</t>
  </si>
  <si>
    <t xml:space="preserve">$180.00</t>
  </si>
  <si>
    <t xml:space="preserve">$300 − $120</t>
  </si>
  <si>
    <t xml:space="preserve">  Gala &amp; Fundraiser Package CM</t>
  </si>
  <si>
    <t xml:space="preserve">$540.00</t>
  </si>
  <si>
    <t xml:space="preserve">$850 − $310</t>
  </si>
  <si>
    <t xml:space="preserve">  MAX Contribution Margin</t>
  </si>
  <si>
    <t xml:space="preserve">max of above</t>
  </si>
  <si>
    <t xml:space="preserve">TAB 2 — Breakeven Calculation</t>
  </si>
  <si>
    <t xml:space="preserve">$14,250.00</t>
  </si>
  <si>
    <t xml:space="preserve">sum of all 5 items</t>
  </si>
  <si>
    <t xml:space="preserve">  Contribution Margin (from Tab 1)</t>
  </si>
  <si>
    <t xml:space="preserve">Tab1_ContributionMargin!D6</t>
  </si>
  <si>
    <t xml:space="preserve">  Raw Breakeven (before CEILING)</t>
  </si>
  <si>
    <t xml:space="preserve">43.85 packages</t>
  </si>
  <si>
    <t xml:space="preserve">$14,250 ÷ $325</t>
  </si>
  <si>
    <t xml:space="preserve">  CEILING Breakeven</t>
  </si>
  <si>
    <t xml:space="preserve">44 packages</t>
  </si>
  <si>
    <t xml:space="preserve">CEILING(43.85, 1)</t>
  </si>
  <si>
    <t xml:space="preserve">TAB 3 — Profit/Loss (55 units sold)</t>
  </si>
  <si>
    <t xml:space="preserve">$27,500.00</t>
  </si>
  <si>
    <t xml:space="preserve">55 × $500</t>
  </si>
  <si>
    <t xml:space="preserve">$9,625.00</t>
  </si>
  <si>
    <t xml:space="preserve">55 × $175</t>
  </si>
  <si>
    <t xml:space="preserve">linked from tab 2</t>
  </si>
  <si>
    <t xml:space="preserve">$3,625.00</t>
  </si>
  <si>
    <t xml:space="preserve">$27,500 − $9,625 − $14,250</t>
  </si>
  <si>
    <t xml:space="preserve">  IF Status</t>
  </si>
  <si>
    <t xml:space="preserve">PROFIT</t>
  </si>
  <si>
    <t xml:space="preserve">IF(3,625&gt;0, 'profit',...)</t>
  </si>
  <si>
    <t xml:space="preserve">BONUS — Discount + Breakeven Impact</t>
  </si>
  <si>
    <t xml:space="preserve">$100.00</t>
  </si>
  <si>
    <t xml:space="preserve">$5,0 × 0.02</t>
  </si>
  <si>
    <t xml:space="preserve">  New Variable Cost</t>
  </si>
  <si>
    <t xml:space="preserve">$75.00</t>
  </si>
  <si>
    <t xml:space="preserve">$175 − $100</t>
  </si>
  <si>
    <t xml:space="preserve">  New CM</t>
  </si>
  <si>
    <t xml:space="preserve">$425.00</t>
  </si>
  <si>
    <t xml:space="preserve">$500 − $75</t>
  </si>
  <si>
    <t xml:space="preserve">34 packages</t>
  </si>
  <si>
    <t xml:space="preserve">CEILING($14,250/$425,1)</t>
  </si>
  <si>
    <t xml:space="preserve">  Change in BE</t>
  </si>
  <si>
    <t xml:space="preserve">−10 packages</t>
  </si>
  <si>
    <t xml:space="preserve">From 44 to 34 — discount has big impact!</t>
  </si>
  <si>
    <t xml:space="preserve">BUS 123  |  Gerrish School of Business  |  Endicott College  |  Day 6 Answer Key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</si>
</sst>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.00"/>
    <numFmt numFmtId="167" formatCode="#,##0"/>
    <numFmt numFmtId="168" formatCode="\$#,##0.0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C9A84C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sz val="11"/>
      <color rgb="FF0064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C9A84C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sz val="10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8F5E9"/>
      </patternFill>
    </fill>
    <fill>
      <patternFill patternType="solid">
        <fgColor rgb="FFFFFDE7"/>
        <bgColor rgb="FFFFFFF0"/>
      </patternFill>
    </fill>
    <fill>
      <patternFill patternType="solid">
        <fgColor rgb="FFFFFFFF"/>
        <bgColor rgb="FFFFFFF0"/>
      </patternFill>
    </fill>
    <fill>
      <patternFill patternType="solid">
        <fgColor rgb="FFE8F5E9"/>
        <bgColor rgb="FFEBF5FB"/>
      </patternFill>
    </fill>
    <fill>
      <patternFill patternType="solid">
        <fgColor rgb="FFEBF5FB"/>
        <bgColor rgb="FFF5F5F5"/>
      </patternFill>
    </fill>
    <fill>
      <patternFill patternType="solid">
        <fgColor rgb="FFF5F5F5"/>
        <bgColor rgb="FFEBF5FB"/>
      </patternFill>
    </fill>
    <fill>
      <patternFill patternType="solid">
        <fgColor rgb="FFFFF3CD"/>
        <bgColor rgb="FFFFF8E1"/>
      </patternFill>
    </fill>
    <fill>
      <patternFill patternType="solid">
        <fgColor rgb="FFFFFFF0"/>
        <bgColor rgb="FFFFFDE7"/>
      </patternFill>
    </fill>
    <fill>
      <patternFill patternType="solid">
        <fgColor rgb="FFC9A84C"/>
        <bgColor rgb="FFAAAAAA"/>
      </patternFill>
    </fill>
    <fill>
      <patternFill patternType="solid">
        <fgColor rgb="FFFFF8E1"/>
        <bgColor rgb="FFFFFDE7"/>
      </patternFill>
    </fill>
    <fill>
      <patternFill patternType="solid">
        <fgColor rgb="FFFFE0E0"/>
        <bgColor rgb="FFFFF3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FFFDE7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5F5F5"/>
      <rgbColor rgb="FFFFF3CD"/>
      <rgbColor rgb="FFFFFFF0"/>
      <rgbColor rgb="FFFF99CC"/>
      <rgbColor rgb="FFCC99FF"/>
      <rgbColor rgb="FFFFE0E0"/>
      <rgbColor rgb="FF3366FF"/>
      <rgbColor rgb="FF33CCCC"/>
      <rgbColor rgb="FF99CC00"/>
      <rgbColor rgb="FFFFCC00"/>
      <rgbColor rgb="FFC9A84C"/>
      <rgbColor rgb="FFFF6600"/>
      <rgbColor rgb="FF666666"/>
      <rgbColor rgb="FFAAAAAA"/>
      <rgbColor rgb="FF1F3864"/>
      <rgbColor rgb="FF339966"/>
      <rgbColor rgb="FF003300"/>
      <rgbColor rgb="FF444444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4" min="3" style="1" width="22"/>
    <col collapsed="false" customWidth="true" hidden="false" outlineLevel="0" max="5" min="5" style="1" width="28"/>
    <col collapsed="false" customWidth="true" hidden="false" outlineLevel="0" max="6" min="6" style="1" width="3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  <c r="F3" s="4"/>
    </row>
    <row r="4" customFormat="false" ht="48" hidden="false" customHeight="true" outlineLevel="0" collapsed="false">
      <c r="A4" s="5" t="s">
        <v>3</v>
      </c>
      <c r="B4" s="5"/>
      <c r="C4" s="5"/>
      <c r="D4" s="5"/>
      <c r="E4" s="5"/>
      <c r="F4" s="5"/>
    </row>
    <row r="5" customFormat="false" ht="27.7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</row>
    <row r="6" customFormat="false" ht="21.75" hidden="false" customHeight="true" outlineLevel="0" collapsed="false">
      <c r="A6" s="7" t="s">
        <v>10</v>
      </c>
      <c r="B6" s="8" t="n">
        <v>500</v>
      </c>
      <c r="C6" s="8" t="n">
        <v>175</v>
      </c>
      <c r="D6" s="9" t="n">
        <f aca="false">B6-C6</f>
        <v>325</v>
      </c>
      <c r="E6" s="10"/>
      <c r="F6" s="11" t="str">
        <f aca="false">IF(E6="","← Enter your CM formula",IF(ABS(E6-D6)&lt;0.01,"✓ Correct!","✗ Check formula"))</f>
        <v>← Enter your CM formula</v>
      </c>
    </row>
    <row r="7" customFormat="false" ht="21.75" hidden="false" customHeight="true" outlineLevel="0" collapsed="false">
      <c r="A7" s="12" t="s">
        <v>11</v>
      </c>
      <c r="B7" s="13" t="n">
        <v>300</v>
      </c>
      <c r="C7" s="13" t="n">
        <v>120</v>
      </c>
      <c r="D7" s="9" t="n">
        <f aca="false">B7-C7</f>
        <v>180</v>
      </c>
      <c r="E7" s="10"/>
      <c r="F7" s="11" t="str">
        <f aca="false">IF(E7="","← Enter your CM formula",IF(ABS(E7-D7)&lt;0.01,"✓ Correct!","✗ Check formula"))</f>
        <v>← Enter your CM formula</v>
      </c>
    </row>
    <row r="8" customFormat="false" ht="21.75" hidden="false" customHeight="true" outlineLevel="0" collapsed="false">
      <c r="A8" s="7" t="s">
        <v>12</v>
      </c>
      <c r="B8" s="8" t="n">
        <v>850</v>
      </c>
      <c r="C8" s="8" t="n">
        <v>310</v>
      </c>
      <c r="D8" s="9" t="n">
        <f aca="false">B8-C8</f>
        <v>540</v>
      </c>
      <c r="E8" s="10"/>
      <c r="F8" s="11" t="str">
        <f aca="false">IF(E8="","← Enter your CM formula",IF(ABS(E8-D8)&lt;0.01,"✓ Correct!","✗ Check formula"))</f>
        <v>← Enter your CM formula</v>
      </c>
    </row>
    <row r="9" customFormat="false" ht="4.5" hidden="false" customHeight="true" outlineLevel="0" collapsed="false"/>
    <row r="10" customFormat="false" ht="24" hidden="false" customHeight="true" outlineLevel="0" collapsed="false">
      <c r="A10" s="14" t="s">
        <v>13</v>
      </c>
      <c r="B10" s="14"/>
      <c r="C10" s="14"/>
      <c r="D10" s="15" t="s">
        <v>14</v>
      </c>
      <c r="E10" s="9" t="n">
        <f aca="false">MAX(D6:D8)</f>
        <v>540</v>
      </c>
    </row>
    <row r="11" customFormat="false" ht="24" hidden="false" customHeight="true" outlineLevel="0" collapsed="false">
      <c r="A11" s="16" t="s">
        <v>15</v>
      </c>
      <c r="B11" s="16"/>
      <c r="C11" s="16"/>
      <c r="D11" s="17" t="s">
        <v>16</v>
      </c>
      <c r="E11" s="18"/>
      <c r="F11" s="11" t="str">
        <f aca="false">IF(E11="","← Enter =MAX(E6:E8)",IF(ABS(E11-E10)&lt;0.01,"✓ Correct!","✗ Check formula"))</f>
        <v>← Enter =MAX(E6:E8)</v>
      </c>
    </row>
    <row r="13" customFormat="false" ht="19.5" hidden="false" customHeight="true" outlineLevel="0" collapsed="false">
      <c r="A13" s="19" t="s">
        <v>17</v>
      </c>
      <c r="B13" s="19"/>
      <c r="C13" s="19"/>
      <c r="D13" s="19"/>
      <c r="E13" s="19"/>
      <c r="F13" s="19"/>
    </row>
    <row r="14" customFormat="false" ht="19.5" hidden="false" customHeight="true" outlineLevel="0" collapsed="false">
      <c r="A14" s="20" t="s">
        <v>18</v>
      </c>
      <c r="B14" s="21" t="s">
        <v>19</v>
      </c>
      <c r="C14" s="21"/>
      <c r="D14" s="21"/>
      <c r="E14" s="22" t="s">
        <v>20</v>
      </c>
      <c r="F14" s="22"/>
    </row>
    <row r="15" customFormat="false" ht="19.5" hidden="false" customHeight="true" outlineLevel="0" collapsed="false">
      <c r="A15" s="20" t="s">
        <v>21</v>
      </c>
      <c r="B15" s="21" t="s">
        <v>22</v>
      </c>
      <c r="C15" s="21"/>
      <c r="D15" s="21"/>
      <c r="E15" s="22" t="s">
        <v>23</v>
      </c>
      <c r="F15" s="22"/>
    </row>
    <row r="16" customFormat="false" ht="19.5" hidden="false" customHeight="true" outlineLevel="0" collapsed="false">
      <c r="A16" s="20" t="s">
        <v>24</v>
      </c>
      <c r="B16" s="21" t="s">
        <v>25</v>
      </c>
      <c r="C16" s="21"/>
      <c r="D16" s="21"/>
      <c r="E16" s="22"/>
      <c r="F16" s="22"/>
    </row>
    <row r="17" customFormat="false" ht="19.5" hidden="false" customHeight="true" outlineLevel="0" collapsed="false"/>
  </sheetData>
  <mergeCells count="13">
    <mergeCell ref="A1:F1"/>
    <mergeCell ref="A2:F2"/>
    <mergeCell ref="A3:F3"/>
    <mergeCell ref="A4:F4"/>
    <mergeCell ref="A10:C10"/>
    <mergeCell ref="A11:C11"/>
    <mergeCell ref="A13:F13"/>
    <mergeCell ref="B14:D14"/>
    <mergeCell ref="E14:F14"/>
    <mergeCell ref="B15:D15"/>
    <mergeCell ref="E15:F15"/>
    <mergeCell ref="B16:D16"/>
    <mergeCell ref="E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22"/>
    <col collapsed="false" customWidth="true" hidden="false" outlineLevel="0" max="4" min="4" style="1" width="30"/>
  </cols>
  <sheetData>
    <row r="1" customFormat="false" ht="36" hidden="false" customHeight="true" outlineLevel="0" collapsed="false">
      <c r="A1" s="2" t="s">
        <v>0</v>
      </c>
      <c r="B1" s="2"/>
      <c r="C1" s="2"/>
      <c r="D1" s="2"/>
    </row>
    <row r="2" customFormat="false" ht="27.75" hidden="false" customHeight="true" outlineLevel="0" collapsed="false">
      <c r="A2" s="3" t="s">
        <v>1</v>
      </c>
      <c r="B2" s="3"/>
      <c r="C2" s="3"/>
      <c r="D2" s="3"/>
    </row>
    <row r="3" customFormat="false" ht="21.75" hidden="false" customHeight="true" outlineLevel="0" collapsed="false">
      <c r="A3" s="4" t="s">
        <v>26</v>
      </c>
      <c r="B3" s="4"/>
      <c r="C3" s="4"/>
      <c r="D3" s="4"/>
    </row>
    <row r="4" customFormat="false" ht="51.75" hidden="false" customHeight="true" outlineLevel="0" collapsed="false">
      <c r="A4" s="5" t="s">
        <v>27</v>
      </c>
      <c r="B4" s="5"/>
      <c r="C4" s="5"/>
      <c r="D4" s="5"/>
    </row>
    <row r="5" customFormat="false" ht="15" hidden="false" customHeight="true" outlineLevel="0" collapsed="false">
      <c r="A5" s="23" t="s">
        <v>28</v>
      </c>
      <c r="B5" s="23"/>
      <c r="C5" s="23"/>
      <c r="D5" s="23"/>
    </row>
    <row r="6" customFormat="false" ht="15" hidden="false" customHeight="true" outlineLevel="0" collapsed="false">
      <c r="A6" s="6" t="s">
        <v>29</v>
      </c>
      <c r="B6" s="6" t="s">
        <v>30</v>
      </c>
      <c r="C6" s="6" t="s">
        <v>31</v>
      </c>
      <c r="D6" s="6" t="s">
        <v>32</v>
      </c>
    </row>
    <row r="7" customFormat="false" ht="21.75" hidden="false" customHeight="true" outlineLevel="0" collapsed="false">
      <c r="A7" s="7" t="s">
        <v>33</v>
      </c>
      <c r="B7" s="9" t="n">
        <v>4500</v>
      </c>
      <c r="C7" s="10"/>
      <c r="D7" s="24" t="s">
        <v>34</v>
      </c>
    </row>
    <row r="8" customFormat="false" ht="21.75" hidden="false" customHeight="true" outlineLevel="0" collapsed="false">
      <c r="A8" s="12" t="s">
        <v>35</v>
      </c>
      <c r="B8" s="9" t="n">
        <v>8200</v>
      </c>
      <c r="C8" s="10"/>
      <c r="D8" s="25" t="s">
        <v>36</v>
      </c>
    </row>
    <row r="9" customFormat="false" ht="21.75" hidden="false" customHeight="true" outlineLevel="0" collapsed="false">
      <c r="A9" s="7" t="s">
        <v>37</v>
      </c>
      <c r="B9" s="9" t="n">
        <v>750</v>
      </c>
      <c r="C9" s="10"/>
      <c r="D9" s="24" t="s">
        <v>38</v>
      </c>
    </row>
    <row r="10" customFormat="false" ht="21.75" hidden="false" customHeight="true" outlineLevel="0" collapsed="false">
      <c r="A10" s="12" t="s">
        <v>39</v>
      </c>
      <c r="B10" s="9" t="n">
        <v>500</v>
      </c>
      <c r="C10" s="10"/>
      <c r="D10" s="25" t="s">
        <v>40</v>
      </c>
    </row>
    <row r="11" customFormat="false" ht="21.75" hidden="false" customHeight="true" outlineLevel="0" collapsed="false">
      <c r="A11" s="7" t="s">
        <v>41</v>
      </c>
      <c r="B11" s="9" t="n">
        <v>300</v>
      </c>
      <c r="C11" s="10"/>
      <c r="D11" s="24" t="s">
        <v>42</v>
      </c>
    </row>
    <row r="12" customFormat="false" ht="25.5" hidden="false" customHeight="true" outlineLevel="0" collapsed="false">
      <c r="A12" s="26" t="s">
        <v>43</v>
      </c>
      <c r="B12" s="27" t="n">
        <f aca="false">SUM(B7:B11)</f>
        <v>14250</v>
      </c>
      <c r="C12" s="28" t="n">
        <f aca="false">SUM(C7:C11)</f>
        <v>0</v>
      </c>
      <c r="D12" s="29" t="str">
        <f aca="false">IF(C12=0,"← Enter fixed costs above",IF(ABS(C12-B12)&lt;0.01,"✓ Total Correct!","✗ Check your entries"))</f>
        <v>← Enter fixed costs above</v>
      </c>
    </row>
    <row r="13" customFormat="false" ht="7.5" hidden="false" customHeight="true" outlineLevel="0" collapsed="false"/>
    <row r="14" customFormat="false" ht="15" hidden="false" customHeight="true" outlineLevel="0" collapsed="false">
      <c r="A14" s="23" t="s">
        <v>44</v>
      </c>
      <c r="B14" s="23"/>
      <c r="C14" s="23"/>
      <c r="D14" s="23"/>
    </row>
    <row r="15" customFormat="false" ht="15" hidden="false" customHeight="true" outlineLevel="0" collapsed="false">
      <c r="A15" s="6" t="s">
        <v>45</v>
      </c>
      <c r="B15" s="6" t="s">
        <v>46</v>
      </c>
      <c r="C15" s="6" t="s">
        <v>47</v>
      </c>
      <c r="D15" s="6" t="s">
        <v>48</v>
      </c>
    </row>
    <row r="16" customFormat="false" ht="24" hidden="false" customHeight="true" outlineLevel="0" collapsed="false">
      <c r="A16" s="12" t="s">
        <v>49</v>
      </c>
      <c r="B16" s="9" t="n">
        <f aca="false">Tab1_ContributionMargin!D6</f>
        <v>325</v>
      </c>
      <c r="C16" s="30"/>
      <c r="D16" s="31" t="s">
        <v>50</v>
      </c>
    </row>
    <row r="17" customFormat="false" ht="18" hidden="false" customHeight="true" outlineLevel="0" collapsed="false">
      <c r="A17" s="32" t="s">
        <v>51</v>
      </c>
      <c r="B17" s="32"/>
      <c r="C17" s="32"/>
      <c r="D17" s="32"/>
    </row>
    <row r="18" customFormat="false" ht="7.5" hidden="false" customHeight="true" outlineLevel="0" collapsed="false"/>
    <row r="19" customFormat="false" ht="15" hidden="false" customHeight="true" outlineLevel="0" collapsed="false">
      <c r="A19" s="23" t="s">
        <v>52</v>
      </c>
      <c r="B19" s="23"/>
      <c r="C19" s="23"/>
      <c r="D19" s="23"/>
    </row>
    <row r="20" customFormat="false" ht="15" hidden="false" customHeight="true" outlineLevel="0" collapsed="false">
      <c r="A20" s="6" t="s">
        <v>53</v>
      </c>
      <c r="B20" s="6" t="s">
        <v>54</v>
      </c>
      <c r="C20" s="6" t="s">
        <v>55</v>
      </c>
      <c r="D20" s="6" t="s">
        <v>56</v>
      </c>
    </row>
    <row r="21" customFormat="false" ht="24" hidden="false" customHeight="true" outlineLevel="0" collapsed="false">
      <c r="A21" s="7" t="s">
        <v>57</v>
      </c>
      <c r="B21" s="33" t="n">
        <f aca="false">B12/B16</f>
        <v>43.8461538461539</v>
      </c>
      <c r="C21" s="34"/>
      <c r="D21" s="35" t="s">
        <v>58</v>
      </c>
    </row>
    <row r="22" customFormat="false" ht="24" hidden="false" customHeight="true" outlineLevel="0" collapsed="false">
      <c r="A22" s="36" t="s">
        <v>59</v>
      </c>
      <c r="B22" s="37" t="n">
        <f aca="false">CEILING(B12/B16,1)</f>
        <v>44</v>
      </c>
      <c r="C22" s="38"/>
      <c r="D22" s="39" t="s">
        <v>60</v>
      </c>
    </row>
    <row r="23" customFormat="false" ht="31.5" hidden="false" customHeight="true" outlineLevel="0" collapsed="false">
      <c r="A23" s="40" t="s">
        <v>61</v>
      </c>
      <c r="B23" s="40"/>
      <c r="C23" s="41"/>
      <c r="D23" s="42" t="s">
        <v>62</v>
      </c>
    </row>
    <row r="25" customFormat="false" ht="19.5" hidden="false" customHeight="true" outlineLevel="0" collapsed="false">
      <c r="A25" s="19" t="s">
        <v>63</v>
      </c>
      <c r="B25" s="19"/>
      <c r="C25" s="19"/>
      <c r="D25" s="19"/>
    </row>
    <row r="26" customFormat="false" ht="19.5" hidden="false" customHeight="true" outlineLevel="0" collapsed="false">
      <c r="A26" s="20" t="s">
        <v>64</v>
      </c>
      <c r="B26" s="21" t="s">
        <v>65</v>
      </c>
      <c r="C26" s="21"/>
      <c r="D26" s="43" t="s">
        <v>66</v>
      </c>
    </row>
    <row r="27" customFormat="false" ht="19.5" hidden="false" customHeight="true" outlineLevel="0" collapsed="false">
      <c r="A27" s="20" t="s">
        <v>67</v>
      </c>
      <c r="B27" s="21" t="s">
        <v>68</v>
      </c>
      <c r="C27" s="21"/>
      <c r="D27" s="43" t="s">
        <v>69</v>
      </c>
    </row>
    <row r="28" customFormat="false" ht="19.5" hidden="false" customHeight="true" outlineLevel="0" collapsed="false">
      <c r="A28" s="20" t="s">
        <v>70</v>
      </c>
      <c r="B28" s="21" t="s">
        <v>71</v>
      </c>
      <c r="C28" s="21"/>
      <c r="D28" s="43" t="n">
        <f aca="false">Tab1_ContributionMargin!D6</f>
        <v>325</v>
      </c>
    </row>
  </sheetData>
  <mergeCells count="13">
    <mergeCell ref="A1:D1"/>
    <mergeCell ref="A2:D2"/>
    <mergeCell ref="A3:D3"/>
    <mergeCell ref="A4:D4"/>
    <mergeCell ref="A5:D5"/>
    <mergeCell ref="A14:D14"/>
    <mergeCell ref="A17:D17"/>
    <mergeCell ref="A19:D19"/>
    <mergeCell ref="A23:B23"/>
    <mergeCell ref="A25:D25"/>
    <mergeCell ref="B26:C26"/>
    <mergeCell ref="B27:C27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22"/>
    <col collapsed="false" customWidth="true" hidden="false" outlineLevel="0" max="4" min="4" style="1" width="32"/>
  </cols>
  <sheetData>
    <row r="1" customFormat="false" ht="36" hidden="false" customHeight="true" outlineLevel="0" collapsed="false">
      <c r="A1" s="2" t="s">
        <v>0</v>
      </c>
      <c r="B1" s="2"/>
      <c r="C1" s="2"/>
      <c r="D1" s="2"/>
    </row>
    <row r="2" customFormat="false" ht="27.75" hidden="false" customHeight="true" outlineLevel="0" collapsed="false">
      <c r="A2" s="3" t="s">
        <v>1</v>
      </c>
      <c r="B2" s="3"/>
      <c r="C2" s="3"/>
      <c r="D2" s="3"/>
    </row>
    <row r="3" customFormat="false" ht="21.75" hidden="false" customHeight="true" outlineLevel="0" collapsed="false">
      <c r="A3" s="4" t="s">
        <v>72</v>
      </c>
      <c r="B3" s="4"/>
      <c r="C3" s="4"/>
      <c r="D3" s="4"/>
    </row>
    <row r="4" customFormat="false" ht="51.75" hidden="false" customHeight="true" outlineLevel="0" collapsed="false">
      <c r="A4" s="5" t="s">
        <v>73</v>
      </c>
      <c r="B4" s="5"/>
      <c r="C4" s="5"/>
      <c r="D4" s="5"/>
    </row>
    <row r="5" customFormat="false" ht="15" hidden="false" customHeight="true" outlineLevel="0" collapsed="false">
      <c r="A5" s="23" t="s">
        <v>74</v>
      </c>
      <c r="B5" s="23"/>
      <c r="C5" s="23"/>
      <c r="D5" s="23"/>
    </row>
    <row r="6" customFormat="false" ht="15" hidden="false" customHeight="true" outlineLevel="0" collapsed="false">
      <c r="A6" s="6" t="s">
        <v>75</v>
      </c>
      <c r="B6" s="6" t="s">
        <v>76</v>
      </c>
      <c r="C6" s="6" t="s">
        <v>31</v>
      </c>
      <c r="D6" s="6" t="s">
        <v>48</v>
      </c>
    </row>
    <row r="7" customFormat="false" ht="21.75" hidden="false" customHeight="true" outlineLevel="0" collapsed="false">
      <c r="A7" s="7" t="s">
        <v>77</v>
      </c>
      <c r="B7" s="37" t="n">
        <v>55</v>
      </c>
      <c r="C7" s="44"/>
      <c r="D7" s="45" t="s">
        <v>78</v>
      </c>
    </row>
    <row r="8" customFormat="false" ht="21.75" hidden="false" customHeight="true" outlineLevel="0" collapsed="false">
      <c r="A8" s="12" t="s">
        <v>79</v>
      </c>
      <c r="B8" s="9" t="n">
        <v>500</v>
      </c>
      <c r="C8" s="10"/>
      <c r="D8" s="46" t="s">
        <v>80</v>
      </c>
    </row>
    <row r="9" customFormat="false" ht="21.75" hidden="false" customHeight="true" outlineLevel="0" collapsed="false">
      <c r="A9" s="7" t="s">
        <v>81</v>
      </c>
      <c r="B9" s="9" t="n">
        <v>175</v>
      </c>
      <c r="C9" s="10"/>
      <c r="D9" s="45" t="s">
        <v>82</v>
      </c>
    </row>
    <row r="10" customFormat="false" ht="21.75" hidden="false" customHeight="true" outlineLevel="0" collapsed="false">
      <c r="A10" s="12" t="s">
        <v>83</v>
      </c>
      <c r="B10" s="9" t="n">
        <v>14250</v>
      </c>
      <c r="C10" s="10"/>
      <c r="D10" s="46" t="s">
        <v>84</v>
      </c>
    </row>
    <row r="11" customFormat="false" ht="7.5" hidden="false" customHeight="true" outlineLevel="0" collapsed="false"/>
    <row r="12" customFormat="false" ht="15" hidden="false" customHeight="true" outlineLevel="0" collapsed="false">
      <c r="A12" s="23" t="s">
        <v>85</v>
      </c>
      <c r="B12" s="23"/>
      <c r="C12" s="23"/>
      <c r="D12" s="23"/>
    </row>
    <row r="13" customFormat="false" ht="15" hidden="false" customHeight="true" outlineLevel="0" collapsed="false">
      <c r="A13" s="6" t="s">
        <v>86</v>
      </c>
      <c r="B13" s="6" t="s">
        <v>54</v>
      </c>
      <c r="C13" s="6" t="s">
        <v>55</v>
      </c>
      <c r="D13" s="6" t="s">
        <v>87</v>
      </c>
    </row>
    <row r="14" customFormat="false" ht="24" hidden="false" customHeight="true" outlineLevel="0" collapsed="false">
      <c r="A14" s="7" t="s">
        <v>88</v>
      </c>
      <c r="B14" s="9" t="n">
        <f aca="false">B7*B8</f>
        <v>27500</v>
      </c>
      <c r="C14" s="47"/>
      <c r="D14" s="48" t="s">
        <v>89</v>
      </c>
    </row>
    <row r="15" customFormat="false" ht="24" hidden="false" customHeight="true" outlineLevel="0" collapsed="false">
      <c r="A15" s="12" t="s">
        <v>90</v>
      </c>
      <c r="B15" s="9" t="n">
        <f aca="false">B7*B9</f>
        <v>9625</v>
      </c>
      <c r="C15" s="47"/>
      <c r="D15" s="49" t="s">
        <v>91</v>
      </c>
    </row>
    <row r="16" customFormat="false" ht="24" hidden="false" customHeight="true" outlineLevel="0" collapsed="false">
      <c r="A16" s="7" t="s">
        <v>92</v>
      </c>
      <c r="B16" s="9" t="n">
        <f aca="false">B10</f>
        <v>14250</v>
      </c>
      <c r="C16" s="47"/>
      <c r="D16" s="48" t="s">
        <v>93</v>
      </c>
    </row>
    <row r="17" customFormat="false" ht="24" hidden="false" customHeight="true" outlineLevel="0" collapsed="false">
      <c r="A17" s="50" t="s">
        <v>94</v>
      </c>
      <c r="B17" s="9" t="n">
        <f aca="false">B14-B15-B16</f>
        <v>3625</v>
      </c>
      <c r="C17" s="51"/>
      <c r="D17" s="49" t="s">
        <v>95</v>
      </c>
    </row>
    <row r="18" customFormat="false" ht="7.5" hidden="false" customHeight="true" outlineLevel="0" collapsed="false"/>
    <row r="19" customFormat="false" ht="15" hidden="false" customHeight="true" outlineLevel="0" collapsed="false">
      <c r="A19" s="23" t="s">
        <v>96</v>
      </c>
      <c r="B19" s="23"/>
      <c r="C19" s="23"/>
      <c r="D19" s="23"/>
    </row>
    <row r="20" customFormat="false" ht="27.75" hidden="false" customHeight="true" outlineLevel="0" collapsed="false">
      <c r="A20" s="40" t="s">
        <v>97</v>
      </c>
      <c r="B20" s="40"/>
      <c r="C20" s="52" t="str">
        <f aca="false">IF(B17&gt;0,"PROFIT",IF(B17&lt;0,"LOSS","BREAKEVEN"))</f>
        <v>PROFIT</v>
      </c>
      <c r="D20" s="53" t="s">
        <v>98</v>
      </c>
    </row>
    <row r="21" customFormat="false" ht="27.75" hidden="false" customHeight="true" outlineLevel="0" collapsed="false">
      <c r="A21" s="54" t="s">
        <v>99</v>
      </c>
      <c r="B21" s="54"/>
      <c r="C21" s="55"/>
      <c r="D21" s="56" t="str">
        <f aca="false">IF(C21="","← Build your IF formula in C21","")&amp;IF(AND(C21&lt;&gt;"",C21=C20),"✓ Correct!",IF(C21&lt;&gt;"","✗ Check logic",""))</f>
        <v>← Build your IF formula in C21</v>
      </c>
    </row>
    <row r="23" customFormat="false" ht="7.5" hidden="false" customHeight="true" outlineLevel="0" collapsed="false"/>
    <row r="24" customFormat="false" ht="24" hidden="false" customHeight="true" outlineLevel="0" collapsed="false">
      <c r="A24" s="57" t="s">
        <v>100</v>
      </c>
      <c r="B24" s="57"/>
      <c r="C24" s="57"/>
      <c r="D24" s="57"/>
    </row>
    <row r="25" customFormat="false" ht="19.5" hidden="false" customHeight="true" outlineLevel="0" collapsed="false">
      <c r="A25" s="58" t="s">
        <v>101</v>
      </c>
      <c r="B25" s="58"/>
      <c r="C25" s="58"/>
      <c r="D25" s="58"/>
    </row>
    <row r="26" customFormat="false" ht="19.5" hidden="false" customHeight="true" outlineLevel="0" collapsed="false">
      <c r="A26" s="58" t="s">
        <v>102</v>
      </c>
      <c r="B26" s="58"/>
      <c r="C26" s="58"/>
      <c r="D26" s="58"/>
    </row>
    <row r="27" customFormat="false" ht="19.5" hidden="false" customHeight="true" outlineLevel="0" collapsed="false">
      <c r="A27" s="59"/>
      <c r="B27" s="59"/>
      <c r="C27" s="59"/>
      <c r="D27" s="59"/>
    </row>
    <row r="28" customFormat="false" ht="19.5" hidden="false" customHeight="true" outlineLevel="0" collapsed="false">
      <c r="A28" s="60" t="s">
        <v>103</v>
      </c>
      <c r="B28" s="60"/>
      <c r="C28" s="60"/>
      <c r="D28" s="60"/>
    </row>
    <row r="29" customFormat="false" ht="19.5" hidden="false" customHeight="true" outlineLevel="0" collapsed="false">
      <c r="A29" s="60" t="s">
        <v>104</v>
      </c>
      <c r="B29" s="60"/>
      <c r="C29" s="60"/>
      <c r="D29" s="60"/>
    </row>
    <row r="30" customFormat="false" ht="19.5" hidden="false" customHeight="true" outlineLevel="0" collapsed="false">
      <c r="A30" s="58" t="s">
        <v>105</v>
      </c>
      <c r="B30" s="58"/>
      <c r="C30" s="58"/>
      <c r="D30" s="58"/>
    </row>
    <row r="31" customFormat="false" ht="19.5" hidden="false" customHeight="true" outlineLevel="0" collapsed="false">
      <c r="A31" s="59"/>
      <c r="B31" s="59"/>
      <c r="C31" s="59"/>
      <c r="D31" s="59"/>
    </row>
    <row r="32" customFormat="false" ht="19.5" hidden="false" customHeight="true" outlineLevel="0" collapsed="false">
      <c r="A32" s="58" t="s">
        <v>106</v>
      </c>
      <c r="B32" s="58"/>
      <c r="C32" s="58"/>
      <c r="D32" s="58"/>
    </row>
    <row r="34" customFormat="false" ht="21.75" hidden="false" customHeight="true" outlineLevel="0" collapsed="false">
      <c r="A34" s="7" t="s">
        <v>107</v>
      </c>
      <c r="B34" s="61" t="n">
        <v>0.02</v>
      </c>
      <c r="C34" s="62"/>
      <c r="D34" s="45" t="s">
        <v>108</v>
      </c>
    </row>
    <row r="35" customFormat="false" ht="21.75" hidden="false" customHeight="true" outlineLevel="0" collapsed="false">
      <c r="A35" s="12" t="s">
        <v>109</v>
      </c>
      <c r="B35" s="63" t="n">
        <v>5000</v>
      </c>
      <c r="C35" s="47"/>
      <c r="D35" s="46" t="s">
        <v>110</v>
      </c>
    </row>
    <row r="36" customFormat="false" ht="21.75" hidden="false" customHeight="true" outlineLevel="0" collapsed="false">
      <c r="A36" s="7" t="s">
        <v>111</v>
      </c>
      <c r="B36" s="9"/>
      <c r="C36" s="47"/>
      <c r="D36" s="45" t="s">
        <v>112</v>
      </c>
    </row>
    <row r="37" customFormat="false" ht="21.75" hidden="false" customHeight="true" outlineLevel="0" collapsed="false">
      <c r="A37" s="12" t="s">
        <v>113</v>
      </c>
      <c r="B37" s="9"/>
      <c r="C37" s="47"/>
      <c r="D37" s="46" t="s">
        <v>114</v>
      </c>
    </row>
    <row r="38" customFormat="false" ht="21.75" hidden="false" customHeight="true" outlineLevel="0" collapsed="false">
      <c r="A38" s="7" t="s">
        <v>115</v>
      </c>
      <c r="B38" s="9"/>
      <c r="C38" s="47"/>
      <c r="D38" s="45" t="s">
        <v>116</v>
      </c>
    </row>
    <row r="39" customFormat="false" ht="21.75" hidden="false" customHeight="true" outlineLevel="0" collapsed="false">
      <c r="A39" s="12" t="s">
        <v>117</v>
      </c>
      <c r="B39" s="37"/>
      <c r="C39" s="38"/>
      <c r="D39" s="46" t="s">
        <v>118</v>
      </c>
    </row>
    <row r="41" customFormat="false" ht="19.5" hidden="false" customHeight="true" outlineLevel="0" collapsed="false">
      <c r="A41" s="19" t="s">
        <v>119</v>
      </c>
      <c r="B41" s="19"/>
      <c r="C41" s="19"/>
      <c r="D41" s="19"/>
    </row>
    <row r="42" customFormat="false" ht="19.5" hidden="false" customHeight="true" outlineLevel="0" collapsed="false">
      <c r="A42" s="64" t="s">
        <v>120</v>
      </c>
      <c r="B42" s="64"/>
      <c r="C42" s="64"/>
      <c r="D42" s="64"/>
    </row>
  </sheetData>
  <mergeCells count="20">
    <mergeCell ref="A1:D1"/>
    <mergeCell ref="A2:D2"/>
    <mergeCell ref="A3:D3"/>
    <mergeCell ref="A4:D4"/>
    <mergeCell ref="A5:D5"/>
    <mergeCell ref="A12:D12"/>
    <mergeCell ref="A19:D19"/>
    <mergeCell ref="A20:B20"/>
    <mergeCell ref="A21:B21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41:D41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2"/>
    <col collapsed="false" customWidth="true" hidden="false" outlineLevel="0" max="3" min="3" style="1" width="30"/>
  </cols>
  <sheetData>
    <row r="1" customFormat="false" ht="36" hidden="false" customHeight="true" outlineLevel="0" collapsed="false">
      <c r="A1" s="2" t="s">
        <v>121</v>
      </c>
      <c r="B1" s="2"/>
      <c r="C1" s="2"/>
    </row>
    <row r="2" customFormat="false" ht="15" hidden="false" customHeight="true" outlineLevel="0" collapsed="false">
      <c r="A2" s="65" t="s">
        <v>122</v>
      </c>
      <c r="B2" s="65"/>
      <c r="C2" s="65"/>
    </row>
    <row r="4" customFormat="false" ht="7.5" hidden="false" customHeight="true" outlineLevel="0" collapsed="false"/>
    <row r="5" customFormat="false" ht="15" hidden="false" customHeight="true" outlineLevel="0" collapsed="false">
      <c r="A5" s="23" t="s">
        <v>123</v>
      </c>
      <c r="B5" s="23"/>
      <c r="C5" s="23"/>
    </row>
    <row r="6" customFormat="false" ht="15" hidden="false" customHeight="true" outlineLevel="0" collapsed="false">
      <c r="A6" s="6" t="s">
        <v>75</v>
      </c>
      <c r="B6" s="6" t="s">
        <v>124</v>
      </c>
      <c r="C6" s="6" t="s">
        <v>125</v>
      </c>
    </row>
    <row r="7" customFormat="false" ht="19.5" hidden="false" customHeight="true" outlineLevel="0" collapsed="false">
      <c r="A7" s="7" t="s">
        <v>126</v>
      </c>
      <c r="B7" s="66" t="s">
        <v>127</v>
      </c>
      <c r="C7" s="67" t="s">
        <v>128</v>
      </c>
    </row>
    <row r="8" customFormat="false" ht="19.5" hidden="false" customHeight="true" outlineLevel="0" collapsed="false">
      <c r="A8" s="12" t="s">
        <v>129</v>
      </c>
      <c r="B8" s="66" t="s">
        <v>130</v>
      </c>
      <c r="C8" s="68" t="s">
        <v>131</v>
      </c>
    </row>
    <row r="9" customFormat="false" ht="19.5" hidden="false" customHeight="true" outlineLevel="0" collapsed="false">
      <c r="A9" s="7" t="s">
        <v>132</v>
      </c>
      <c r="B9" s="66" t="s">
        <v>133</v>
      </c>
      <c r="C9" s="67" t="s">
        <v>134</v>
      </c>
    </row>
    <row r="10" customFormat="false" ht="19.5" hidden="false" customHeight="true" outlineLevel="0" collapsed="false">
      <c r="A10" s="12" t="s">
        <v>135</v>
      </c>
      <c r="B10" s="66" t="s">
        <v>133</v>
      </c>
      <c r="C10" s="68" t="s">
        <v>136</v>
      </c>
    </row>
    <row r="11" customFormat="false" ht="7.5" hidden="false" customHeight="true" outlineLevel="0" collapsed="false"/>
    <row r="12" customFormat="false" ht="15" hidden="false" customHeight="true" outlineLevel="0" collapsed="false">
      <c r="A12" s="23" t="s">
        <v>137</v>
      </c>
      <c r="B12" s="23"/>
      <c r="C12" s="23"/>
    </row>
    <row r="13" customFormat="false" ht="15" hidden="false" customHeight="true" outlineLevel="0" collapsed="false">
      <c r="A13" s="6" t="s">
        <v>75</v>
      </c>
      <c r="B13" s="6" t="s">
        <v>124</v>
      </c>
      <c r="C13" s="6" t="s">
        <v>125</v>
      </c>
    </row>
    <row r="14" customFormat="false" ht="19.5" hidden="false" customHeight="true" outlineLevel="0" collapsed="false">
      <c r="A14" s="7" t="s">
        <v>92</v>
      </c>
      <c r="B14" s="66" t="s">
        <v>138</v>
      </c>
      <c r="C14" s="67" t="s">
        <v>139</v>
      </c>
    </row>
    <row r="15" customFormat="false" ht="19.5" hidden="false" customHeight="true" outlineLevel="0" collapsed="false">
      <c r="A15" s="12" t="s">
        <v>140</v>
      </c>
      <c r="B15" s="66" t="s">
        <v>127</v>
      </c>
      <c r="C15" s="69" t="s">
        <v>141</v>
      </c>
    </row>
    <row r="16" customFormat="false" ht="19.5" hidden="false" customHeight="true" outlineLevel="0" collapsed="false">
      <c r="A16" s="7" t="s">
        <v>142</v>
      </c>
      <c r="B16" s="66" t="s">
        <v>143</v>
      </c>
      <c r="C16" s="67" t="s">
        <v>144</v>
      </c>
    </row>
    <row r="17" customFormat="false" ht="19.5" hidden="false" customHeight="true" outlineLevel="0" collapsed="false">
      <c r="A17" s="12" t="s">
        <v>145</v>
      </c>
      <c r="B17" s="66" t="s">
        <v>146</v>
      </c>
      <c r="C17" s="68" t="s">
        <v>147</v>
      </c>
    </row>
    <row r="18" customFormat="false" ht="7.5" hidden="false" customHeight="true" outlineLevel="0" collapsed="false"/>
    <row r="19" customFormat="false" ht="15" hidden="false" customHeight="true" outlineLevel="0" collapsed="false">
      <c r="A19" s="23" t="s">
        <v>148</v>
      </c>
      <c r="B19" s="23"/>
      <c r="C19" s="23"/>
    </row>
    <row r="20" customFormat="false" ht="15" hidden="false" customHeight="true" outlineLevel="0" collapsed="false">
      <c r="A20" s="6" t="s">
        <v>75</v>
      </c>
      <c r="B20" s="6" t="s">
        <v>124</v>
      </c>
      <c r="C20" s="6" t="s">
        <v>125</v>
      </c>
    </row>
    <row r="21" customFormat="false" ht="19.5" hidden="false" customHeight="true" outlineLevel="0" collapsed="false">
      <c r="A21" s="7" t="s">
        <v>88</v>
      </c>
      <c r="B21" s="66" t="s">
        <v>149</v>
      </c>
      <c r="C21" s="67" t="s">
        <v>150</v>
      </c>
    </row>
    <row r="22" customFormat="false" ht="19.5" hidden="false" customHeight="true" outlineLevel="0" collapsed="false">
      <c r="A22" s="12" t="s">
        <v>90</v>
      </c>
      <c r="B22" s="66" t="s">
        <v>151</v>
      </c>
      <c r="C22" s="68" t="s">
        <v>152</v>
      </c>
    </row>
    <row r="23" customFormat="false" ht="19.5" hidden="false" customHeight="true" outlineLevel="0" collapsed="false">
      <c r="A23" s="7" t="s">
        <v>92</v>
      </c>
      <c r="B23" s="66" t="s">
        <v>138</v>
      </c>
      <c r="C23" s="67" t="s">
        <v>153</v>
      </c>
    </row>
    <row r="24" customFormat="false" ht="19.5" hidden="false" customHeight="true" outlineLevel="0" collapsed="false">
      <c r="A24" s="12" t="s">
        <v>94</v>
      </c>
      <c r="B24" s="66" t="s">
        <v>154</v>
      </c>
      <c r="C24" s="68" t="s">
        <v>155</v>
      </c>
    </row>
    <row r="25" customFormat="false" ht="19.5" hidden="false" customHeight="true" outlineLevel="0" collapsed="false">
      <c r="A25" s="7" t="s">
        <v>156</v>
      </c>
      <c r="B25" s="66" t="s">
        <v>157</v>
      </c>
      <c r="C25" s="67" t="s">
        <v>158</v>
      </c>
    </row>
    <row r="26" customFormat="false" ht="7.5" hidden="false" customHeight="true" outlineLevel="0" collapsed="false"/>
    <row r="27" customFormat="false" ht="15" hidden="false" customHeight="true" outlineLevel="0" collapsed="false">
      <c r="A27" s="23" t="s">
        <v>159</v>
      </c>
      <c r="B27" s="23"/>
      <c r="C27" s="23"/>
    </row>
    <row r="28" customFormat="false" ht="15" hidden="false" customHeight="true" outlineLevel="0" collapsed="false">
      <c r="A28" s="6" t="s">
        <v>75</v>
      </c>
      <c r="B28" s="6" t="s">
        <v>124</v>
      </c>
      <c r="C28" s="6" t="s">
        <v>125</v>
      </c>
    </row>
    <row r="29" customFormat="false" ht="19.5" hidden="false" customHeight="true" outlineLevel="0" collapsed="false">
      <c r="A29" s="7" t="s">
        <v>111</v>
      </c>
      <c r="B29" s="66" t="s">
        <v>160</v>
      </c>
      <c r="C29" s="67" t="s">
        <v>161</v>
      </c>
    </row>
    <row r="30" customFormat="false" ht="19.5" hidden="false" customHeight="true" outlineLevel="0" collapsed="false">
      <c r="A30" s="12" t="s">
        <v>162</v>
      </c>
      <c r="B30" s="66" t="s">
        <v>163</v>
      </c>
      <c r="C30" s="68" t="s">
        <v>164</v>
      </c>
    </row>
    <row r="31" customFormat="false" ht="19.5" hidden="false" customHeight="true" outlineLevel="0" collapsed="false">
      <c r="A31" s="7" t="s">
        <v>165</v>
      </c>
      <c r="B31" s="66" t="s">
        <v>166</v>
      </c>
      <c r="C31" s="67" t="s">
        <v>167</v>
      </c>
    </row>
    <row r="32" customFormat="false" ht="19.5" hidden="false" customHeight="true" outlineLevel="0" collapsed="false">
      <c r="A32" s="12" t="s">
        <v>117</v>
      </c>
      <c r="B32" s="66" t="s">
        <v>168</v>
      </c>
      <c r="C32" s="68" t="s">
        <v>169</v>
      </c>
    </row>
    <row r="33" customFormat="false" ht="19.5" hidden="false" customHeight="true" outlineLevel="0" collapsed="false">
      <c r="A33" s="7" t="s">
        <v>170</v>
      </c>
      <c r="B33" s="66" t="s">
        <v>171</v>
      </c>
      <c r="C33" s="67" t="s">
        <v>172</v>
      </c>
    </row>
    <row r="35" customFormat="false" ht="15" hidden="false" customHeight="true" outlineLevel="0" collapsed="false">
      <c r="A35" s="70" t="s">
        <v>173</v>
      </c>
      <c r="B35" s="70"/>
      <c r="C35" s="70"/>
    </row>
  </sheetData>
  <mergeCells count="7">
    <mergeCell ref="A1:C1"/>
    <mergeCell ref="A2:C2"/>
    <mergeCell ref="A5:C5"/>
    <mergeCell ref="A12:C12"/>
    <mergeCell ref="A19:C19"/>
    <mergeCell ref="A27:C27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2026-03-03T19:48:23Z</dcterms:created>
  <dc:creator>openpyxl</dc:creator>
  <dc:description/>
  <dc:language>en-US</dc:language>
  <cp:lastModifiedBy/>
  <dcterms:modified xsi:type="dcterms:W3CDTF">2026-03-03T19:49:12Z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