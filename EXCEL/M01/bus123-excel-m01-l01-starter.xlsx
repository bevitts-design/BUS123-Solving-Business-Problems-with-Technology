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harge Analysis" sheetId="3" state="visible" r:id="rId3"/>
    <sheet xmlns:r="http://schemas.openxmlformats.org/officeDocument/2006/relationships" name="Challenge - Payer Mix" sheetId="4" state="visible" r:id="rId4"/>
    <sheet xmlns:r="http://schemas.openxmlformats.org/officeDocument/2006/relationships" name="FormulaReferenceCard" sheetId="5" state="visible" r:id="rId5"/>
  </sheets>
  <definedNames/>
</workbook>
</file>

<file path=xl/styles.xml><?xml version="1.0" encoding="utf-8"?>
<styleSheet xmlns="http://schemas.openxmlformats.org/spreadsheetml/2006/main">
  <numFmts count="2">
    <numFmt numFmtId="164" formatCode="\$#,##0"/>
    <numFmt numFmtId="165" formatCode="$#,##0"/>
  </numFmts>
  <fonts count="16">
    <font>
      <name val="Calibri"/>
      <color theme="1"/>
      <sz val="11"/>
    </font>
    <font>
      <name val="Calibri"/>
      <b val="1"/>
      <color rgb="FFFFFFFF"/>
      <sz val="20"/>
    </font>
    <font>
      <name val="Calibri"/>
      <i val="1"/>
      <color rgb="FFFFFFFF"/>
      <sz val="11"/>
    </font>
    <font>
      <name val="Calibri"/>
      <b val="1"/>
      <color rgb="FF4A7C5E"/>
      <sz val="13"/>
    </font>
    <font>
      <name val="Calibri"/>
      <color rgb="FF1A1F2C"/>
      <sz val="11"/>
    </font>
    <font>
      <name val="Calibri"/>
      <b val="1"/>
      <color rgb="FF1A1F2C"/>
      <sz val="11"/>
    </font>
    <font>
      <name val="Calibri"/>
      <i val="1"/>
      <color rgb="FF1A1F2C"/>
      <sz val="11"/>
    </font>
    <font>
      <name val="Calibri"/>
      <b val="1"/>
      <color rgb="FFB8843D"/>
      <sz val="11"/>
    </font>
    <font>
      <name val="Calibri"/>
      <i val="1"/>
      <color rgb="FF7A8290"/>
      <sz val="10"/>
    </font>
    <font>
      <name val="Calibri"/>
      <b val="1"/>
      <color rgb="FF0000FF"/>
      <sz val="11"/>
    </font>
    <font>
      <name val="Calibri"/>
      <b val="1"/>
      <color rgb="FF4A7C5E"/>
      <sz val="11"/>
    </font>
    <font>
      <name val="Consolas"/>
      <color rgb="FF4A7C5E"/>
      <sz val="10"/>
    </font>
    <font>
      <name val="Calibri"/>
      <b val="1"/>
      <color rgb="FF355773"/>
      <sz val="11"/>
    </font>
    <font>
      <name val="Calibri"/>
      <color rgb="FFFFFFFF"/>
      <sz val="11"/>
    </font>
    <font>
      <name val="Calibri"/>
      <color rgb="FF7A8290"/>
      <sz val="10"/>
    </font>
    <font>
      <name val="Calibri"/>
      <b val="1"/>
      <color rgb="FF1A1F2C"/>
      <sz val="10"/>
    </font>
  </fonts>
  <fills count="18">
    <fill>
      <patternFill/>
    </fill>
    <fill>
      <patternFill patternType="gray125"/>
    </fill>
    <fill>
      <patternFill patternType="solid">
        <fgColor rgb="FF1A1F2C"/>
      </patternFill>
    </fill>
    <fill>
      <patternFill patternType="solid">
        <fgColor rgb="FFB8843D"/>
      </patternFill>
    </fill>
    <fill>
      <patternFill patternType="solid">
        <fgColor rgb="FF9C4A2B"/>
      </patternFill>
    </fill>
    <fill>
      <patternFill patternType="solid">
        <fgColor rgb="FF4A7C5E"/>
      </patternFill>
    </fill>
    <fill>
      <patternFill patternType="solid">
        <fgColor rgb="FFFFD966"/>
      </patternFill>
    </fill>
    <fill>
      <patternFill patternType="solid">
        <fgColor rgb="FFC6E6D2"/>
      </patternFill>
    </fill>
    <fill>
      <patternFill patternType="solid">
        <fgColor rgb="FFF3C9BB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2"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3" fillId="0" borderId="0" pivotButton="0" quotePrefix="0" xfId="0"/>
    <xf numFmtId="0" fontId="6" fillId="9" borderId="0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right" vertical="center"/>
    </xf>
    <xf numFmtId="0" fontId="4" fillId="0" borderId="0" pivotButton="0" quotePrefix="0" xfId="0"/>
    <xf numFmtId="2" fontId="9" fillId="9" borderId="1" applyAlignment="1" pivotButton="0" quotePrefix="0" xfId="0">
      <alignment horizontal="right" vertical="center"/>
    </xf>
    <xf numFmtId="0" fontId="8" fillId="0" borderId="0" pivotButton="0" quotePrefix="0" xfId="0"/>
    <xf numFmtId="9" fontId="5" fillId="6" borderId="1" applyAlignment="1" pivotButton="0" quotePrefix="0" xfId="0">
      <alignment horizontal="right" vertical="center"/>
    </xf>
    <xf numFmtId="0" fontId="5" fillId="0" borderId="1" pivotButton="0" quotePrefix="0" xfId="0"/>
    <xf numFmtId="0" fontId="10" fillId="0" borderId="1" pivotButton="0" quotePrefix="0" xfId="0"/>
    <xf numFmtId="0" fontId="7" fillId="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0" fillId="11" borderId="0" pivotButton="0" quotePrefix="0" xfId="0"/>
    <xf numFmtId="0" fontId="4" fillId="11" borderId="0" pivotButton="0" quotePrefix="0" xfId="0"/>
    <xf numFmtId="0" fontId="4" fillId="11" borderId="1" pivotButton="0" quotePrefix="0" xfId="0"/>
    <xf numFmtId="0" fontId="4" fillId="11" borderId="1" applyAlignment="1" pivotButton="0" quotePrefix="0" xfId="0">
      <alignment wrapText="1"/>
    </xf>
    <xf numFmtId="0" fontId="4" fillId="12" borderId="1" applyAlignment="1" pivotButton="0" quotePrefix="0" xfId="0">
      <alignment wrapText="1"/>
    </xf>
    <xf numFmtId="0" fontId="12" fillId="12" borderId="1" applyAlignment="1" pivotButton="0" quotePrefix="0" xfId="0">
      <alignment wrapText="1"/>
    </xf>
    <xf numFmtId="0" fontId="4" fillId="13" borderId="1" applyAlignment="1" pivotButton="0" quotePrefix="0" xfId="0">
      <alignment wrapText="1"/>
    </xf>
    <xf numFmtId="0" fontId="0" fillId="14" borderId="0" pivotButton="0" quotePrefix="0" xfId="0"/>
    <xf numFmtId="0" fontId="7" fillId="14" borderId="0" pivotButton="0" quotePrefix="0" xfId="0"/>
    <xf numFmtId="0" fontId="7" fillId="14" borderId="1" pivotButton="0" quotePrefix="0" xfId="0"/>
    <xf numFmtId="0" fontId="7" fillId="14" borderId="1" applyAlignment="1" pivotButton="0" quotePrefix="0" xfId="0">
      <alignment wrapText="1"/>
    </xf>
    <xf numFmtId="0" fontId="0" fillId="15" borderId="0" pivotButton="0" quotePrefix="0" xfId="0"/>
    <xf numFmtId="0" fontId="4" fillId="15" borderId="0" pivotButton="0" quotePrefix="0" xfId="0"/>
    <xf numFmtId="0" fontId="4" fillId="15" borderId="1" pivotButton="0" quotePrefix="0" xfId="0"/>
    <xf numFmtId="0" fontId="4" fillId="15" borderId="1" applyAlignment="1" pivotButton="0" quotePrefix="0" xfId="0">
      <alignment wrapText="1"/>
    </xf>
    <xf numFmtId="0" fontId="4" fillId="16" borderId="1" applyAlignment="1" pivotButton="0" quotePrefix="0" xfId="0">
      <alignment wrapText="1"/>
    </xf>
    <xf numFmtId="0" fontId="12" fillId="16" borderId="1" applyAlignment="1" pivotButton="0" quotePrefix="0" xfId="0">
      <alignment wrapText="1"/>
    </xf>
    <xf numFmtId="0" fontId="4" fillId="17" borderId="1" applyAlignment="1" pivotButton="0" quotePrefix="0" xfId="0">
      <alignment wrapText="1"/>
    </xf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13" fillId="2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165" fontId="5" fillId="6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5" fillId="17" borderId="0" applyAlignment="1" pivotButton="0" quotePrefix="0" xfId="0">
      <alignment horizontal="left" vertical="center" wrapText="1"/>
    </xf>
    <xf numFmtId="2" fontId="5" fillId="6" borderId="1" applyAlignment="1" pivotButton="0" quotePrefix="0" xfId="0">
      <alignment horizontal="right" vertical="center"/>
    </xf>
    <xf numFmtId="0" fontId="7" fillId="14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12" fillId="16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</cellXfs>
  <cellStyles count="1">
    <cellStyle name="Normal" xfId="0"/>
  </cellStyles>
  <dxfs count="32"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2EEE5"/>
      <rgbColor rgb="FFCCFFFF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6D2"/>
      <rgbColor rgb="FFFFD966"/>
      <rgbColor rgb="FF99CCFF"/>
      <rgbColor rgb="FFFF99CC"/>
      <rgbColor rgb="FFCC99FF"/>
      <rgbColor rgb="FFF3C9B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C5E"/>
      <rgbColor rgb="FF003300"/>
      <rgbColor rgb="FF333300"/>
      <rgbColor rgb="FF9C4A2B"/>
      <rgbColor rgb="FF993366"/>
      <rgbColor rgb="FF333399"/>
      <rgbColor rgb="FF1A1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26" customWidth="1" min="2" max="2"/>
    <col width="16" customWidth="1" min="3" max="7"/>
    <col width="3" customWidth="1" min="8" max="8"/>
  </cols>
  <sheetData>
    <row r="1" ht="30" customHeight="1">
      <c r="A1" s="10" t="inlineStr">
        <is>
          <t>BUS123 · Foundations of Excel</t>
        </is>
      </c>
    </row>
    <row r="2" ht="19.5" customHeight="1">
      <c r="A2" s="9" t="inlineStr">
        <is>
          <t>EXCEL-M01 · Lesson 01  ·  Harborside Medical Center</t>
        </is>
      </c>
    </row>
    <row r="3" ht="6" customHeight="1">
      <c r="A3" s="11" t="n"/>
      <c r="B3" s="11" t="n"/>
      <c r="C3" s="12" t="n"/>
      <c r="D3" s="12" t="n"/>
      <c r="E3" s="13" t="n"/>
      <c r="F3" s="13" t="n"/>
      <c r="G3" s="13" t="n"/>
      <c r="H3" s="13" t="n"/>
    </row>
    <row r="5" ht="18" customHeight="1">
      <c r="B5" s="8" t="n"/>
    </row>
    <row r="6" ht="19.5" customHeight="1">
      <c r="B6" s="7" t="inlineStr">
        <is>
          <t>Welcome</t>
        </is>
      </c>
    </row>
    <row r="7" ht="18" customHeight="1">
      <c r="B7" s="6" t="inlineStr">
        <is>
          <t>This workbook is your hands-on practice for Lesson 01. You'll work with real operating data from Harborside Medical Center and build the core Excel skills every business analyst relies on.</t>
        </is>
      </c>
    </row>
    <row r="8" ht="18" customHeight="1">
      <c r="B8" s="8" t="n"/>
    </row>
    <row r="9" ht="19.5" customHeight="1">
      <c r="B9" s="7" t="inlineStr">
        <is>
          <t>Learning Objectives</t>
        </is>
      </c>
    </row>
    <row r="10" ht="18" customHeight="1">
      <c r="B10" s="6" t="inlineStr">
        <is>
          <t>• Name any cell by its address and describe a range with colon notation.</t>
        </is>
      </c>
    </row>
    <row r="11" ht="18" customHeight="1">
      <c r="B11" s="6" t="inlineStr">
        <is>
          <t>• Enter the core functions and read what each one returns.</t>
        </is>
      </c>
    </row>
    <row r="12" ht="18" customHeight="1">
      <c r="B12" s="6" t="inlineStr">
        <is>
          <t>• Use absolute references so a shared input stays locked when you copy a formula.</t>
        </is>
      </c>
    </row>
    <row r="13" ht="18" customHeight="1">
      <c r="B13" s="6" t="inlineStr">
        <is>
          <t>• Format numbers as currency and percentages for a clear, trustworthy sheet.</t>
        </is>
      </c>
    </row>
    <row r="14" ht="18" customHeight="1">
      <c r="B14" s="8" t="n"/>
    </row>
    <row r="15" ht="19.5" customHeight="1">
      <c r="B15" s="7" t="inlineStr">
        <is>
          <t>How to use this workbook</t>
        </is>
      </c>
    </row>
    <row r="16" ht="18" customHeight="1">
      <c r="B16" s="6" t="inlineStr">
        <is>
          <t>Work through the tabs left to right: Live You Try It during the slide pauses, then Charge Analysis, then Challenge - Payer Mix.</t>
        </is>
      </c>
    </row>
    <row r="17" ht="18" customHeight="1">
      <c r="B17" s="8" t="n"/>
    </row>
    <row r="18" ht="21.75" customHeight="1">
      <c r="B18" s="5" t="inlineStr">
        <is>
          <t xml:space="preserve">  YELLOW cell  = student entry. Type the slide givens, source data, or formula here.</t>
        </is>
      </c>
    </row>
    <row r="19" ht="21.75" customHeight="1">
      <c r="B19" s="4" t="inlineStr">
        <is>
          <t xml:space="preserve">  GREEN cell   = correct. Your answer matches the expected result.</t>
        </is>
      </c>
    </row>
    <row r="20" ht="21.75" customHeight="1">
      <c r="B20" s="3" t="inlineStr">
        <is>
          <t xml:space="preserve">  RED cell     = recheck. Something's off — review your formula.</t>
        </is>
      </c>
    </row>
    <row r="21" ht="18" customHeight="1">
      <c r="B21" s="8" t="n"/>
    </row>
    <row r="22" ht="21.75" customHeight="1">
      <c r="B22" s="2" t="inlineStr">
        <is>
          <t>Live You Try It is self-graded practice only. Charge Analysis and Challenge - Payer Mix are the submitted activity tabs; use the FormulaReferenceCard tab as your syntax guide.</t>
        </is>
      </c>
    </row>
  </sheetData>
  <mergeCells count="20">
    <mergeCell ref="B14:G14"/>
    <mergeCell ref="B17:G17"/>
    <mergeCell ref="B8:G8"/>
    <mergeCell ref="B13:G13"/>
    <mergeCell ref="A1:H1"/>
    <mergeCell ref="B19:G19"/>
    <mergeCell ref="B10:G10"/>
    <mergeCell ref="B9:G9"/>
    <mergeCell ref="B15:G15"/>
    <mergeCell ref="B6:G6"/>
    <mergeCell ref="B20:G20"/>
    <mergeCell ref="B5:G5"/>
    <mergeCell ref="A2:H2"/>
    <mergeCell ref="B7:G7"/>
    <mergeCell ref="B16:G16"/>
    <mergeCell ref="B22:G22"/>
    <mergeCell ref="B18:G18"/>
    <mergeCell ref="B12:G12"/>
    <mergeCell ref="B21:G21"/>
    <mergeCell ref="B11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16" customWidth="1" min="3" max="3"/>
    <col width="36" customWidth="1" min="4" max="4"/>
    <col width="3" customWidth="1" min="5" max="5"/>
    <col width="30" customWidth="1" min="6" max="6"/>
    <col width="24" customWidth="1" min="7" max="7"/>
    <col width="3" customWidth="1" min="8" max="8"/>
  </cols>
  <sheetData>
    <row r="1" ht="30" customHeight="1">
      <c r="A1" s="53" t="inlineStr">
        <is>
          <t>Live You Try It</t>
        </is>
      </c>
      <c r="B1" s="54" t="n"/>
      <c r="C1" s="54" t="n"/>
      <c r="D1" s="54" t="n"/>
      <c r="E1" s="54" t="n"/>
      <c r="F1" s="54" t="n"/>
      <c r="G1" s="54" t="n"/>
      <c r="H1" s="54" t="n"/>
    </row>
    <row r="2" ht="19.5" customHeight="1">
      <c r="A2" s="55" t="inlineStr">
        <is>
          <t>Self-graded Excel pauses · enter slide givens first, then build formulas from those cells</t>
        </is>
      </c>
      <c r="B2" s="54" t="n"/>
      <c r="C2" s="54" t="n"/>
      <c r="D2" s="54" t="n"/>
      <c r="E2" s="54" t="n"/>
      <c r="F2" s="54" t="n"/>
      <c r="G2" s="54" t="n"/>
      <c r="H2" s="54" t="n"/>
    </row>
    <row r="3" ht="6" customHeight="1">
      <c r="A3" s="11" t="n"/>
      <c r="B3" s="11" t="n"/>
      <c r="C3" s="11" t="n"/>
      <c r="D3" s="11" t="n"/>
      <c r="E3" s="13" t="n"/>
      <c r="F3" s="13" t="n"/>
      <c r="G3" s="13" t="n"/>
      <c r="H3" s="13" t="n"/>
    </row>
    <row r="4" ht="32" customHeight="1">
      <c r="B4" s="56" t="inlineStr">
        <is>
          <t>Practice only: use these rows during the slide deck pauses. The feedback is for self-checking and is not part of the private graded rubric.</t>
        </is>
      </c>
    </row>
    <row r="5" ht="18" customHeight="1"/>
    <row r="6" ht="19.5" customHeight="1">
      <c r="B6" s="57" t="inlineStr">
        <is>
          <t>Pause 1 · SUM the slide charges</t>
        </is>
      </c>
    </row>
    <row r="7" ht="18" customHeight="1">
      <c r="B7" s="14" t="inlineStr">
        <is>
          <t>Task</t>
        </is>
      </c>
      <c r="C7" s="14" t="inlineStr">
        <is>
          <t>Yellow entry cell</t>
        </is>
      </c>
      <c r="D7" s="14" t="inlineStr">
        <is>
          <t>Hint</t>
        </is>
      </c>
      <c r="E7" s="14" t="n"/>
      <c r="F7" s="14" t="n"/>
      <c r="G7" s="14" t="inlineStr">
        <is>
          <t>Feedback</t>
        </is>
      </c>
    </row>
    <row r="8" ht="18" customHeight="1">
      <c r="B8" s="18" t="inlineStr">
        <is>
          <t>Cardiology charge</t>
        </is>
      </c>
      <c r="C8" s="58" t="n"/>
      <c r="D8" s="59" t="inlineStr">
        <is>
          <t>Slide 12 value</t>
        </is>
      </c>
      <c r="G8" s="60">
        <f>IF(C8="","Enter slide value",IF(C8=84200,"OK","Check slide 12"))</f>
        <v/>
      </c>
    </row>
    <row r="9" ht="18" customHeight="1">
      <c r="B9" s="18" t="inlineStr">
        <is>
          <t>Radiology charge</t>
        </is>
      </c>
      <c r="C9" s="58" t="n"/>
      <c r="D9" s="59" t="inlineStr">
        <is>
          <t>Slide 12 value</t>
        </is>
      </c>
      <c r="G9" s="60">
        <f>IF(C9="","Enter slide value",IF(C9=61500,"OK","Check slide 12"))</f>
        <v/>
      </c>
    </row>
    <row r="10" ht="18" customHeight="1">
      <c r="B10" s="18" t="inlineStr">
        <is>
          <t>Pediatrics charge</t>
        </is>
      </c>
      <c r="C10" s="58" t="n"/>
      <c r="D10" s="59" t="inlineStr">
        <is>
          <t>Slide 12 value</t>
        </is>
      </c>
      <c r="G10" s="60">
        <f>IF(C10="","Enter slide value",IF(C10=39800,"OK","Check slide 12"))</f>
        <v/>
      </c>
    </row>
    <row r="11" ht="18" customHeight="1">
      <c r="B11" s="18" t="inlineStr">
        <is>
          <t>Emergency charge</t>
        </is>
      </c>
      <c r="C11" s="58" t="n"/>
      <c r="D11" s="59" t="inlineStr">
        <is>
          <t>Slide 12 value</t>
        </is>
      </c>
      <c r="G11" s="60">
        <f>IF(C11="","Enter slide value",IF(C11=52500,"OK","Check slide 12"))</f>
        <v/>
      </c>
    </row>
    <row r="12" ht="18" customHeight="1">
      <c r="B12" s="18" t="inlineStr">
        <is>
          <t>Total monthly charges</t>
        </is>
      </c>
      <c r="C12" s="58" t="n"/>
      <c r="D12" s="59" t="inlineStr">
        <is>
          <t>Use =SUM(range) and reference the input cells above.</t>
        </is>
      </c>
      <c r="G12" s="60">
        <f>IF(C12="","Build a SUM formula",IF(ROUND(C12,0)=238000,"Correct","Recheck the SUM range"))</f>
        <v/>
      </c>
    </row>
    <row r="13" ht="18" customHeight="1"/>
    <row r="14" ht="19.5" customHeight="1">
      <c r="B14" s="57" t="inlineStr">
        <is>
          <t>Pause 2 · Lock the reimbursement rate</t>
        </is>
      </c>
    </row>
    <row r="15" ht="18" customHeight="1">
      <c r="B15" s="14" t="inlineStr">
        <is>
          <t>Task</t>
        </is>
      </c>
      <c r="C15" s="14" t="inlineStr">
        <is>
          <t>Yellow entry cell</t>
        </is>
      </c>
      <c r="D15" s="14" t="inlineStr">
        <is>
          <t>Hint</t>
        </is>
      </c>
      <c r="E15" s="14" t="n"/>
      <c r="F15" s="14" t="n"/>
      <c r="G15" s="14" t="inlineStr">
        <is>
          <t>Feedback</t>
        </is>
      </c>
    </row>
    <row r="16" ht="18" customHeight="1">
      <c r="B16" s="18" t="inlineStr">
        <is>
          <t>Contracted reimbursement rate</t>
        </is>
      </c>
      <c r="C16" s="61" t="n"/>
      <c r="D16" s="59" t="inlineStr">
        <is>
          <t>Slide 13 value</t>
        </is>
      </c>
      <c r="G16" s="60">
        <f>IF(C16="","Enter slide value",IF(ROUND(C16,2)=0.62,"OK","Check slide 13"))</f>
        <v/>
      </c>
    </row>
    <row r="17" ht="18" customHeight="1">
      <c r="B17" s="18" t="inlineStr">
        <is>
          <t>Cardiology charge</t>
        </is>
      </c>
      <c r="C17" s="58" t="n"/>
      <c r="D17" s="59" t="inlineStr">
        <is>
          <t>Slide 13 value</t>
        </is>
      </c>
      <c r="G17" s="60">
        <f>IF(C17="","Enter slide value",IF(C17=84200,"OK","Check slide 13"))</f>
        <v/>
      </c>
    </row>
    <row r="18" ht="18" customHeight="1">
      <c r="B18" s="18" t="inlineStr">
        <is>
          <t>Radiology charge</t>
        </is>
      </c>
      <c r="C18" s="58" t="n"/>
      <c r="D18" s="59" t="inlineStr">
        <is>
          <t>Slide 13 value</t>
        </is>
      </c>
      <c r="G18" s="60">
        <f>IF(C18="","Enter slide value",IF(C18=61500,"OK","Check slide 13"))</f>
        <v/>
      </c>
    </row>
    <row r="19" ht="18" customHeight="1">
      <c r="B19" s="18" t="inlineStr">
        <is>
          <t>Cardiology expected reimbursement</t>
        </is>
      </c>
      <c r="C19" s="58" t="n"/>
      <c r="D19" s="59" t="inlineStr">
        <is>
          <t>Reference the charge, then lock the rate with $.</t>
        </is>
      </c>
      <c r="G19" s="60">
        <f>IF(C19="","Build the formula",IF(ROUND(C19,0)=52204,"Correct","Did you lock the rate?"))</f>
        <v/>
      </c>
    </row>
    <row r="20" ht="18" customHeight="1">
      <c r="B20" s="18" t="inlineStr">
        <is>
          <t>Radiology expected reimbursement</t>
        </is>
      </c>
      <c r="C20" s="58" t="n"/>
      <c r="D20" s="59" t="inlineStr">
        <is>
          <t>Copy the formula down and keep the rate fixed.</t>
        </is>
      </c>
      <c r="G20" s="60">
        <f>IF(C20="","Copy or build the formula",IF(ROUND(C20,0)=38130,"Correct","Did the rate stay put?"))</f>
        <v/>
      </c>
    </row>
    <row r="21" ht="18" customHeight="1"/>
    <row r="22" ht="19.5" customHeight="1">
      <c r="B22" s="57" t="inlineStr">
        <is>
          <t>Pause 3 · Payer mix percent check</t>
        </is>
      </c>
    </row>
    <row r="23" ht="18" customHeight="1">
      <c r="B23" s="14" t="inlineStr">
        <is>
          <t>Task</t>
        </is>
      </c>
      <c r="C23" s="14" t="inlineStr">
        <is>
          <t>Yellow entry cell</t>
        </is>
      </c>
      <c r="D23" s="14" t="inlineStr">
        <is>
          <t>Hint</t>
        </is>
      </c>
      <c r="E23" s="14" t="n"/>
      <c r="F23" s="14" t="n"/>
      <c r="G23" s="14" t="inlineStr">
        <is>
          <t>Feedback</t>
        </is>
      </c>
    </row>
    <row r="24" ht="18" customHeight="1">
      <c r="B24" s="18" t="inlineStr">
        <is>
          <t>Medicare share</t>
        </is>
      </c>
      <c r="C24" s="25" t="n"/>
      <c r="D24" s="59" t="inlineStr">
        <is>
          <t>Slide 15 value</t>
        </is>
      </c>
      <c r="G24" s="60">
        <f>IF(C24="","Enter slide value",IF(ROUND(C24,2)=0.41,"OK","Check slide 15"))</f>
        <v/>
      </c>
    </row>
    <row r="25" ht="18" customHeight="1">
      <c r="B25" s="18" t="inlineStr">
        <is>
          <t>Medicaid share</t>
        </is>
      </c>
      <c r="C25" s="25" t="n"/>
      <c r="D25" s="59" t="inlineStr">
        <is>
          <t>Slide 15 value</t>
        </is>
      </c>
      <c r="G25" s="60">
        <f>IF(C25="","Enter slide value",IF(ROUND(C25,2)=0.23,"OK","Check slide 15"))</f>
        <v/>
      </c>
    </row>
    <row r="26" ht="18" customHeight="1">
      <c r="B26" s="18" t="inlineStr">
        <is>
          <t>Commercial share</t>
        </is>
      </c>
      <c r="C26" s="25" t="n"/>
      <c r="D26" s="59" t="inlineStr">
        <is>
          <t>Slide 15 value</t>
        </is>
      </c>
      <c r="G26" s="60">
        <f>IF(C26="","Enter slide value",IF(ROUND(C26,2)=0.28,"OK","Check slide 15"))</f>
        <v/>
      </c>
    </row>
    <row r="27" ht="18" customHeight="1">
      <c r="B27" s="18" t="inlineStr">
        <is>
          <t>Self-pay share</t>
        </is>
      </c>
      <c r="C27" s="25" t="n"/>
      <c r="D27" s="59" t="inlineStr">
        <is>
          <t>Slide 15 value</t>
        </is>
      </c>
      <c r="G27" s="60">
        <f>IF(C27="","Enter slide value",IF(ROUND(C27,2)=0.08,"OK","Check slide 15"))</f>
        <v/>
      </c>
    </row>
    <row r="28" ht="18" customHeight="1">
      <c r="B28" s="18" t="inlineStr">
        <is>
          <t>Total payer mix</t>
        </is>
      </c>
      <c r="C28" s="25" t="n"/>
      <c r="D28" s="59" t="inlineStr">
        <is>
          <t>Use SUM to verify the mix totals 100%.</t>
        </is>
      </c>
      <c r="G28" s="60">
        <f>IF(C28="","Build a SUM formula",IF(ROUND(C28,4)=1,"Correct","The mix should total 100%"))</f>
        <v/>
      </c>
    </row>
    <row r="29" ht="18" customHeight="1">
      <c r="B29" s="18" t="inlineStr">
        <is>
          <t>Largest payer share</t>
        </is>
      </c>
      <c r="C29" s="25" t="n"/>
      <c r="D29" s="59" t="inlineStr">
        <is>
          <t>Use MAX to identify the biggest share.</t>
        </is>
      </c>
      <c r="G29" s="60">
        <f>IF(C29="","Build a MAX formula",IF(ROUND(C29,2)=0.41,"Correct","Recheck the payer shares"))</f>
        <v/>
      </c>
    </row>
    <row r="30" ht="18" customHeight="1"/>
  </sheetData>
  <mergeCells count="22">
    <mergeCell ref="D11:F11"/>
    <mergeCell ref="D27:F27"/>
    <mergeCell ref="B6:E6"/>
    <mergeCell ref="D17:F17"/>
    <mergeCell ref="A1:H1"/>
    <mergeCell ref="D16:F16"/>
    <mergeCell ref="D28:F28"/>
    <mergeCell ref="D12:F12"/>
    <mergeCell ref="D18:F18"/>
    <mergeCell ref="D9:F9"/>
    <mergeCell ref="D25:F25"/>
    <mergeCell ref="D8:F8"/>
    <mergeCell ref="B22:E22"/>
    <mergeCell ref="D24:F24"/>
    <mergeCell ref="D29:F29"/>
    <mergeCell ref="A2:H2"/>
    <mergeCell ref="B4:G4"/>
    <mergeCell ref="D26:F26"/>
    <mergeCell ref="D20:F20"/>
    <mergeCell ref="B14:E14"/>
    <mergeCell ref="D10:F10"/>
    <mergeCell ref="D19:F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22" customWidth="1" min="2" max="2"/>
    <col width="16" customWidth="1" min="3" max="4"/>
    <col width="18" customWidth="1" min="5" max="5"/>
    <col width="4" customWidth="1" min="6" max="6"/>
    <col width="30" customWidth="1" min="7" max="7"/>
    <col width="3" customWidth="1" min="8" max="8"/>
  </cols>
  <sheetData>
    <row r="1" ht="30" customHeight="1">
      <c r="A1" s="10" t="inlineStr">
        <is>
          <t>Charge Analysis</t>
        </is>
      </c>
    </row>
    <row r="2" ht="19.5" customHeight="1">
      <c r="A2" s="9" t="inlineStr">
        <is>
          <t>Harborside Medical Center · Monthly charges by department</t>
        </is>
      </c>
    </row>
    <row r="3" ht="6" customHeight="1">
      <c r="A3" s="11" t="n"/>
      <c r="B3" s="11" t="n"/>
      <c r="C3" s="12" t="n"/>
      <c r="D3" s="12" t="n"/>
      <c r="E3" s="13" t="n"/>
      <c r="F3" s="13" t="n"/>
      <c r="G3" s="13" t="n"/>
      <c r="H3" s="13" t="n"/>
    </row>
    <row r="5" ht="16" customHeight="1">
      <c r="B5" s="14" t="inlineStr">
        <is>
          <t>Department</t>
        </is>
      </c>
      <c r="C5" s="14" t="inlineStr">
        <is>
          <t>Monthly Charges</t>
        </is>
      </c>
      <c r="D5" s="14" t="inlineStr">
        <is>
          <t>Patient Visits</t>
        </is>
      </c>
    </row>
    <row r="6">
      <c r="B6" s="15" t="inlineStr">
        <is>
          <t>Cardiology</t>
        </is>
      </c>
      <c r="C6" s="16" t="n">
        <v>84200</v>
      </c>
      <c r="D6" s="17" t="n">
        <v>612</v>
      </c>
    </row>
    <row r="7">
      <c r="B7" s="15" t="inlineStr">
        <is>
          <t>Radiology</t>
        </is>
      </c>
      <c r="C7" s="16" t="n">
        <v>61500</v>
      </c>
      <c r="D7" s="17" t="n">
        <v>488</v>
      </c>
    </row>
    <row r="8">
      <c r="B8" s="15" t="inlineStr">
        <is>
          <t>Pediatrics</t>
        </is>
      </c>
      <c r="C8" s="16" t="n">
        <v>39800</v>
      </c>
      <c r="D8" s="17" t="n">
        <v>920</v>
      </c>
    </row>
    <row r="9">
      <c r="B9" s="15" t="inlineStr">
        <is>
          <t>Emergency</t>
        </is>
      </c>
      <c r="C9" s="16" t="n">
        <v>52500</v>
      </c>
      <c r="D9" s="17" t="n">
        <v>1842</v>
      </c>
    </row>
    <row r="10">
      <c r="B10" s="15" t="inlineStr">
        <is>
          <t>Oncology</t>
        </is>
      </c>
      <c r="C10" s="16" t="n">
        <v>47300</v>
      </c>
      <c r="D10" s="17" t="n">
        <v>355</v>
      </c>
    </row>
    <row r="12" ht="17" customHeight="1">
      <c r="B12" s="1" t="inlineStr">
        <is>
          <t>Your Calculations</t>
        </is>
      </c>
    </row>
    <row r="13" ht="16" customHeight="1">
      <c r="B13" s="18" t="inlineStr">
        <is>
          <t>Total monthly charges</t>
        </is>
      </c>
      <c r="C13" s="58" t="n"/>
      <c r="G13" s="20" t="inlineStr">
        <is>
          <t>Add every department's charges.</t>
        </is>
      </c>
    </row>
    <row r="14" ht="16" customHeight="1">
      <c r="B14" s="18" t="inlineStr">
        <is>
          <t>Average charges per dept</t>
        </is>
      </c>
      <c r="C14" s="58" t="n"/>
      <c r="G14" s="20" t="inlineStr">
        <is>
          <t>The mean across departments.</t>
        </is>
      </c>
    </row>
    <row r="15" ht="16" customHeight="1">
      <c r="B15" s="18" t="inlineStr">
        <is>
          <t>Number of departments</t>
        </is>
      </c>
      <c r="C15" s="21" t="n"/>
      <c r="G15" s="20" t="inlineStr">
        <is>
          <t>How many charge entries are there?</t>
        </is>
      </c>
    </row>
    <row r="16" ht="16" customHeight="1">
      <c r="B16" s="18" t="inlineStr">
        <is>
          <t>Highest department charge</t>
        </is>
      </c>
      <c r="C16" s="58" t="n"/>
      <c r="G16" s="20" t="inlineStr">
        <is>
          <t>The single largest value.</t>
        </is>
      </c>
    </row>
    <row r="17" ht="16" customHeight="1">
      <c r="B17" s="18" t="inlineStr">
        <is>
          <t>Lowest department charge</t>
        </is>
      </c>
      <c r="C17" s="58" t="n"/>
      <c r="G17" s="20" t="inlineStr">
        <is>
          <t>The single smallest value.</t>
        </is>
      </c>
    </row>
    <row r="20" ht="17" customHeight="1">
      <c r="B20" s="1" t="inlineStr">
        <is>
          <t>Expected Reimbursement</t>
        </is>
      </c>
    </row>
    <row r="21">
      <c r="B21" s="22" t="inlineStr">
        <is>
          <t>Contracted reimbursement rate</t>
        </is>
      </c>
      <c r="C21" s="23" t="n">
        <v>0.62</v>
      </c>
      <c r="G21" s="24" t="inlineStr">
        <is>
          <t>Given. Lock this cell with $ so every row uses it.</t>
        </is>
      </c>
    </row>
    <row r="22" ht="16" customHeight="1">
      <c r="B22" s="14" t="inlineStr">
        <is>
          <t>Department</t>
        </is>
      </c>
      <c r="C22" s="14" t="inlineStr">
        <is>
          <t>Monthly Charges</t>
        </is>
      </c>
      <c r="D22" s="14" t="inlineStr">
        <is>
          <t>Expected Reimb.</t>
        </is>
      </c>
    </row>
    <row r="23">
      <c r="B23" s="15" t="inlineStr">
        <is>
          <t>Cardiology</t>
        </is>
      </c>
      <c r="C23" s="16" t="n">
        <v>84200</v>
      </c>
      <c r="D23" s="58" t="n"/>
      <c r="G23" s="24" t="inlineStr">
        <is>
          <t>Build the first row, then copy it down. Did the rate stay put?</t>
        </is>
      </c>
    </row>
    <row r="24">
      <c r="B24" s="15" t="inlineStr">
        <is>
          <t>Radiology</t>
        </is>
      </c>
      <c r="C24" s="16" t="n">
        <v>61500</v>
      </c>
      <c r="D24" s="58" t="n"/>
    </row>
    <row r="25">
      <c r="B25" s="15" t="inlineStr">
        <is>
          <t>Pediatrics</t>
        </is>
      </c>
      <c r="C25" s="16" t="n">
        <v>39800</v>
      </c>
      <c r="D25" s="58" t="n"/>
    </row>
    <row r="26">
      <c r="B26" s="15" t="inlineStr">
        <is>
          <t>Emergency</t>
        </is>
      </c>
      <c r="C26" s="16" t="n">
        <v>52500</v>
      </c>
      <c r="D26" s="58" t="n"/>
    </row>
    <row r="27">
      <c r="B27" s="15" t="inlineStr">
        <is>
          <t>Oncology</t>
        </is>
      </c>
      <c r="C27" s="16" t="n">
        <v>47300</v>
      </c>
      <c r="D27" s="58" t="n"/>
    </row>
  </sheetData>
  <mergeCells count="4">
    <mergeCell ref="B12:D12"/>
    <mergeCell ref="A2:H2"/>
    <mergeCell ref="B20:D20"/>
    <mergeCell ref="A1:H1"/>
  </mergeCells>
  <conditionalFormatting sqref="C13">
    <cfRule type="expression" priority="2" dxfId="1">
      <formula>AND(C13&lt;&gt;"",ROUND(C13,2)=ROUND(285300,2))</formula>
    </cfRule>
    <cfRule type="expression" priority="3" dxfId="0">
      <formula>AND(C13&lt;&gt;"",ROUND(C13,2)&lt;&gt;ROUND(285300,2))</formula>
    </cfRule>
  </conditionalFormatting>
  <conditionalFormatting sqref="C14">
    <cfRule type="expression" priority="4" dxfId="1">
      <formula>AND(C14&lt;&gt;"",ROUND(C14,2)=ROUND(57060,2))</formula>
    </cfRule>
    <cfRule type="expression" priority="5" dxfId="0">
      <formula>AND(C14&lt;&gt;"",ROUND(C14,2)&lt;&gt;ROUND(57060,2))</formula>
    </cfRule>
  </conditionalFormatting>
  <conditionalFormatting sqref="C15">
    <cfRule type="expression" priority="6" dxfId="1">
      <formula>AND(C15&lt;&gt;"",ROUND(C15,2)=ROUND(5,2))</formula>
    </cfRule>
    <cfRule type="expression" priority="7" dxfId="0">
      <formula>AND(C15&lt;&gt;"",ROUND(C15,2)&lt;&gt;ROUND(5,2))</formula>
    </cfRule>
  </conditionalFormatting>
  <conditionalFormatting sqref="C16">
    <cfRule type="expression" priority="8" dxfId="1">
      <formula>AND(C16&lt;&gt;"",ROUND(C16,2)=ROUND(84200,2))</formula>
    </cfRule>
    <cfRule type="expression" priority="9" dxfId="0">
      <formula>AND(C16&lt;&gt;"",ROUND(C16,2)&lt;&gt;ROUND(84200,2))</formula>
    </cfRule>
  </conditionalFormatting>
  <conditionalFormatting sqref="C17">
    <cfRule type="expression" priority="10" dxfId="1">
      <formula>AND(C17&lt;&gt;"",ROUND(C17,2)=ROUND(39800,2))</formula>
    </cfRule>
    <cfRule type="expression" priority="11" dxfId="0">
      <formula>AND(C17&lt;&gt;"",ROUND(C17,2)&lt;&gt;ROUND(39800,2))</formula>
    </cfRule>
  </conditionalFormatting>
  <conditionalFormatting sqref="D23">
    <cfRule type="expression" priority="12" dxfId="1">
      <formula>AND(D23&lt;&gt;"",ROUND(D23,2)=ROUND(52204,2))</formula>
    </cfRule>
    <cfRule type="expression" priority="13" dxfId="0">
      <formula>AND(D23&lt;&gt;"",ROUND(D23,2)&lt;&gt;ROUND(52204,2))</formula>
    </cfRule>
  </conditionalFormatting>
  <conditionalFormatting sqref="D24">
    <cfRule type="expression" priority="14" dxfId="1">
      <formula>AND(D24&lt;&gt;"",ROUND(D24,2)=ROUND(38130,2))</formula>
    </cfRule>
    <cfRule type="expression" priority="15" dxfId="0">
      <formula>AND(D24&lt;&gt;"",ROUND(D24,2)&lt;&gt;ROUND(38130,2))</formula>
    </cfRule>
  </conditionalFormatting>
  <conditionalFormatting sqref="D25">
    <cfRule type="expression" priority="16" dxfId="1">
      <formula>AND(D25&lt;&gt;"",ROUND(D25,2)=ROUND(24676,2))</formula>
    </cfRule>
    <cfRule type="expression" priority="17" dxfId="0">
      <formula>AND(D25&lt;&gt;"",ROUND(D25,2)&lt;&gt;ROUND(24676,2))</formula>
    </cfRule>
  </conditionalFormatting>
  <conditionalFormatting sqref="D26">
    <cfRule type="expression" priority="18" dxfId="1">
      <formula>AND(D26&lt;&gt;"",ROUND(D26,2)=ROUND(32550,2))</formula>
    </cfRule>
    <cfRule type="expression" priority="19" dxfId="0">
      <formula>AND(D26&lt;&gt;"",ROUND(D26,2)&lt;&gt;ROUND(32550,2))</formula>
    </cfRule>
  </conditionalFormatting>
  <conditionalFormatting sqref="D27">
    <cfRule type="expression" priority="20" dxfId="1">
      <formula>AND(D27&lt;&gt;"",ROUND(D27,2)=ROUND(29326,2))</formula>
    </cfRule>
    <cfRule type="expression" priority="21" dxfId="0">
      <formula>AND(D27&lt;&gt;"",ROUND(D27,2)&lt;&gt;ROUND(29326,2))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20" customWidth="1" min="2" max="2"/>
    <col width="16" customWidth="1" min="3" max="4"/>
    <col width="4" customWidth="1" min="5" max="5"/>
    <col width="32" customWidth="1" min="6" max="6"/>
    <col width="4" customWidth="1" min="7" max="7"/>
    <col width="3" customWidth="1" min="8" max="8"/>
  </cols>
  <sheetData>
    <row r="1" ht="30" customHeight="1">
      <c r="A1" s="10" t="inlineStr">
        <is>
          <t>Challenge · Payer Mix</t>
        </is>
      </c>
    </row>
    <row r="2" ht="19.5" customHeight="1">
      <c r="A2" s="9" t="inlineStr">
        <is>
          <t>Harborside Medical Center · Share of claims by payer</t>
        </is>
      </c>
    </row>
    <row r="3" ht="6" customHeight="1">
      <c r="A3" s="11" t="n"/>
      <c r="B3" s="11" t="n"/>
      <c r="C3" s="12" t="n"/>
      <c r="D3" s="12" t="n"/>
      <c r="E3" s="13" t="n"/>
      <c r="F3" s="13" t="n"/>
      <c r="G3" s="13" t="n"/>
      <c r="H3" s="13" t="n"/>
    </row>
    <row r="5" ht="16" customHeight="1">
      <c r="B5" s="14" t="inlineStr">
        <is>
          <t>Payer</t>
        </is>
      </c>
      <c r="C5" s="14" t="inlineStr">
        <is>
          <t>Claims</t>
        </is>
      </c>
      <c r="D5" s="14" t="inlineStr">
        <is>
          <t>% of Total</t>
        </is>
      </c>
    </row>
    <row r="6">
      <c r="B6" s="15" t="inlineStr">
        <is>
          <t>Medicare</t>
        </is>
      </c>
      <c r="C6" s="17" t="n">
        <v>410</v>
      </c>
      <c r="D6" s="25" t="n"/>
      <c r="F6" s="24" t="inlineStr">
        <is>
          <t>Compute total first, then lock it with $ to find each share. Format as %.</t>
        </is>
      </c>
    </row>
    <row r="7">
      <c r="B7" s="15" t="inlineStr">
        <is>
          <t>Medicaid</t>
        </is>
      </c>
      <c r="C7" s="17" t="n">
        <v>230</v>
      </c>
      <c r="D7" s="25" t="n"/>
    </row>
    <row r="8">
      <c r="B8" s="15" t="inlineStr">
        <is>
          <t>Commercial</t>
        </is>
      </c>
      <c r="C8" s="17" t="n">
        <v>280</v>
      </c>
      <c r="D8" s="25" t="n"/>
    </row>
    <row r="9">
      <c r="B9" s="15" t="inlineStr">
        <is>
          <t>Self-pay</t>
        </is>
      </c>
      <c r="C9" s="17" t="n">
        <v>80</v>
      </c>
      <c r="D9" s="25" t="n"/>
    </row>
    <row r="10">
      <c r="B10" s="26" t="inlineStr">
        <is>
          <t>Total claims</t>
        </is>
      </c>
      <c r="C10" s="21" t="n"/>
    </row>
    <row r="12">
      <c r="B12" s="27" t="inlineStr">
        <is>
          <t>Largest payer share</t>
        </is>
      </c>
      <c r="D12" s="25" t="n"/>
      <c r="F12" s="24" t="inlineStr">
        <is>
          <t>Which payer carries the most weight in Harborside's revenue?</t>
        </is>
      </c>
    </row>
  </sheetData>
  <mergeCells count="2">
    <mergeCell ref="A2:H2"/>
    <mergeCell ref="A1:H1"/>
  </mergeCells>
  <conditionalFormatting sqref="C10">
    <cfRule type="expression" priority="2" dxfId="1">
      <formula>AND(C10&lt;&gt;"",C10=1000)</formula>
    </cfRule>
    <cfRule type="expression" priority="3" dxfId="0">
      <formula>AND(C10&lt;&gt;"",C10&lt;&gt;1000)</formula>
    </cfRule>
  </conditionalFormatting>
  <conditionalFormatting sqref="D6">
    <cfRule type="expression" priority="4" dxfId="1">
      <formula>AND(D6&lt;&gt;"",ROUND(D6,2)=ROUND(0.41,2))</formula>
    </cfRule>
    <cfRule type="expression" priority="5" dxfId="0">
      <formula>AND(D6&lt;&gt;"",ROUND(D6,2)&lt;&gt;ROUND(0.41,2))</formula>
    </cfRule>
  </conditionalFormatting>
  <conditionalFormatting sqref="D7">
    <cfRule type="expression" priority="6" dxfId="1">
      <formula>AND(D7&lt;&gt;"",ROUND(D7,2)=ROUND(0.23,2))</formula>
    </cfRule>
    <cfRule type="expression" priority="7" dxfId="0">
      <formula>AND(D7&lt;&gt;"",ROUND(D7,2)&lt;&gt;ROUND(0.23,2))</formula>
    </cfRule>
  </conditionalFormatting>
  <conditionalFormatting sqref="D8">
    <cfRule type="expression" priority="8" dxfId="1">
      <formula>AND(D8&lt;&gt;"",ROUND(D8,2)=ROUND(0.28,2))</formula>
    </cfRule>
    <cfRule type="expression" priority="9" dxfId="0">
      <formula>AND(D8&lt;&gt;"",ROUND(D8,2)&lt;&gt;ROUND(0.28,2))</formula>
    </cfRule>
  </conditionalFormatting>
  <conditionalFormatting sqref="D9">
    <cfRule type="expression" priority="10" dxfId="1">
      <formula>AND(D9&lt;&gt;"",ROUND(D9,2)=ROUND(0.08,2))</formula>
    </cfRule>
    <cfRule type="expression" priority="11" dxfId="0">
      <formula>AND(D9&lt;&gt;"",ROUND(D9,2)&lt;&gt;ROUND(0.08,2))</formula>
    </cfRule>
  </conditionalFormatting>
  <conditionalFormatting sqref="D12">
    <cfRule type="expression" priority="12" dxfId="1">
      <formula>AND(D12&lt;&gt;"",ROUND(D12,2)=0.41)</formula>
    </cfRule>
    <cfRule type="expression" priority="13" dxfId="0">
      <formula>AND(D12&lt;&gt;"",ROUND(D12,2)&lt;&gt;0.41)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38" customWidth="1" min="4" max="4"/>
  </cols>
  <sheetData>
    <row r="1" ht="31.5" customHeight="1">
      <c r="A1" s="62" t="inlineStr">
        <is>
          <t>Concept</t>
        </is>
      </c>
      <c r="B1" s="62" t="inlineStr">
        <is>
          <t>Excel Pattern</t>
        </is>
      </c>
      <c r="C1" s="62" t="inlineStr">
        <is>
          <t>Plain-English Meaning</t>
        </is>
      </c>
      <c r="D1" s="62" t="inlineStr">
        <is>
          <t>Watch Out For</t>
        </is>
      </c>
    </row>
    <row r="2" ht="31.5" customHeight="1">
      <c r="A2" s="63" t="inlineStr">
        <is>
          <t>Total a range</t>
        </is>
      </c>
      <c r="B2" s="64" t="inlineStr">
        <is>
          <t xml:space="preserve"> =SUM(C6:C10)</t>
        </is>
      </c>
      <c r="C2" s="63" t="inlineStr">
        <is>
          <t>Adds selected numbers into one total.</t>
        </is>
      </c>
      <c r="D2" s="65" t="inlineStr">
        <is>
          <t>Use a range instead of typing each charge.</t>
        </is>
      </c>
    </row>
    <row r="3" ht="31.5" customHeight="1">
      <c r="A3" s="63" t="inlineStr">
        <is>
          <t>Average a range</t>
        </is>
      </c>
      <c r="B3" s="64" t="inlineStr">
        <is>
          <t xml:space="preserve"> =AVERAGE(C6:C10)</t>
        </is>
      </c>
      <c r="C3" s="63" t="inlineStr">
        <is>
          <t>Finds the typical value from several numbers.</t>
        </is>
      </c>
      <c r="D3" s="65" t="inlineStr">
        <is>
          <t>Average is not the same as total.</t>
        </is>
      </c>
    </row>
    <row r="4" ht="31.5" customHeight="1">
      <c r="A4" s="63" t="inlineStr">
        <is>
          <t>Count numeric cells</t>
        </is>
      </c>
      <c r="B4" s="64" t="inlineStr">
        <is>
          <t xml:space="preserve"> =COUNT(C6:C10)</t>
        </is>
      </c>
      <c r="C4" s="63" t="inlineStr">
        <is>
          <t>Counts cells that contain numbers.</t>
        </is>
      </c>
      <c r="D4" s="65" t="inlineStr">
        <is>
          <t>Text labels are ignored.</t>
        </is>
      </c>
    </row>
    <row r="5" ht="31.5" customHeight="1">
      <c r="A5" s="63" t="inlineStr">
        <is>
          <t>Highest value</t>
        </is>
      </c>
      <c r="B5" s="64" t="inlineStr">
        <is>
          <t xml:space="preserve"> =MAX(C6:C10)</t>
        </is>
      </c>
      <c r="C5" s="63" t="inlineStr">
        <is>
          <t>Returns the largest value in a range.</t>
        </is>
      </c>
      <c r="D5" s="65" t="inlineStr">
        <is>
          <t>MAX finds the biggest number, not the biggest label.</t>
        </is>
      </c>
    </row>
    <row r="6" ht="31.5" customHeight="1">
      <c r="A6" s="63" t="inlineStr">
        <is>
          <t>Lowest value</t>
        </is>
      </c>
      <c r="B6" s="64" t="inlineStr">
        <is>
          <t xml:space="preserve"> =MIN(C6:C10)</t>
        </is>
      </c>
      <c r="C6" s="63" t="inlineStr">
        <is>
          <t>Returns the smallest value in a range.</t>
        </is>
      </c>
      <c r="D6" s="65" t="inlineStr">
        <is>
          <t>MIN finds the smallest number, not the smallest label.</t>
        </is>
      </c>
    </row>
    <row r="7" ht="31.5" customHeight="1">
      <c r="A7" s="63" t="inlineStr">
        <is>
          <t>Percent of total</t>
        </is>
      </c>
      <c r="B7" s="64" t="inlineStr">
        <is>
          <t xml:space="preserve"> =C6/$C$10</t>
        </is>
      </c>
      <c r="C7" s="63" t="inlineStr">
        <is>
          <t>Shows one value as a share of the total.</t>
        </is>
      </c>
      <c r="D7" s="65" t="inlineStr">
        <is>
          <t>Lock the total before copying.</t>
        </is>
      </c>
    </row>
    <row r="8" ht="31.5" customHeight="1">
      <c r="A8" s="63" t="inlineStr">
        <is>
          <t>Absolute reference</t>
        </is>
      </c>
      <c r="B8" s="64" t="inlineStr">
        <is>
          <t xml:space="preserve"> $C$21 or $C$10</t>
        </is>
      </c>
      <c r="C8" s="63" t="inlineStr">
        <is>
          <t>Locks a shared input so copied formulas keep using it.</t>
        </is>
      </c>
      <c r="D8" s="65" t="inlineStr">
        <is>
          <t>Press F4 to toggle dollar signs.</t>
        </is>
      </c>
    </row>
    <row r="9" ht="31.5" customHeight="1">
      <c r="A9" s="63" t="inlineStr">
        <is>
          <t>Range notation</t>
        </is>
      </c>
      <c r="B9" s="64" t="inlineStr">
        <is>
          <t>C6:C10</t>
        </is>
      </c>
      <c r="C9" s="63" t="inlineStr">
        <is>
          <t>Means cell C6 through cell C10.</t>
        </is>
      </c>
      <c r="D9" s="65" t="inlineStr">
        <is>
          <t>Include only the cells you want calculated.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2026-06-22T12:53:26Z</dcterms:created>
  <dcterms:modified xmlns:dcterms="http://purl.org/dc/terms/" xmlns:xsi="http://www.w3.org/2001/XMLSchema-instance" xsi:type="dcterms:W3CDTF">2026-06-30T11:15:00Z</dcterms:modified>
</cp:coreProperties>
</file>