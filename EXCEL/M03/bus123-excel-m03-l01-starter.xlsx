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8eceec5e2247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196fdeb497214e2b"/>
    <x:sheet xmlns:r="http://schemas.openxmlformats.org/officeDocument/2006/relationships" name="Raw Data" sheetId="2" r:id="Rbe99de9e9a024d1c"/>
    <x:sheet xmlns:r="http://schemas.openxmlformats.org/officeDocument/2006/relationships" name="Live You Try It" sheetId="3" r:id="R38e20a4449c94abe"/>
    <x:sheet xmlns:r="http://schemas.openxmlformats.org/officeDocument/2006/relationships" name="Core Functions" sheetId="4" r:id="Re155c1a5eae945e6"/>
    <x:sheet xmlns:r="http://schemas.openxmlformats.org/officeDocument/2006/relationships" name="Dynamic Arrays" sheetId="5" r:id="R6a87af2a381d40db"/>
    <x:sheet xmlns:r="http://schemas.openxmlformats.org/officeDocument/2006/relationships" name="Reporting Lab" sheetId="6" r:id="Rf3d1649c827d47e1"/>
    <x:sheet xmlns:r="http://schemas.openxmlformats.org/officeDocument/2006/relationships" name="Class Challenge" sheetId="7" r:id="R7fb87745906042cb"/>
    <x:sheet xmlns:r="http://schemas.openxmlformats.org/officeDocument/2006/relationships" name="FormulaReferenceCard" sheetId="8" r:id="Re11f4a1eef2f4ff5"/>
    <x:sheet xmlns:r="http://schemas.openxmlformats.org/officeDocument/2006/relationships" name="Planner Directory" sheetId="9" r:id="Re0403d5628484a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164" formatCode="$#,##0"/>
    <x:numFmt numFmtId="165" formatCode="$#,##0.00"/>
    <x:numFmt numFmtId="166" formatCode="0.0%"/>
    <x:numFmt numFmtId="200" formatCode="mmm d, yyyy"/>
    <x:numFmt numFmtId="201" formatCode="#,##0"/>
    <x:numFmt numFmtId="202" formatCode="0.0"/>
    <x:numFmt numFmtId="203" formatCode="0"/>
    <x:numFmt numFmtId="204" formatCode="0.00"/>
  </x:numFmts>
  <x:fonts count="17">
    <x:font>
      <x:sz val="11"/>
      <x:name val="Carlito"/>
    </x:font>
    <x:font>
      <x:b/>
      <x:sz val="11"/>
      <x:color rgb="FFB8843D"/>
      <x:name val="Carlito"/>
    </x:font>
    <x:font>
      <x:sz val="11"/>
      <x:color rgb="FF1A1F2C"/>
      <x:name val="Carlito"/>
    </x:font>
    <x:font>
      <x:b/>
      <x:sz val="11"/>
      <x:color rgb="FF355773"/>
      <x:name val="Carlito"/>
    </x:font>
    <x:font>
      <x:b/>
      <x:sz val="16"/>
      <x:color rgb="FFFFFFFF"/>
      <x:name val="Aptos Display"/>
    </x:font>
    <x:font>
      <x:b/>
      <x:sz val="12"/>
      <x:color rgb="FFFFFFFF"/>
      <x:name val="Aptos Display"/>
    </x:font>
    <x:font>
      <x:b/>
      <x:color rgb="FFFFFFFF"/>
      <x:name val="Aptos"/>
    </x:font>
    <x:font>
      <x:b/>
      <x:color rgb="FFB8843D"/>
      <x:name val="Aptos"/>
    </x:font>
    <x:font>
      <x:i/>
      <x:color rgb="FF4A5567"/>
      <x:name val="Aptos"/>
    </x:font>
    <x:font>
      <x:b/>
      <x:color rgb="FF1A1F2C"/>
      <x:name val="Aptos"/>
    </x:font>
    <x:font>
      <x:b/>
      <x:color rgb="FF355773"/>
      <x:name val="Aptos"/>
    </x:font>
    <x:font>
      <x:b/>
      <x:sz val="11"/>
      <x:color rgb="FFFFFFFF"/>
      <x:name val="Carlito"/>
    </x:font>
    <x:font>
      <x:i/>
      <x:sz val="11"/>
      <x:color rgb="FF4F5B66"/>
      <x:name val="Carlito"/>
    </x:font>
    <x:font>
      <x:b/>
      <x:sz val="11"/>
      <x:name val="Carlito"/>
    </x:font>
    <x:font>
      <x:b/>
      <x:sz val="11"/>
      <x:color rgb="FF1F4E78"/>
      <x:name val="Carlito"/>
    </x:font>
    <x:font>
      <x:b/>
      <x:sz val="11"/>
      <x:color rgb="FFA8563E"/>
      <x:name val="Carlito"/>
    </x:font>
    <x:font>
      <x:sz val="11"/>
      <x:color rgb="FF1F4E78"/>
      <x:name val="Carlito"/>
    </x:font>
  </x:fonts>
  <x:fills count="26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0E1116"/>
      </x:patternFill>
    </x:fill>
    <x:fill>
      <x:patternFill patternType="solid">
        <x:fgColor rgb="FF4A7C5E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F2EEE5"/>
      </x:patternFill>
    </x:fill>
    <x:fill>
      <x:patternFill patternType="solid">
        <x:fgColor rgb="FFE2F0D9"/>
      </x:patternFill>
    </x:fill>
    <x:fill>
      <x:patternFill patternType="solid">
        <x:fgColor rgb="FFEAF3EC"/>
      </x:patternFill>
    </x:fill>
    <x:fill>
      <x:patternFill patternType="solid">
        <x:fgColor rgb="FF9C4A2B"/>
      </x:patternFill>
    </x:fill>
    <x:fill>
      <x:patternFill patternType="solid">
        <x:fgColor rgb="FF0E1116"/>
      </x:patternFill>
    </x:fill>
    <x:fill>
      <x:patternFill patternType="solid">
        <x:fgColor rgb="FF3F7D64"/>
      </x:patternFill>
    </x:fill>
    <x:fill>
      <x:patternFill patternType="solid">
        <x:fgColor rgb="FFF7F4EE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A8563E"/>
      </x:patternFill>
    </x:fill>
    <x:fill>
      <x:patternFill patternType="solid">
        <x:fgColor rgb="FFDDEBF7"/>
      </x:patternFill>
    </x:fill>
    <x:fill>
      <x:patternFill patternType="solid">
        <x:fgColor rgb="FFEAF2F8"/>
      </x:patternFill>
    </x:fill>
  </x:fills>
  <x:borders count="8">
    <x:border/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C9B458"/>
      </x:left>
      <x:right style="thin">
        <x:color rgb="FFC9B458"/>
      </x:right>
      <x:top style="thin">
        <x:color rgb="FFC9B458"/>
      </x:top>
      <x:bottom style="thin">
        <x:color rgb="FFC9B458"/>
      </x:bottom>
    </x:border>
    <x:border>
      <x:left style="medium">
        <x:color rgb="FF4A7C5E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A9D18E"/>
      </x:left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  <x:border>
      <x:left style="thin">
        <x:color rgb="FF5B9BD5"/>
      </x:left>
      <x:right style="thin">
        <x:color rgb="FF5B9BD5"/>
      </x:right>
      <x:top style="thin">
        <x:color rgb="FF5B9BD5"/>
      </x:top>
      <x:bottom style="thin">
        <x:color rgb="FF5B9BD5"/>
      </x:bottom>
    </x:border>
  </x:borders>
  <x:cellStyleXfs count="1">
    <x:xf numFmtId="0" fontId="0" fillId="0" borderId="0"/>
  </x:cellStyleXfs>
  <x:cellXfs count="118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wrapText="1"/>
    </x:xf>
    <x:xf numFmtId="0" fontId="0" fillId="3" borderId="0" xfId="0"/>
    <x:xf numFmtId="0" fontId="2" fillId="3" borderId="0" xfId="0"/>
    <x:xf numFmtId="0" fontId="2" fillId="3" borderId="1" xfId="0"/>
    <x:xf numFmtId="0" fontId="2" fillId="3" borderId="1" xfId="0" applyAlignment="1">
      <x:alignment wrapText="1"/>
    </x:xf>
    <x:xf numFmtId="0" fontId="2" fillId="4" borderId="1" xfId="0" applyAlignment="1">
      <x:alignment wrapText="1"/>
    </x:xf>
    <x:xf numFmtId="0" fontId="3" fillId="4" borderId="1" xfId="0" applyAlignment="1">
      <x:alignment wrapText="1"/>
    </x:xf>
    <x:xf numFmtId="0" fontId="2" fillId="5" borderId="1" xfId="0" applyAlignment="1">
      <x:alignment wrapText="1"/>
    </x:xf>
    <x:xf numFmtId="0" fontId="0" fillId="6" borderId="0" xfId="0"/>
    <x:xf numFmtId="0" fontId="1" fillId="6" borderId="0" xfId="0"/>
    <x:xf numFmtId="0" fontId="1" fillId="6" borderId="1" xfId="0"/>
    <x:xf numFmtId="0" fontId="1" fillId="6" borderId="1" xfId="0" applyAlignment="1">
      <x:alignment wrapText="1"/>
    </x:xf>
    <x:xf numFmtId="0" fontId="0" fillId="7" borderId="0" xfId="0"/>
    <x:xf numFmtId="0" fontId="2" fillId="7" borderId="0" xfId="0"/>
    <x:xf numFmtId="0" fontId="2" fillId="7" borderId="1" xfId="0"/>
    <x:xf numFmtId="0" fontId="2" fillId="7" borderId="1" xfId="0" applyAlignment="1">
      <x:alignment wrapText="1"/>
    </x:xf>
    <x:xf numFmtId="0" fontId="2" fillId="8" borderId="1" xfId="0" applyAlignment="1">
      <x:alignment wrapText="1"/>
    </x:xf>
    <x:xf numFmtId="0" fontId="3" fillId="8" borderId="1" xfId="0" applyAlignment="1">
      <x:alignment wrapText="1"/>
    </x:xf>
    <x:xf numFmtId="0" fontId="2" fillId="9" borderId="1" xfId="0" applyAlignment="1">
      <x:alignment wrapText="1"/>
    </x:xf>
    <x:xf numFmtId="0" fontId="0" fillId="0" borderId="0" xfId="0" applyAlignment="1">
      <x:alignment vertical="top" wrapText="1"/>
    </x:xf>
    <x:xf numFmtId="0" fontId="4" fillId="10" borderId="0" xfId="0" applyAlignment="1">
      <x:alignment horizontal="center" vertical="center"/>
    </x:xf>
    <x:xf numFmtId="0" fontId="5" fillId="10" borderId="0" xfId="0" applyAlignment="1">
      <x:alignment horizontal="center" vertical="center"/>
    </x:xf>
    <x:xf numFmtId="0" fontId="6" fillId="11" borderId="0" xfId="0"/>
    <x:xf numFmtId="0" fontId="7" fillId="10" borderId="2" xfId="0" applyAlignment="1">
      <x:alignment horizontal="center" vertical="center" wrapText="1"/>
    </x:xf>
    <x:xf numFmtId="0" fontId="0" fillId="0" borderId="2" xfId="0" applyAlignment="1">
      <x:alignment vertical="center" wrapText="1"/>
    </x:xf>
    <x:xf numFmtId="0" fontId="0" fillId="12" borderId="3" xfId="0" applyAlignment="1">
      <x:alignment horizontal="center" vertical="center" wrapText="1"/>
    </x:xf>
    <x:xf numFmtId="164" fontId="0" fillId="13" borderId="4" xfId="0" applyAlignment="1">
      <x:alignment horizontal="center" vertical="center" wrapText="1"/>
    </x:xf>
    <x:xf numFmtId="0" fontId="8" fillId="14" borderId="2" xfId="0" applyAlignment="1">
      <x:alignment vertical="top" wrapText="1"/>
    </x:xf>
    <x:xf numFmtId="0" fontId="9" fillId="15" borderId="5" xfId="0" applyAlignment="1">
      <x:alignment vertical="center" wrapText="1"/>
    </x:xf>
    <x:xf numFmtId="0" fontId="0" fillId="13" borderId="4" xfId="0" applyAlignment="1">
      <x:alignment horizontal="center" vertical="center" wrapText="1"/>
    </x:xf>
    <x:xf numFmtId="3" fontId="0" fillId="13" borderId="4" xfId="0" applyAlignment="1">
      <x:alignment horizontal="center" vertical="center" wrapText="1"/>
    </x:xf>
    <x:xf numFmtId="2" fontId="0" fillId="13" borderId="4" xfId="0" applyAlignment="1">
      <x:alignment horizontal="center" vertical="center" wrapText="1"/>
    </x:xf>
    <x:xf numFmtId="0" fontId="6" fillId="10" borderId="0" xfId="0"/>
    <x:xf numFmtId="0" fontId="10" fillId="16" borderId="0" xfId="0"/>
    <x:xf numFmtId="0" fontId="0" fillId="14" borderId="0" xfId="0" applyAlignment="1">
      <x:alignment vertical="center" wrapText="1"/>
    </x:xf>
    <x:xf numFmtId="0" fontId="6" fillId="17" borderId="0" xfId="0"/>
    <x:xf numFmtId="164" fontId="0" fillId="12" borderId="3" xfId="0" applyAlignment="1">
      <x:alignment horizontal="center" vertical="center" wrapText="1"/>
    </x:xf>
    <x:xf numFmtId="165" fontId="0" fillId="13" borderId="4" xfId="0" applyAlignment="1">
      <x:alignment horizontal="center" vertical="center" wrapText="1"/>
    </x:xf>
    <x:xf numFmtId="166" fontId="0" fillId="13" borderId="4" xfId="0" applyAlignment="1">
      <x:alignment horizontal="center" vertical="center" wrapText="1"/>
    </x:xf>
    <x:xf numFmtId="0" fontId="0" fillId="18" borderId="0" xfId="0" applyNumberFormat="1" applyFont="1" applyFill="1" applyBorder="1"/>
    <x:xf numFmtId="0" fontId="11" fillId="18" borderId="0" xfId="0" applyNumberFormat="1" applyFont="1" applyFill="1" applyBorder="1"/>
    <x:xf numFmtId="0" fontId="11" fillId="18" borderId="0" xfId="0" applyNumberFormat="1" applyFont="1" applyFill="1" applyBorder="1" applyAlignment="1">
      <x:alignment horizontal="center"/>
    </x:xf>
    <x:xf numFmtId="0" fontId="11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11" fillId="19" borderId="0" xfId="0" applyNumberFormat="1" applyFont="1" applyFill="1" applyBorder="1"/>
    <x:xf numFmtId="0" fontId="11" fillId="19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20" borderId="0" xfId="0" applyNumberFormat="1" applyFont="1" applyFill="1" applyBorder="1" applyAlignment="1">
      <x:alignment wrapText="1"/>
    </x:xf>
    <x:xf numFmtId="0" fontId="0" fillId="20" borderId="2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12" fillId="21" borderId="0" xfId="0" applyNumberFormat="1" applyFont="1" applyFill="1" applyBorder="1"/>
    <x:xf numFmtId="0" fontId="12" fillId="21" borderId="2" xfId="0" applyNumberFormat="1" applyFont="1" applyFill="1" applyBorder="1"/>
    <x:xf numFmtId="0" fontId="12" fillId="21" borderId="2" xfId="0" applyNumberFormat="1" applyFont="1" applyFill="1" applyBorder="1" applyAlignment="1">
      <x:alignment wrapText="1"/>
    </x:xf>
    <x:xf numFmtId="0" fontId="12" fillId="21" borderId="2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13" fillId="22" borderId="0" xfId="0" applyNumberFormat="1" applyFont="1" applyFill="1" applyBorder="1"/>
    <x:xf numFmtId="0" fontId="13" fillId="22" borderId="6" xfId="0" applyNumberFormat="1" applyFont="1" applyFill="1" applyBorder="1"/>
    <x:xf numFmtId="0" fontId="13" fillId="22" borderId="6" xfId="0" applyNumberFormat="1" applyFont="1" applyFill="1" applyBorder="1" applyAlignment="1">
      <x:alignment wrapText="1"/>
    </x:xf>
    <x:xf numFmtId="0" fontId="13" fillId="22" borderId="6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164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11" fillId="18" borderId="2" xfId="0" applyNumberFormat="1" applyFont="1" applyFill="1" applyBorder="1"/>
    <x:xf numFmtId="0" fontId="11" fillId="18" borderId="2" xfId="0" applyNumberFormat="1" applyFont="1" applyFill="1" applyBorder="1" applyAlignment="1">
      <x:alignment wrapText="1"/>
    </x:xf>
    <x:xf numFmtId="0" fontId="11" fillId="18" borderId="2" xfId="0" applyNumberFormat="1" applyFont="1" applyFill="1" applyBorder="1" applyAlignment="1">
      <x:alignment horizontal="center" wrapText="1"/>
    </x:xf>
    <x:xf numFmtId="0" fontId="11" fillId="18" borderId="2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/>
    <x:xf numFmtId="0" fontId="11" fillId="18" borderId="0" xfId="0" applyNumberFormat="1" applyFont="1" applyFill="1" applyBorder="1" applyAlignment="1">
      <x:alignment vertical="center"/>
    </x:xf>
    <x:xf numFmtId="0" fontId="11" fillId="19" borderId="2" xfId="0" applyNumberFormat="1" applyFont="1" applyFill="1" applyBorder="1"/>
    <x:xf numFmtId="0" fontId="11" fillId="19" borderId="2" xfId="0" applyNumberFormat="1" applyFont="1" applyFill="1" applyBorder="1" applyAlignment="1">
      <x:alignment wrapText="1"/>
    </x:xf>
    <x:xf numFmtId="0" fontId="11" fillId="19" borderId="2" xfId="0" applyNumberFormat="1" applyFont="1" applyFill="1" applyBorder="1" applyAlignment="1">
      <x:alignment vertical="center" wrapText="1"/>
    </x:xf>
    <x:xf numFmtId="0" fontId="0" fillId="12" borderId="3" xfId="0" applyNumberFormat="1" applyFont="1" applyFill="1" applyBorder="1" applyAlignment="1">
      <x:alignment horizontal="center" vertical="center" wrapText="1"/>
    </x:xf>
    <x:xf numFmtId="0" fontId="0" fillId="13" borderId="4" xfId="0" applyNumberFormat="1" applyFont="1" applyFill="1" applyBorder="1" applyAlignment="1">
      <x:alignment horizontal="center" vertical="center" wrapText="1"/>
    </x:xf>
    <x:xf numFmtId="0" fontId="11" fillId="18" borderId="0" xfId="0" applyNumberFormat="1" applyFont="1" applyFill="1" applyBorder="1" applyAlignment="1">
      <x:alignment wrapText="1"/>
    </x:xf>
    <x:xf numFmtId="0" fontId="11" fillId="18" borderId="0" xfId="0" applyNumberFormat="1" applyFont="1" applyFill="1" applyBorder="1" applyAlignment="1">
      <x:alignment horizontal="center" wrapText="1"/>
    </x:xf>
    <x:xf numFmtId="0" fontId="11" fillId="18" borderId="0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/>
    <x:xf numFmtId="0" fontId="11" fillId="23" borderId="0" xfId="0" applyNumberFormat="1" applyFont="1" applyFill="1" applyBorder="1"/>
    <x:xf numFmtId="0" fontId="11" fillId="23" borderId="0" xfId="0" applyNumberFormat="1" applyFont="1" applyFill="1" applyBorder="1" applyAlignment="1">
      <x:alignment horizontal="center"/>
    </x:xf>
    <x:xf numFmtId="0" fontId="11" fillId="23" borderId="0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21" borderId="2" xfId="0" applyNumberFormat="1" applyFont="1" applyFill="1" applyBorder="1" applyAlignment="1">
      <x:alignment vertical="center" wrapText="1"/>
    </x:xf>
    <x:xf numFmtId="0" fontId="0" fillId="22" borderId="2" xfId="0" applyNumberFormat="1" applyFont="1" applyFill="1" applyBorder="1" applyAlignment="1">
      <x:alignment vertical="center" wrapText="1"/>
    </x:xf>
    <x:xf numFmtId="0" fontId="13" fillId="22" borderId="2" xfId="0" applyNumberFormat="1" applyFont="1" applyFill="1" applyBorder="1" applyAlignment="1">
      <x:alignment vertical="center" wrapText="1"/>
    </x:xf>
    <x:xf numFmtId="0" fontId="13" fillId="21" borderId="2" xfId="0" applyNumberFormat="1" applyFont="1" applyFill="1" applyBorder="1" applyAlignment="1">
      <x:alignment vertical="center" wrapText="1"/>
    </x:xf>
    <x:xf numFmtId="0" fontId="0" fillId="24" borderId="2" xfId="0" applyNumberFormat="1" applyFont="1" applyFill="1" applyBorder="1" applyAlignment="1">
      <x:alignment vertical="center" wrapText="1"/>
    </x:xf>
    <x:xf numFmtId="0" fontId="14" fillId="24" borderId="2" xfId="0" applyNumberFormat="1" applyFont="1" applyFill="1" applyBorder="1" applyAlignment="1">
      <x:alignment vertical="center" wrapText="1"/>
    </x:xf>
    <x:xf numFmtId="0" fontId="14" fillId="24" borderId="7" xfId="0" applyNumberFormat="1" applyFont="1" applyFill="1" applyBorder="1" applyAlignment="1">
      <x:alignment vertical="center" wrapText="1"/>
    </x:xf>
    <x:xf numFmtId="0" fontId="14" fillId="24" borderId="7" xfId="0" applyNumberFormat="1" applyFont="1" applyFill="1" applyBorder="1" applyAlignment="1">
      <x:alignment horizontal="right" vertical="center" wrapText="1"/>
    </x:xf>
    <x:xf numFmtId="164" fontId="14" fillId="24" borderId="7" xfId="0" applyNumberFormat="1" applyFont="1" applyFill="1" applyBorder="1" applyAlignment="1">
      <x:alignment horizontal="right" vertical="center" wrapText="1"/>
    </x:xf>
    <x:xf numFmtId="203" fontId="14" fillId="24" borderId="7" xfId="0" applyNumberFormat="1" applyFont="1" applyFill="1" applyBorder="1" applyAlignment="1">
      <x:alignment horizontal="right" vertical="center" wrapText="1"/>
    </x:xf>
    <x:xf numFmtId="204" fontId="14" fillId="24" borderId="7" xfId="0" applyNumberFormat="1" applyFont="1" applyFill="1" applyBorder="1" applyAlignment="1">
      <x:alignment horizontal="right" vertical="center" wrapText="1"/>
    </x:xf>
    <x:xf numFmtId="0" fontId="0" fillId="24" borderId="0" xfId="0" applyNumberFormat="1" applyFont="1" applyFill="1" applyBorder="1"/>
    <x:xf numFmtId="0" fontId="0" fillId="24" borderId="7" xfId="0" applyNumberFormat="1" applyFont="1" applyFill="1" applyBorder="1"/>
    <x:xf numFmtId="0" fontId="14" fillId="24" borderId="7" xfId="0" applyNumberFormat="1" applyFont="1" applyFill="1" applyBorder="1"/>
    <x:xf numFmtId="200" fontId="0" fillId="24" borderId="7" xfId="0" applyNumberFormat="1" applyFont="1" applyFill="1" applyBorder="1"/>
    <x:xf numFmtId="201" fontId="0" fillId="24" borderId="7" xfId="0" applyNumberFormat="1" applyFont="1" applyFill="1" applyBorder="1"/>
    <x:xf numFmtId="164" fontId="0" fillId="24" borderId="7" xfId="0" applyNumberFormat="1" applyFont="1" applyFill="1" applyBorder="1"/>
    <x:xf numFmtId="202" fontId="0" fillId="24" borderId="7" xfId="0" applyNumberFormat="1" applyFont="1" applyFill="1" applyBorder="1"/>
    <x:xf numFmtId="0" fontId="0" fillId="20" borderId="0" xfId="0" applyNumberFormat="1" applyFont="1" applyFill="1" applyBorder="1"/>
    <x:xf numFmtId="0" fontId="0" fillId="20" borderId="2" xfId="0" applyNumberFormat="1" applyFont="1" applyFill="1" applyBorder="1"/>
    <x:xf numFmtId="0" fontId="0" fillId="20" borderId="2" xfId="0" applyNumberFormat="1" applyFont="1" applyFill="1" applyBorder="1" applyAlignment="1">
      <x:alignment vertical="center" wrapText="1"/>
    </x:xf>
    <x:xf numFmtId="0" fontId="0" fillId="21" borderId="2" xfId="0" applyNumberFormat="1" applyFont="1" applyFill="1" applyBorder="1"/>
    <x:xf numFmtId="0" fontId="0" fillId="21" borderId="2" xfId="0" applyNumberFormat="1" applyFont="1" applyFill="1" applyBorder="1" applyAlignment="1">
      <x:alignment wrapText="1"/>
    </x:xf>
    <x:xf numFmtId="0" fontId="0" fillId="22" borderId="6" xfId="0" applyNumberFormat="1" applyFont="1" applyFill="1" applyBorder="1"/>
    <x:xf numFmtId="0" fontId="0" fillId="22" borderId="6" xfId="0" applyNumberFormat="1" applyFont="1" applyFill="1" applyBorder="1" applyAlignment="1">
      <x:alignment wrapText="1"/>
    </x:xf>
    <x:xf numFmtId="0" fontId="0" fillId="22" borderId="6" xfId="0" applyNumberFormat="1" applyFont="1" applyFill="1" applyBorder="1" applyAlignment="1">
      <x:alignment vertical="top" wrapText="1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0" fillId="25" borderId="2" xfId="0" applyNumberFormat="1" applyFont="1" applyFill="1" applyBorder="1" applyAlignment="1">
      <x:alignment vertical="center" wrapText="1"/>
    </x:xf>
    <x:xf numFmtId="0" fontId="16" fillId="25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4d4591186c44cb" /><Relationship Type="http://schemas.openxmlformats.org/officeDocument/2006/relationships/theme" Target="/xl/theme/theme1.xml" Id="Rf026a38ffe264e3e" /><Relationship Type="http://schemas.openxmlformats.org/officeDocument/2006/relationships/sharedStrings" Target="/xl/sharedStrings.xml" Id="Rff58567af1914482" /><Relationship Type="http://schemas.openxmlformats.org/officeDocument/2006/relationships/worksheet" Target="/xl/worksheets/sheet1.xml" Id="R196fdeb497214e2b" /><Relationship Type="http://schemas.openxmlformats.org/officeDocument/2006/relationships/worksheet" Target="/xl/worksheets/sheet2.xml" Id="Rbe99de9e9a024d1c" /><Relationship Type="http://schemas.openxmlformats.org/officeDocument/2006/relationships/worksheet" Target="/xl/worksheets/sheet3.xml" Id="R38e20a4449c94abe" /><Relationship Type="http://schemas.openxmlformats.org/officeDocument/2006/relationships/worksheet" Target="/xl/worksheets/sheet4.xml" Id="Re155c1a5eae945e6" /><Relationship Type="http://schemas.openxmlformats.org/officeDocument/2006/relationships/worksheet" Target="/xl/worksheets/sheet5.xml" Id="R6a87af2a381d40db" /><Relationship Type="http://schemas.openxmlformats.org/officeDocument/2006/relationships/worksheet" Target="/xl/worksheets/sheet6.xml" Id="Rf3d1649c827d47e1" /><Relationship Type="http://schemas.openxmlformats.org/officeDocument/2006/relationships/worksheet" Target="/xl/worksheets/sheet7.xml" Id="R7fb87745906042cb" /><Relationship Type="http://schemas.openxmlformats.org/officeDocument/2006/relationships/worksheet" Target="/xl/worksheets/sheet8.xml" Id="Re11f4a1eef2f4ff5" /><Relationship Type="http://schemas.openxmlformats.org/officeDocument/2006/relationships/worksheet" Target="/xl/worksheets/sheet9.xml" Id="Re0403d5628484aa5" /></Relationships>
</file>

<file path=xl/tables/table1.xml><?xml version="1.0" encoding="utf-8"?>
<x:table xmlns:x="http://schemas.openxmlformats.org/spreadsheetml/2006/main" id="1" name="EventBookings" displayName="EventBookings" ref="A1:J73" headerRowCount="1" totalsRowCount="0" totalsRowShown="0">
  <x:tableColumns count="10">
    <x:tableColumn id="1" name="Booking ID"/>
    <x:tableColumn id="2" name="Event Date"/>
    <x:tableColumn id="3" name="Event Type"/>
    <x:tableColumn id="4" name="Region"/>
    <x:tableColumn id="5" name="Planner ID"/>
    <x:tableColumn id="6" name="Status"/>
    <x:tableColumn id="7" name="Guests"/>
    <x:tableColumn id="8" name="Revenue"/>
    <x:tableColumn id="9" name="Direct Cost"/>
    <x:tableColumn id="10" name="Satisf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lannerDirectory" displayName="PlannerDirectory" ref="A1:E9" headerRowCount="1" totalsRowCount="0" totalsRowShown="0">
  <x:tableColumns count="5">
    <x:tableColumn id="1" name="Planner ID"/>
    <x:tableColumn id="2" name="Planner Name"/>
    <x:tableColumn id="3" name="Home Region"/>
    <x:tableColumn id="4" name="Monthly Capacity"/>
    <x:tableColumn id="5" name="Satisfaction Target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dde8f0d7bb240b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2.xml" Id="R6b86daddf9084b7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2" max="2" width="28" hidden="0" customWidth="1"/>
    <x:col min="1" max="1" width="22" hidden="0" customWidth="1"/>
    <x:col min="3" max="3" width="28" hidden="0" customWidth="1"/>
    <x:col min="4" max="4" width="28" hidden="0" customWidth="1"/>
  </x:cols>
  <x:sheetData>
    <x:row r="1" ht="34" customHeight="1">
      <x:c r="A1" s="45" t="inlineStr">
        <x:is>
          <x:t xml:space="preserve">BUS123 - Solving Business Problems with Technology</x:t>
        </x:is>
      </x:c>
      <x:c r="B1" s="45"/>
      <x:c r="C1" s="45"/>
      <x:c r="D1" s="45"/>
    </x:row>
    <x:row r="2" ht="28" customHeight="1">
      <x:c r="A2" s="45" t="inlineStr">
        <x:is>
          <x:t xml:space="preserve">EXCEL-M03-L01 - Excel Functions for Business Analysis</x:t>
        </x:is>
      </x:c>
      <x:c r="B2" s="45"/>
      <x:c r="C2" s="45"/>
      <x:c r="D2" s="45"/>
    </x:row>
    <x:row r="3" ht="23" customHeight="1"/>
    <x:row r="4" ht="23" customHeight="1">
      <x:c r="A4" s="48" t="inlineStr">
        <x:is>
          <x:t xml:space="preserve">Purpose</x:t>
        </x:is>
      </x:c>
      <x:c r="B4" s="49" t="str">
        <x:v>Use analysis-ready business data to answer management questions with conditional, lookup, and dynamic-array functions.</x:v>
      </x:c>
      <x:c r="C4" s="49"/>
      <x:c r="D4" s="49"/>
    </x:row>
    <x:row r="5" ht="23" customHeight="1">
      <x:c r="B5" s="49"/>
      <x:c r="C5" s="49"/>
      <x:c r="D5" s="49"/>
    </x:row>
    <x:row r="6" ht="32" customHeight="1">
      <x:c r="A6" s="48" t="inlineStr">
        <x:is>
          <x:t xml:space="preserve">Student Tasks</x:t>
        </x:is>
      </x:c>
      <x:c r="B6" s="50" t="inlineStr">
        <x:is>
          <x:t xml:space="preserve">1. Open Live You Try It during the slide pauses. Enter the slide givens into yellow cells first, then build formulas from those cells.</x:t>
        </x:is>
      </x:c>
      <x:c r="C6" s="49"/>
      <x:c r="D6" s="49"/>
    </x:row>
    <x:row r="7" ht="32" customHeight="1">
      <x:c r="B7" s="50" t="str">
        <x:v>2. Raw Data is already structured as a usable Anchor &amp; Oak booking table. Reference it; do not clean, sort, delete, or overwrite source rows.</x:v>
      </x:c>
      <x:c r="C7" s="49"/>
      <x:c r="D7" s="49"/>
    </x:row>
    <x:row r="8" ht="32" customHeight="1">
      <x:c r="B8" s="50" t="str">
        <x:v>3. Begin Class Challenge in class and finish it for homework: build linked KPIs, a dynamic list, a filtered result, and one evidence-based recommendation.</x:v>
      </x:c>
      <x:c r="C8" s="49"/>
      <x:c r="D8" s="49"/>
    </x:row>
    <x:row r="9" ht="32" customHeight="1">
      <x:c r="B9" s="50" t="str">
        <x:v>4. Use Planner Directory for XLOOKUP and FormulaReferenceCard for syntax reminders after you have chosen the function.</x:v>
      </x:c>
      <x:c r="C9" s="49"/>
      <x:c r="D9" s="49"/>
    </x:row>
    <x:row r="10" ht="23" customHeight="1">
      <x:c r="B10" s="49"/>
      <x:c r="C10" s="49"/>
      <x:c r="D10" s="49"/>
    </x:row>
    <x:row r="11" ht="32" customHeight="1">
      <x:c r="A11" s="48" t="inlineStr">
        <x:is>
          <x:t xml:space="preserve">Case Companies</x:t>
        </x:is>
      </x:c>
      <x:c r="B11" s="49" t="str">
        <x:v>Anchor &amp; Oak Events is the graded lab case.</x:v>
      </x:c>
      <x:c r="C11" s="49" t="inlineStr">
        <x:is>
          <x:t xml:space="preserve">Tidal Goods Co.</x:t>
        </x:is>
      </x:c>
      <x:c r="D11" s="49" t="inlineStr">
        <x:is>
          <x:t xml:space="preserve">Harborside Medical Center</x:t>
        </x:is>
      </x:c>
    </x:row>
    <x:row r="12" ht="32" customHeight="1">
      <x:c r="B12" s="49" t="str">
        <x:v>Mixed-company examples remain in Live You Try It and the skill-building tabs.</x:v>
      </x:c>
      <x:c r="C12" s="49"/>
      <x:c r="D12" s="49"/>
    </x:row>
    <x:row r="13" ht="23" customHeight="1">
      <x:c r="B13" s="49"/>
      <x:c r="C13" s="49"/>
      <x:c r="D13" s="49"/>
    </x:row>
    <x:row r="14" ht="32" customHeight="1">
      <x:c r="A14" s="48" t="inlineStr">
        <x:is>
          <x:t xml:space="preserve">Color Guide</x:t>
        </x:is>
      </x:c>
      <x:c r="B14" s="52" t="str">
        <x:v>Gold cells contain the manager's fixed criteria; reference them in formulas.</x:v>
      </x:c>
      <x:c r="C14" s="52"/>
      <x:c r="D14" s="52"/>
    </x:row>
    <x:row r="15" ht="32" customHeight="1">
      <x:c r="B15" s="52" t="str">
        <x:v>Blue cells are student formula cells or dynamic-array anchors.</x:v>
      </x:c>
      <x:c r="C15" s="52"/>
      <x:c r="D15" s="52"/>
    </x:row>
    <x:row r="16" ht="32" customHeight="1">
      <x:c r="B16" s="52" t="str">
        <x:v>Pale yellow cells are student-written explanations or recommendations.</x:v>
      </x:c>
      <x:c r="C16" s="52"/>
      <x:c r="D16" s="52"/>
    </x:row>
    <x:row r="17" ht="23" customHeight="1">
      <x:c r="B17" s="49"/>
      <x:c r="C17" s="49"/>
      <x:c r="D17" s="49"/>
    </x:row>
    <x:row r="18" ht="32" customHeight="1">
      <x:c r="A18" s="48" t="inlineStr">
        <x:is>
          <x:t xml:space="preserve">Submission Reminder</x:t>
        </x:is>
      </x:c>
      <x:c r="B18" s="49" t="inlineStr">
        <x:is>
          <x:t xml:space="preserve">Save the completed workbook with your name before uploading to Canvas.</x:t>
        </x:is>
      </x:c>
      <x:c r="C18" s="49"/>
      <x:c r="D18" s="49"/>
    </x:row>
    <x:row r="19" ht="23" customHeight="1"/>
    <x:row r="20" ht="32" customHeight="1">
      <x:c r="A20" s="57" t="str">
        <x:v>Public student workbook only — no answer key, grading map, rubric, sample submission, or instructor note is included.</x:v>
      </x:c>
      <x:c r="B20" s="57" t="inlineStr">
        <x:is>
          <x:t xml:space="preserve">This workbook intentionally uses only student-facing data. It does not contain answer keys, grading maps, or hidden instructor notes.</x:t>
        </x:is>
      </x:c>
      <x:c r="C20" s="57"/>
      <x:c r="D20" s="57"/>
    </x:row>
    <x:row r="21" ht="23" customHeight="1"/>
    <x:row r="22" ht="32" customHeight="1">
      <x:c r="A22" s="62" t="str">
        <x:v>Suggested flow: START HERE → Live You Try It → practice tabs → Raw Data + Planner Directory → Class Challenge → FormulaReferenceCard</x:v>
      </x:c>
      <x:c r="B22" s="62" t="inlineStr">
        <x:is>
          <x:t xml:space="preserve">Suggested flow: START HERE, Raw Data, Live You Try It, existing practice tabs, Class Challenge, FormulaReferenceCard.</x:t>
        </x:is>
      </x:c>
      <x:c r="C22" s="62"/>
      <x:c r="D22" s="62"/>
    </x:row>
  </x:sheetData>
  <x:mergeCells>
    <x:mergeCell ref="A1:D1"/>
    <x:mergeCell ref="A2:D2"/>
    <x:mergeCell ref="B4:D4"/>
    <x:mergeCell ref="B6:D6"/>
    <x:mergeCell ref="B7:D7"/>
    <x:mergeCell ref="B8:D8"/>
    <x:mergeCell ref="B9:D9"/>
    <x:mergeCell ref="B11:D11"/>
    <x:mergeCell ref="B12:D12"/>
    <x:mergeCell ref="B14:D14"/>
    <x:mergeCell ref="B15:D15"/>
    <x:mergeCell ref="B16:D16"/>
    <x:mergeCell ref="B18:D18"/>
    <x:mergeCell ref="A20:D20"/>
    <x:mergeCell ref="A22:D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hidden="0" customWidth="1"/>
    <x:col min="2" max="2" width="14" hidden="0" customWidth="1"/>
    <x:col min="3" max="3" width="22" hidden="0" customWidth="1"/>
    <x:col min="4" max="4" width="11" hidden="0" customWidth="1"/>
    <x:col min="5" max="5" width="12" hidden="0" customWidth="1"/>
    <x:col min="6" max="6" width="12" hidden="0" customWidth="1"/>
    <x:col min="7" max="7" width="10" hidden="0" customWidth="1"/>
    <x:col min="8" max="8" width="14" hidden="0" customWidth="1"/>
    <x:col min="9" max="9" width="14" hidden="0" customWidth="1"/>
    <x:col min="10" max="10" width="13" hidden="0" customWidth="1"/>
  </x:cols>
  <x:sheetData>
    <x:row r="1" ht="30" customHeight="1">
      <x:c r="A1" s="45" t="str">
        <x:v>Booking ID</x:v>
      </x:c>
      <x:c r="B1" s="45" t="str">
        <x:v>Event Date</x:v>
      </x:c>
      <x:c r="C1" s="45" t="str">
        <x:v>Event Type</x:v>
      </x:c>
      <x:c r="D1" s="45" t="str">
        <x:v>Region</x:v>
      </x:c>
      <x:c r="E1" s="45" t="str">
        <x:v>Planner ID</x:v>
      </x:c>
      <x:c r="F1" s="45" t="str">
        <x:v>Status</x:v>
      </x:c>
      <x:c r="G1" s="45" t="str">
        <x:v>Guests</x:v>
      </x:c>
      <x:c r="H1" s="45" t="str">
        <x:v>Revenue</x:v>
      </x:c>
      <x:c r="I1" s="45" t="str">
        <x:v>Direct Cost</x:v>
      </x:c>
      <x:c r="J1" s="45" t="str">
        <x:v>Satisfaction</x:v>
      </x:c>
    </x:row>
    <x:row r="2" ht="20" customHeight="1">
      <x:c r="A2" t="str">
        <x:v>AO-26001</x:v>
      </x:c>
      <x:c r="B2" s="63" t="n">
        <x:v>46032</x:v>
      </x:c>
      <x:c r="C2" t="str">
        <x:v>Wedding</x:v>
      </x:c>
      <x:c r="D2" t="str">
        <x:v>North</x:v>
      </x:c>
      <x:c r="E2" t="str">
        <x:v>P101</x:v>
      </x:c>
      <x:c r="F2" t="str">
        <x:v>Cancelled</x:v>
      </x:c>
      <x:c r="G2" s="64" t="n">
        <x:v>90</x:v>
      </x:c>
      <x:c r="H2" s="65" t="n">
        <x:v>31050</x:v>
      </x:c>
      <x:c r="I2" s="65" t="n">
        <x:v>16150</x:v>
      </x:c>
      <x:c r="J2" s="66"/>
    </x:row>
    <x:row r="3" ht="20" customHeight="1">
      <x:c r="A3" t="str">
        <x:v>AO-26002</x:v>
      </x:c>
      <x:c r="B3" s="63" t="n">
        <x:v>46037</x:v>
      </x:c>
      <x:c r="C3" t="str">
        <x:v>Wedding</x:v>
      </x:c>
      <x:c r="D3" t="str">
        <x:v>South</x:v>
      </x:c>
      <x:c r="E3" t="str">
        <x:v>P104</x:v>
      </x:c>
      <x:c r="F3" t="str">
        <x:v>Completed</x:v>
      </x:c>
      <x:c r="G3" s="64" t="n">
        <x:v>107</x:v>
      </x:c>
      <x:c r="H3" s="65" t="n">
        <x:v>34350</x:v>
      </x:c>
      <x:c r="I3" s="65" t="n">
        <x:v>19050</x:v>
      </x:c>
      <x:c r="J3" s="66" t="n">
        <x:v>4.1</x:v>
      </x:c>
    </x:row>
    <x:row r="4" ht="20" customHeight="1">
      <x:c r="A4" t="str">
        <x:v>AO-26003</x:v>
      </x:c>
      <x:c r="B4" s="63" t="n">
        <x:v>46042</x:v>
      </x:c>
      <x:c r="C4" t="str">
        <x:v>Wedding</x:v>
      </x:c>
      <x:c r="D4" t="str">
        <x:v>East</x:v>
      </x:c>
      <x:c r="E4" t="str">
        <x:v>P105</x:v>
      </x:c>
      <x:c r="F4" t="str">
        <x:v>Completed</x:v>
      </x:c>
      <x:c r="G4" s="64" t="n">
        <x:v>124</x:v>
      </x:c>
      <x:c r="H4" s="65" t="n">
        <x:v>37700</x:v>
      </x:c>
      <x:c r="I4" s="65" t="n">
        <x:v>22250</x:v>
      </x:c>
      <x:c r="J4" s="66" t="n">
        <x:v>4.2</x:v>
      </x:c>
    </x:row>
    <x:row r="5" ht="20" customHeight="1">
      <x:c r="A5" t="str">
        <x:v>AO-26004</x:v>
      </x:c>
      <x:c r="B5" s="63" t="n">
        <x:v>46047</x:v>
      </x:c>
      <x:c r="C5" t="str">
        <x:v>Wedding</x:v>
      </x:c>
      <x:c r="D5" t="str">
        <x:v>West</x:v>
      </x:c>
      <x:c r="E5" t="str">
        <x:v>P108</x:v>
      </x:c>
      <x:c r="F5" t="str">
        <x:v>Completed</x:v>
      </x:c>
      <x:c r="G5" s="64" t="n">
        <x:v>141</x:v>
      </x:c>
      <x:c r="H5" s="65" t="n">
        <x:v>41000</x:v>
      </x:c>
      <x:c r="I5" s="65" t="n">
        <x:v>25650</x:v>
      </x:c>
      <x:c r="J5" s="66" t="n">
        <x:v>4.4</x:v>
      </x:c>
    </x:row>
    <x:row r="6" ht="20" customHeight="1">
      <x:c r="A6" t="str">
        <x:v>AO-26005</x:v>
      </x:c>
      <x:c r="B6" s="63" t="n">
        <x:v>46052</x:v>
      </x:c>
      <x:c r="C6" t="str">
        <x:v>Corporate</x:v>
      </x:c>
      <x:c r="D6" t="str">
        <x:v>North</x:v>
      </x:c>
      <x:c r="E6" t="str">
        <x:v>P102</x:v>
      </x:c>
      <x:c r="F6" t="str">
        <x:v>Completed</x:v>
      </x:c>
      <x:c r="G6" s="64" t="n">
        <x:v>123</x:v>
      </x:c>
      <x:c r="H6" s="65" t="n">
        <x:v>27650</x:v>
      </x:c>
      <x:c r="I6" s="65" t="n">
        <x:v>14400</x:v>
      </x:c>
      <x:c r="J6" s="66" t="n">
        <x:v>4.5</x:v>
      </x:c>
    </x:row>
    <x:row r="7" ht="20" customHeight="1">
      <x:c r="A7" t="str">
        <x:v>AO-26006</x:v>
      </x:c>
      <x:c r="B7" s="63" t="n">
        <x:v>46057</x:v>
      </x:c>
      <x:c r="C7" t="str">
        <x:v>Corporate</x:v>
      </x:c>
      <x:c r="D7" t="str">
        <x:v>South</x:v>
      </x:c>
      <x:c r="E7" t="str">
        <x:v>P103</x:v>
      </x:c>
      <x:c r="F7" t="str">
        <x:v>Completed</x:v>
      </x:c>
      <x:c r="G7" s="64" t="n">
        <x:v>140</x:v>
      </x:c>
      <x:c r="H7" s="65" t="n">
        <x:v>26300</x:v>
      </x:c>
      <x:c r="I7" s="65" t="n">
        <x:v>14600</x:v>
      </x:c>
      <x:c r="J7" s="66" t="n">
        <x:v>4.7</x:v>
      </x:c>
    </x:row>
    <x:row r="8" ht="20" customHeight="1">
      <x:c r="A8" t="str">
        <x:v>AO-26007</x:v>
      </x:c>
      <x:c r="B8" s="63" t="n">
        <x:v>46062</x:v>
      </x:c>
      <x:c r="C8" t="str">
        <x:v>Corporate</x:v>
      </x:c>
      <x:c r="D8" t="str">
        <x:v>East</x:v>
      </x:c>
      <x:c r="E8" t="str">
        <x:v>P106</x:v>
      </x:c>
      <x:c r="F8" t="str">
        <x:v>Booked</x:v>
      </x:c>
      <x:c r="G8" s="64" t="n">
        <x:v>62</x:v>
      </x:c>
      <x:c r="H8" s="65" t="n">
        <x:v>17800</x:v>
      </x:c>
      <x:c r="I8" s="65" t="n">
        <x:v>10500</x:v>
      </x:c>
      <x:c r="J8" s="66"/>
    </x:row>
    <x:row r="9" ht="20" customHeight="1">
      <x:c r="A9" t="str">
        <x:v>AO-26008</x:v>
      </x:c>
      <x:c r="B9" s="63" t="n">
        <x:v>46067</x:v>
      </x:c>
      <x:c r="C9" t="str">
        <x:v>Corporate</x:v>
      </x:c>
      <x:c r="D9" t="str">
        <x:v>West</x:v>
      </x:c>
      <x:c r="E9" t="str">
        <x:v>P107</x:v>
      </x:c>
      <x:c r="F9" t="str">
        <x:v>Completed</x:v>
      </x:c>
      <x:c r="G9" s="64" t="n">
        <x:v>79</x:v>
      </x:c>
      <x:c r="H9" s="65" t="n">
        <x:v>20700</x:v>
      </x:c>
      <x:c r="I9" s="65" t="n">
        <x:v>12950</x:v>
      </x:c>
      <x:c r="J9" s="66" t="n">
        <x:v>3.9</x:v>
      </x:c>
    </x:row>
    <x:row r="10" ht="20" customHeight="1">
      <x:c r="A10" t="str">
        <x:v>AO-26009</x:v>
      </x:c>
      <x:c r="B10" s="63" t="n">
        <x:v>46072</x:v>
      </x:c>
      <x:c r="C10" t="str">
        <x:v>Nonprofit Gala</x:v>
      </x:c>
      <x:c r="D10" t="str">
        <x:v>North</x:v>
      </x:c>
      <x:c r="E10" t="str">
        <x:v>P101</x:v>
      </x:c>
      <x:c r="F10" t="str">
        <x:v>Completed</x:v>
      </x:c>
      <x:c r="G10" s="64" t="n">
        <x:v>161</x:v>
      </x:c>
      <x:c r="H10" s="65" t="n">
        <x:v>32850</x:v>
      </x:c>
      <x:c r="I10" s="65" t="n">
        <x:v>17100</x:v>
      </x:c>
      <x:c r="J10" s="66" t="n">
        <x:v>4.1</x:v>
      </x:c>
    </x:row>
    <x:row r="11" ht="20" customHeight="1">
      <x:c r="A11" t="str">
        <x:v>AO-26010</x:v>
      </x:c>
      <x:c r="B11" s="63" t="n">
        <x:v>46077</x:v>
      </x:c>
      <x:c r="C11" t="str">
        <x:v>Nonprofit Gala</x:v>
      </x:c>
      <x:c r="D11" t="str">
        <x:v>South</x:v>
      </x:c>
      <x:c r="E11" t="str">
        <x:v>P104</x:v>
      </x:c>
      <x:c r="F11" t="str">
        <x:v>Completed</x:v>
      </x:c>
      <x:c r="G11" s="64" t="n">
        <x:v>178</x:v>
      </x:c>
      <x:c r="H11" s="65" t="n">
        <x:v>35300</x:v>
      </x:c>
      <x:c r="I11" s="65" t="n">
        <x:v>19600</x:v>
      </x:c>
      <x:c r="J11" s="66" t="n">
        <x:v>4.2</x:v>
      </x:c>
    </x:row>
    <x:row r="12" ht="20" customHeight="1">
      <x:c r="A12" t="str">
        <x:v>AO-26011</x:v>
      </x:c>
      <x:c r="B12" s="63" t="n">
        <x:v>46082</x:v>
      </x:c>
      <x:c r="C12" t="str">
        <x:v>Nonprofit Gala</x:v>
      </x:c>
      <x:c r="D12" t="str">
        <x:v>East</x:v>
      </x:c>
      <x:c r="E12" t="str">
        <x:v>P105</x:v>
      </x:c>
      <x:c r="F12" t="str">
        <x:v>Cancelled</x:v>
      </x:c>
      <x:c r="G12" s="64" t="n">
        <x:v>195</x:v>
      </x:c>
      <x:c r="H12" s="65" t="n">
        <x:v>33550</x:v>
      </x:c>
      <x:c r="I12" s="65" t="n">
        <x:v>19800</x:v>
      </x:c>
      <x:c r="J12" s="66"/>
    </x:row>
    <x:row r="13" ht="20" customHeight="1">
      <x:c r="A13" t="str">
        <x:v>AO-26012</x:v>
      </x:c>
      <x:c r="B13" s="63" t="n">
        <x:v>46087</x:v>
      </x:c>
      <x:c r="C13" t="str">
        <x:v>Nonprofit Gala</x:v>
      </x:c>
      <x:c r="D13" t="str">
        <x:v>West</x:v>
      </x:c>
      <x:c r="E13" t="str">
        <x:v>P108</x:v>
      </x:c>
      <x:c r="F13" t="str">
        <x:v>Completed</x:v>
      </x:c>
      <x:c r="G13" s="64" t="n">
        <x:v>212</x:v>
      </x:c>
      <x:c r="H13" s="65" t="n">
        <x:v>36000</x:v>
      </x:c>
      <x:c r="I13" s="65" t="n">
        <x:v>22500</x:v>
      </x:c>
      <x:c r="J13" s="66" t="n">
        <x:v>4.5</x:v>
      </x:c>
    </x:row>
    <x:row r="14" ht="20" customHeight="1">
      <x:c r="A14" t="str">
        <x:v>AO-26013</x:v>
      </x:c>
      <x:c r="B14" s="63" t="n">
        <x:v>46092</x:v>
      </x:c>
      <x:c r="C14" t="str">
        <x:v>Private Celebration</x:v>
      </x:c>
      <x:c r="D14" t="str">
        <x:v>North</x:v>
      </x:c>
      <x:c r="E14" t="str">
        <x:v>P102</x:v>
      </x:c>
      <x:c r="F14" t="str">
        <x:v>Booked</x:v>
      </x:c>
      <x:c r="G14" s="64" t="n">
        <x:v>54</x:v>
      </x:c>
      <x:c r="H14" s="65" t="n">
        <x:v>14650</x:v>
      </x:c>
      <x:c r="I14" s="65" t="n">
        <x:v>7600</x:v>
      </x:c>
      <x:c r="J14" s="66"/>
    </x:row>
    <x:row r="15" ht="20" customHeight="1">
      <x:c r="A15" t="str">
        <x:v>AO-26014</x:v>
      </x:c>
      <x:c r="B15" s="63" t="n">
        <x:v>46097</x:v>
      </x:c>
      <x:c r="C15" t="str">
        <x:v>Private Celebration</x:v>
      </x:c>
      <x:c r="D15" t="str">
        <x:v>South</x:v>
      </x:c>
      <x:c r="E15" t="str">
        <x:v>P103</x:v>
      </x:c>
      <x:c r="F15" t="str">
        <x:v>Completed</x:v>
      </x:c>
      <x:c r="G15" s="64" t="n">
        <x:v>71</x:v>
      </x:c>
      <x:c r="H15" s="65" t="n">
        <x:v>17350</x:v>
      </x:c>
      <x:c r="I15" s="65" t="n">
        <x:v>9650</x:v>
      </x:c>
      <x:c r="J15" s="66" t="n">
        <x:v>4.9</x:v>
      </x:c>
    </x:row>
    <x:row r="16" ht="20" customHeight="1">
      <x:c r="A16" t="str">
        <x:v>AO-26015</x:v>
      </x:c>
      <x:c r="B16" s="63" t="n">
        <x:v>46102</x:v>
      </x:c>
      <x:c r="C16" t="str">
        <x:v>Private Celebration</x:v>
      </x:c>
      <x:c r="D16" t="str">
        <x:v>East</x:v>
      </x:c>
      <x:c r="E16" t="str">
        <x:v>P106</x:v>
      </x:c>
      <x:c r="F16" t="str">
        <x:v>Completed</x:v>
      </x:c>
      <x:c r="G16" s="64" t="n">
        <x:v>88</x:v>
      </x:c>
      <x:c r="H16" s="65" t="n">
        <x:v>20100</x:v>
      </x:c>
      <x:c r="I16" s="65" t="n">
        <x:v>11850</x:v>
      </x:c>
      <x:c r="J16" s="66" t="n">
        <x:v>3.9</x:v>
      </x:c>
    </x:row>
    <x:row r="17" ht="20" customHeight="1">
      <x:c r="A17" t="str">
        <x:v>AO-26016</x:v>
      </x:c>
      <x:c r="B17" s="63" t="n">
        <x:v>46107</x:v>
      </x:c>
      <x:c r="C17" t="str">
        <x:v>Private Celebration</x:v>
      </x:c>
      <x:c r="D17" t="str">
        <x:v>West</x:v>
      </x:c>
      <x:c r="E17" t="str">
        <x:v>P107</x:v>
      </x:c>
      <x:c r="F17" t="str">
        <x:v>Completed</x:v>
      </x:c>
      <x:c r="G17" s="64" t="n">
        <x:v>105</x:v>
      </x:c>
      <x:c r="H17" s="65" t="n">
        <x:v>18550</x:v>
      </x:c>
      <x:c r="I17" s="65" t="n">
        <x:v>11600</x:v>
      </x:c>
      <x:c r="J17" s="66" t="n">
        <x:v>4.1</x:v>
      </x:c>
    </x:row>
    <x:row r="18" ht="20" customHeight="1">
      <x:c r="A18" t="str">
        <x:v>AO-26017</x:v>
      </x:c>
      <x:c r="B18" s="63" t="n">
        <x:v>46112</x:v>
      </x:c>
      <x:c r="C18" t="str">
        <x:v>Wedding</x:v>
      </x:c>
      <x:c r="D18" t="str">
        <x:v>North</x:v>
      </x:c>
      <x:c r="E18" t="str">
        <x:v>P101</x:v>
      </x:c>
      <x:c r="F18" t="str">
        <x:v>Completed</x:v>
      </x:c>
      <x:c r="G18" s="64" t="n">
        <x:v>172</x:v>
      </x:c>
      <x:c r="H18" s="65" t="n">
        <x:v>43800</x:v>
      </x:c>
      <x:c r="I18" s="65" t="n">
        <x:v>22800</x:v>
      </x:c>
      <x:c r="J18" s="66" t="n">
        <x:v>4.2</x:v>
      </x:c>
    </x:row>
    <x:row r="19" ht="20" customHeight="1">
      <x:c r="A19" t="str">
        <x:v>AO-26018</x:v>
      </x:c>
      <x:c r="B19" s="63" t="n">
        <x:v>46117</x:v>
      </x:c>
      <x:c r="C19" t="str">
        <x:v>Wedding</x:v>
      </x:c>
      <x:c r="D19" t="str">
        <x:v>South</x:v>
      </x:c>
      <x:c r="E19" t="str">
        <x:v>P104</x:v>
      </x:c>
      <x:c r="F19" t="str">
        <x:v>Completed</x:v>
      </x:c>
      <x:c r="G19" s="64" t="n">
        <x:v>94</x:v>
      </x:c>
      <x:c r="H19" s="65" t="n">
        <x:v>33350</x:v>
      </x:c>
      <x:c r="I19" s="65" t="n">
        <x:v>18500</x:v>
      </x:c>
      <x:c r="J19" s="66" t="n">
        <x:v>4.4</x:v>
      </x:c>
    </x:row>
    <x:row r="20" ht="20" customHeight="1">
      <x:c r="A20" t="str">
        <x:v>AO-26019</x:v>
      </x:c>
      <x:c r="B20" s="63" t="n">
        <x:v>46122</x:v>
      </x:c>
      <x:c r="C20" t="str">
        <x:v>Wedding</x:v>
      </x:c>
      <x:c r="D20" t="str">
        <x:v>East</x:v>
      </x:c>
      <x:c r="E20" t="str">
        <x:v>P105</x:v>
      </x:c>
      <x:c r="F20" t="str">
        <x:v>Booked</x:v>
      </x:c>
      <x:c r="G20" s="64" t="n">
        <x:v>111</x:v>
      </x:c>
      <x:c r="H20" s="65" t="n">
        <x:v>36650</x:v>
      </x:c>
      <x:c r="I20" s="65" t="n">
        <x:v>21600</x:v>
      </x:c>
      <x:c r="J20" s="66"/>
    </x:row>
    <x:row r="21" ht="20" customHeight="1">
      <x:c r="A21" t="str">
        <x:v>AO-26020</x:v>
      </x:c>
      <x:c r="B21" s="63" t="n">
        <x:v>46127</x:v>
      </x:c>
      <x:c r="C21" t="str">
        <x:v>Wedding</x:v>
      </x:c>
      <x:c r="D21" t="str">
        <x:v>West</x:v>
      </x:c>
      <x:c r="E21" t="str">
        <x:v>P108</x:v>
      </x:c>
      <x:c r="F21" t="str">
        <x:v>Completed</x:v>
      </x:c>
      <x:c r="G21" s="64" t="n">
        <x:v>128</x:v>
      </x:c>
      <x:c r="H21" s="65" t="n">
        <x:v>39950</x:v>
      </x:c>
      <x:c r="I21" s="65" t="n">
        <x:v>24950</x:v>
      </x:c>
      <x:c r="J21" s="66" t="n">
        <x:v>4.7</x:v>
      </x:c>
    </x:row>
    <x:row r="22" ht="20" customHeight="1">
      <x:c r="A22" t="str">
        <x:v>AO-26021</x:v>
      </x:c>
      <x:c r="B22" s="63" t="n">
        <x:v>46132</x:v>
      </x:c>
      <x:c r="C22" t="str">
        <x:v>Corporate</x:v>
      </x:c>
      <x:c r="D22" t="str">
        <x:v>North</x:v>
      </x:c>
      <x:c r="E22" t="str">
        <x:v>P102</x:v>
      </x:c>
      <x:c r="F22" t="str">
        <x:v>Cancelled</x:v>
      </x:c>
      <x:c r="G22" s="64" t="n">
        <x:v>110</x:v>
      </x:c>
      <x:c r="H22" s="65" t="n">
        <x:v>22700</x:v>
      </x:c>
      <x:c r="I22" s="65" t="n">
        <x:v>11800</x:v>
      </x:c>
      <x:c r="J22" s="66"/>
    </x:row>
    <x:row r="23" ht="20" customHeight="1">
      <x:c r="A23" t="str">
        <x:v>AO-26022</x:v>
      </x:c>
      <x:c r="B23" s="63" t="n">
        <x:v>46137</x:v>
      </x:c>
      <x:c r="C23" t="str">
        <x:v>Corporate</x:v>
      </x:c>
      <x:c r="D23" t="str">
        <x:v>South</x:v>
      </x:c>
      <x:c r="E23" t="str">
        <x:v>P103</x:v>
      </x:c>
      <x:c r="F23" t="str">
        <x:v>Completed</x:v>
      </x:c>
      <x:c r="G23" s="64" t="n">
        <x:v>127</x:v>
      </x:c>
      <x:c r="H23" s="65" t="n">
        <x:v>25600</x:v>
      </x:c>
      <x:c r="I23" s="65" t="n">
        <x:v>14200</x:v>
      </x:c>
      <x:c r="J23" s="66" t="n">
        <x:v>3.9</x:v>
      </x:c>
    </x:row>
    <x:row r="24" ht="20" customHeight="1">
      <x:c r="A24" t="str">
        <x:v>AO-26023</x:v>
      </x:c>
      <x:c r="B24" s="63" t="n">
        <x:v>46142</x:v>
      </x:c>
      <x:c r="C24" t="str">
        <x:v>Corporate</x:v>
      </x:c>
      <x:c r="D24" t="str">
        <x:v>East</x:v>
      </x:c>
      <x:c r="E24" t="str">
        <x:v>P106</x:v>
      </x:c>
      <x:c r="F24" t="str">
        <x:v>Completed</x:v>
      </x:c>
      <x:c r="G24" s="64" t="n">
        <x:v>144</x:v>
      </x:c>
      <x:c r="H24" s="65" t="n">
        <x:v>28500</x:v>
      </x:c>
      <x:c r="I24" s="65" t="n">
        <x:v>16800</x:v>
      </x:c>
      <x:c r="J24" s="66" t="n">
        <x:v>4.1</x:v>
      </x:c>
    </x:row>
    <x:row r="25" ht="20" customHeight="1">
      <x:c r="A25" t="str">
        <x:v>AO-26024</x:v>
      </x:c>
      <x:c r="B25" s="63" t="n">
        <x:v>46147</x:v>
      </x:c>
      <x:c r="C25" t="str">
        <x:v>Corporate</x:v>
      </x:c>
      <x:c r="D25" t="str">
        <x:v>West</x:v>
      </x:c>
      <x:c r="E25" t="str">
        <x:v>P107</x:v>
      </x:c>
      <x:c r="F25" t="str">
        <x:v>Completed</x:v>
      </x:c>
      <x:c r="G25" s="64" t="n">
        <x:v>66</x:v>
      </x:c>
      <x:c r="H25" s="65" t="n">
        <x:v>19950</x:v>
      </x:c>
      <x:c r="I25" s="65" t="n">
        <x:v>12450</x:v>
      </x:c>
      <x:c r="J25" s="66" t="n">
        <x:v>4.2</x:v>
      </x:c>
    </x:row>
    <x:row r="26" ht="20" customHeight="1">
      <x:c r="A26" t="str">
        <x:v>AO-26025</x:v>
      </x:c>
      <x:c r="B26" s="63" t="n">
        <x:v>46152</x:v>
      </x:c>
      <x:c r="C26" t="str">
        <x:v>Nonprofit Gala</x:v>
      </x:c>
      <x:c r="D26" t="str">
        <x:v>North</x:v>
      </x:c>
      <x:c r="E26" t="str">
        <x:v>P101</x:v>
      </x:c>
      <x:c r="F26" t="str">
        <x:v>Booked</x:v>
      </x:c>
      <x:c r="G26" s="64" t="n">
        <x:v>148</x:v>
      </x:c>
      <x:c r="H26" s="65" t="n">
        <x:v>32450</x:v>
      </x:c>
      <x:c r="I26" s="65" t="n">
        <x:v>16850</x:v>
      </x:c>
      <x:c r="J26" s="66"/>
    </x:row>
    <x:row r="27" ht="20" customHeight="1">
      <x:c r="A27" t="str">
        <x:v>AO-26026</x:v>
      </x:c>
      <x:c r="B27" s="63" t="n">
        <x:v>46157</x:v>
      </x:c>
      <x:c r="C27" t="str">
        <x:v>Nonprofit Gala</x:v>
      </x:c>
      <x:c r="D27" t="str">
        <x:v>South</x:v>
      </x:c>
      <x:c r="E27" t="str">
        <x:v>P104</x:v>
      </x:c>
      <x:c r="F27" t="str">
        <x:v>Completed</x:v>
      </x:c>
      <x:c r="G27" s="64" t="n">
        <x:v>165</x:v>
      </x:c>
      <x:c r="H27" s="65" t="n">
        <x:v>30700</x:v>
      </x:c>
      <x:c r="I27" s="65" t="n">
        <x:v>17050</x:v>
      </x:c>
      <x:c r="J27" s="66" t="n">
        <x:v>4.5</x:v>
      </x:c>
    </x:row>
    <x:row r="28" ht="20" customHeight="1">
      <x:c r="A28" t="str">
        <x:v>AO-26027</x:v>
      </x:c>
      <x:c r="B28" s="63" t="n">
        <x:v>46162</x:v>
      </x:c>
      <x:c r="C28" t="str">
        <x:v>Nonprofit Gala</x:v>
      </x:c>
      <x:c r="D28" t="str">
        <x:v>East</x:v>
      </x:c>
      <x:c r="E28" t="str">
        <x:v>P105</x:v>
      </x:c>
      <x:c r="F28" t="str">
        <x:v>Completed</x:v>
      </x:c>
      <x:c r="G28" s="64" t="n">
        <x:v>182</x:v>
      </x:c>
      <x:c r="H28" s="65" t="n">
        <x:v>33150</x:v>
      </x:c>
      <x:c r="I28" s="65" t="n">
        <x:v>19550</x:v>
      </x:c>
      <x:c r="J28" s="66" t="n">
        <x:v>4.7</x:v>
      </x:c>
    </x:row>
    <x:row r="29" ht="20" customHeight="1">
      <x:c r="A29" t="str">
        <x:v>AO-26028</x:v>
      </x:c>
      <x:c r="B29" s="63" t="n">
        <x:v>46167</x:v>
      </x:c>
      <x:c r="C29" t="str">
        <x:v>Nonprofit Gala</x:v>
      </x:c>
      <x:c r="D29" t="str">
        <x:v>West</x:v>
      </x:c>
      <x:c r="E29" t="str">
        <x:v>P108</x:v>
      </x:c>
      <x:c r="F29" t="str">
        <x:v>Completed</x:v>
      </x:c>
      <x:c r="G29" s="64" t="n">
        <x:v>199</x:v>
      </x:c>
      <x:c r="H29" s="65" t="n">
        <x:v>35600</x:v>
      </x:c>
      <x:c r="I29" s="65" t="n">
        <x:v>22250</x:v>
      </x:c>
      <x:c r="J29" s="66" t="n">
        <x:v>4.9</x:v>
      </x:c>
    </x:row>
    <x:row r="30" ht="20" customHeight="1">
      <x:c r="A30" t="str">
        <x:v>AO-26029</x:v>
      </x:c>
      <x:c r="B30" s="63" t="n">
        <x:v>46172</x:v>
      </x:c>
      <x:c r="C30" t="str">
        <x:v>Private Celebration</x:v>
      </x:c>
      <x:c r="D30" t="str">
        <x:v>North</x:v>
      </x:c>
      <x:c r="E30" t="str">
        <x:v>P102</x:v>
      </x:c>
      <x:c r="F30" t="str">
        <x:v>Completed</x:v>
      </x:c>
      <x:c r="G30" s="64" t="n">
        <x:v>41</x:v>
      </x:c>
      <x:c r="H30" s="65" t="n">
        <x:v>14050</x:v>
      </x:c>
      <x:c r="I30" s="65" t="n">
        <x:v>7300</x:v>
      </x:c>
      <x:c r="J30" s="66" t="n">
        <x:v>3.9</x:v>
      </x:c>
    </x:row>
    <x:row r="31" ht="20" customHeight="1">
      <x:c r="A31" t="str">
        <x:v>AO-26030</x:v>
      </x:c>
      <x:c r="B31" s="63" t="n">
        <x:v>46177</x:v>
      </x:c>
      <x:c r="C31" t="str">
        <x:v>Private Celebration</x:v>
      </x:c>
      <x:c r="D31" t="str">
        <x:v>South</x:v>
      </x:c>
      <x:c r="E31" t="str">
        <x:v>P103</x:v>
      </x:c>
      <x:c r="F31" t="str">
        <x:v>Completed</x:v>
      </x:c>
      <x:c r="G31" s="64" t="n">
        <x:v>58</x:v>
      </x:c>
      <x:c r="H31" s="65" t="n">
        <x:v>16800</x:v>
      </x:c>
      <x:c r="I31" s="65" t="n">
        <x:v>9300</x:v>
      </x:c>
      <x:c r="J31" s="66" t="n">
        <x:v>4.1</x:v>
      </x:c>
    </x:row>
    <x:row r="32" ht="20" customHeight="1">
      <x:c r="A32" t="str">
        <x:v>AO-26031</x:v>
      </x:c>
      <x:c r="B32" s="63" t="n">
        <x:v>46182</x:v>
      </x:c>
      <x:c r="C32" t="str">
        <x:v>Private Celebration</x:v>
      </x:c>
      <x:c r="D32" t="str">
        <x:v>East</x:v>
      </x:c>
      <x:c r="E32" t="str">
        <x:v>P106</x:v>
      </x:c>
      <x:c r="F32" t="str">
        <x:v>Cancelled</x:v>
      </x:c>
      <x:c r="G32" s="64" t="n">
        <x:v>75</x:v>
      </x:c>
      <x:c r="H32" s="65" t="n">
        <x:v>15250</x:v>
      </x:c>
      <x:c r="I32" s="65" t="n">
        <x:v>9000</x:v>
      </x:c>
      <x:c r="J32" s="66"/>
    </x:row>
    <x:row r="33" ht="20" customHeight="1">
      <x:c r="A33" t="str">
        <x:v>AO-26032</x:v>
      </x:c>
      <x:c r="B33" s="63" t="n">
        <x:v>46187</x:v>
      </x:c>
      <x:c r="C33" t="str">
        <x:v>Private Celebration</x:v>
      </x:c>
      <x:c r="D33" t="str">
        <x:v>West</x:v>
      </x:c>
      <x:c r="E33" t="str">
        <x:v>P107</x:v>
      </x:c>
      <x:c r="F33" t="str">
        <x:v>Completed</x:v>
      </x:c>
      <x:c r="G33" s="64" t="n">
        <x:v>92</x:v>
      </x:c>
      <x:c r="H33" s="65" t="n">
        <x:v>17950</x:v>
      </x:c>
      <x:c r="I33" s="65" t="n">
        <x:v>11200</x:v>
      </x:c>
      <x:c r="J33" s="66" t="n">
        <x:v>4.4</x:v>
      </x:c>
    </x:row>
    <x:row r="34" ht="20" customHeight="1">
      <x:c r="A34" t="str">
        <x:v>AO-26033</x:v>
      </x:c>
      <x:c r="B34" s="63" t="n">
        <x:v>46192</x:v>
      </x:c>
      <x:c r="C34" t="str">
        <x:v>Wedding</x:v>
      </x:c>
      <x:c r="D34" t="str">
        <x:v>North</x:v>
      </x:c>
      <x:c r="E34" t="str">
        <x:v>P101</x:v>
      </x:c>
      <x:c r="F34" t="str">
        <x:v>Completed</x:v>
      </x:c>
      <x:c r="G34" s="64" t="n">
        <x:v>159</x:v>
      </x:c>
      <x:c r="H34" s="65" t="n">
        <x:v>42750</x:v>
      </x:c>
      <x:c r="I34" s="65" t="n">
        <x:v>22250</x:v>
      </x:c>
      <x:c r="J34" s="66" t="n">
        <x:v>4.5</x:v>
      </x:c>
    </x:row>
    <x:row r="35" ht="20" customHeight="1">
      <x:c r="A35" t="str">
        <x:v>AO-26034</x:v>
      </x:c>
      <x:c r="B35" s="63" t="n">
        <x:v>46197</x:v>
      </x:c>
      <x:c r="C35" t="str">
        <x:v>Wedding</x:v>
      </x:c>
      <x:c r="D35" t="str">
        <x:v>South</x:v>
      </x:c>
      <x:c r="E35" t="str">
        <x:v>P104</x:v>
      </x:c>
      <x:c r="F35" t="str">
        <x:v>Completed</x:v>
      </x:c>
      <x:c r="G35" s="64" t="n">
        <x:v>176</x:v>
      </x:c>
      <x:c r="H35" s="65" t="n">
        <x:v>46050</x:v>
      </x:c>
      <x:c r="I35" s="65" t="n">
        <x:v>25550</x:v>
      </x:c>
      <x:c r="J35" s="66" t="n">
        <x:v>4.7</x:v>
      </x:c>
    </x:row>
    <x:row r="36" ht="20" customHeight="1">
      <x:c r="A36" t="str">
        <x:v>AO-26035</x:v>
      </x:c>
      <x:c r="B36" s="63" t="n">
        <x:v>46202</x:v>
      </x:c>
      <x:c r="C36" t="str">
        <x:v>Wedding</x:v>
      </x:c>
      <x:c r="D36" t="str">
        <x:v>East</x:v>
      </x:c>
      <x:c r="E36" t="str">
        <x:v>P105</x:v>
      </x:c>
      <x:c r="F36" t="str">
        <x:v>Completed</x:v>
      </x:c>
      <x:c r="G36" s="64" t="n">
        <x:v>98</x:v>
      </x:c>
      <x:c r="H36" s="65" t="n">
        <x:v>35600</x:v>
      </x:c>
      <x:c r="I36" s="65" t="n">
        <x:v>21000</x:v>
      </x:c>
      <x:c r="J36" s="66" t="n">
        <x:v>4.9</x:v>
      </x:c>
    </x:row>
    <x:row r="37" ht="20" customHeight="1">
      <x:c r="A37" t="str">
        <x:v>AO-26036</x:v>
      </x:c>
      <x:c r="B37" s="63" t="n">
        <x:v>46207</x:v>
      </x:c>
      <x:c r="C37" t="str">
        <x:v>Wedding</x:v>
      </x:c>
      <x:c r="D37" t="str">
        <x:v>West</x:v>
      </x:c>
      <x:c r="E37" t="str">
        <x:v>P108</x:v>
      </x:c>
      <x:c r="F37" t="str">
        <x:v>Completed</x:v>
      </x:c>
      <x:c r="G37" s="64" t="n">
        <x:v>115</x:v>
      </x:c>
      <x:c r="H37" s="65" t="n">
        <x:v>34700</x:v>
      </x:c>
      <x:c r="I37" s="65" t="n">
        <x:v>21700</x:v>
      </x:c>
      <x:c r="J37" s="66" t="n">
        <x:v>3.9</x:v>
      </x:c>
    </x:row>
    <x:row r="38" ht="20" customHeight="1">
      <x:c r="A38" t="str">
        <x:v>AO-26037</x:v>
      </x:c>
      <x:c r="B38" s="63" t="n">
        <x:v>46212</x:v>
      </x:c>
      <x:c r="C38" t="str">
        <x:v>Corporate</x:v>
      </x:c>
      <x:c r="D38" t="str">
        <x:v>North</x:v>
      </x:c>
      <x:c r="E38" t="str">
        <x:v>P102</x:v>
      </x:c>
      <x:c r="F38" t="str">
        <x:v>Booked</x:v>
      </x:c>
      <x:c r="G38" s="64" t="n">
        <x:v>97</x:v>
      </x:c>
      <x:c r="H38" s="65" t="n">
        <x:v>22000</x:v>
      </x:c>
      <x:c r="I38" s="65" t="n">
        <x:v>11450</x:v>
      </x:c>
      <x:c r="J38" s="66"/>
    </x:row>
    <x:row r="39" ht="20" customHeight="1">
      <x:c r="A39" t="str">
        <x:v>AO-26038</x:v>
      </x:c>
      <x:c r="B39" s="63" t="n">
        <x:v>46217</x:v>
      </x:c>
      <x:c r="C39" t="str">
        <x:v>Corporate</x:v>
      </x:c>
      <x:c r="D39" t="str">
        <x:v>South</x:v>
      </x:c>
      <x:c r="E39" t="str">
        <x:v>P103</x:v>
      </x:c>
      <x:c r="F39" t="str">
        <x:v>Completed</x:v>
      </x:c>
      <x:c r="G39" s="64" t="n">
        <x:v>114</x:v>
      </x:c>
      <x:c r="H39" s="65" t="n">
        <x:v>24900</x:v>
      </x:c>
      <x:c r="I39" s="65" t="n">
        <x:v>13800</x:v>
      </x:c>
      <x:c r="J39" s="66" t="n">
        <x:v>4.2</x:v>
      </x:c>
    </x:row>
    <x:row r="40" ht="20" customHeight="1">
      <x:c r="A40" t="str">
        <x:v>AO-26039</x:v>
      </x:c>
      <x:c r="B40" s="63" t="n">
        <x:v>46222</x:v>
      </x:c>
      <x:c r="C40" t="str">
        <x:v>Corporate</x:v>
      </x:c>
      <x:c r="D40" t="str">
        <x:v>East</x:v>
      </x:c>
      <x:c r="E40" t="str">
        <x:v>P106</x:v>
      </x:c>
      <x:c r="F40" t="str">
        <x:v>Completed</x:v>
      </x:c>
      <x:c r="G40" s="64" t="n">
        <x:v>131</x:v>
      </x:c>
      <x:c r="H40" s="65" t="n">
        <x:v>27750</x:v>
      </x:c>
      <x:c r="I40" s="65" t="n">
        <x:v>16350</x:v>
      </x:c>
      <x:c r="J40" s="66" t="n">
        <x:v>4.4</x:v>
      </x:c>
    </x:row>
    <x:row r="41" ht="20" customHeight="1">
      <x:c r="A41" t="str">
        <x:v>AO-26040</x:v>
      </x:c>
      <x:c r="B41" s="63" t="n">
        <x:v>46227</x:v>
      </x:c>
      <x:c r="C41" t="str">
        <x:v>Corporate</x:v>
      </x:c>
      <x:c r="D41" t="str">
        <x:v>West</x:v>
      </x:c>
      <x:c r="E41" t="str">
        <x:v>P107</x:v>
      </x:c>
      <x:c r="F41" t="str">
        <x:v>Completed</x:v>
      </x:c>
      <x:c r="G41" s="64" t="n">
        <x:v>148</x:v>
      </x:c>
      <x:c r="H41" s="65" t="n">
        <x:v>30650</x:v>
      </x:c>
      <x:c r="I41" s="65" t="n">
        <x:v>19150</x:v>
      </x:c>
      <x:c r="J41" s="66" t="n">
        <x:v>4.5</x:v>
      </x:c>
    </x:row>
    <x:row r="42" ht="20" customHeight="1">
      <x:c r="A42" t="str">
        <x:v>AO-26041</x:v>
      </x:c>
      <x:c r="B42" s="63" t="n">
        <x:v>46232</x:v>
      </x:c>
      <x:c r="C42" t="str">
        <x:v>Nonprofit Gala</x:v>
      </x:c>
      <x:c r="D42" t="str">
        <x:v>North</x:v>
      </x:c>
      <x:c r="E42" t="str">
        <x:v>P101</x:v>
      </x:c>
      <x:c r="F42" t="str">
        <x:v>Cancelled</x:v>
      </x:c>
      <x:c r="G42" s="64" t="n">
        <x:v>135</x:v>
      </x:c>
      <x:c r="H42" s="65" t="n">
        <x:v>27850</x:v>
      </x:c>
      <x:c r="I42" s="65" t="n">
        <x:v>14500</x:v>
      </x:c>
      <x:c r="J42" s="66"/>
    </x:row>
    <x:row r="43" ht="20" customHeight="1">
      <x:c r="A43" t="str">
        <x:v>AO-26042</x:v>
      </x:c>
      <x:c r="B43" s="63" t="n">
        <x:v>46237</x:v>
      </x:c>
      <x:c r="C43" t="str">
        <x:v>Nonprofit Gala</x:v>
      </x:c>
      <x:c r="D43" t="str">
        <x:v>South</x:v>
      </x:c>
      <x:c r="E43" t="str">
        <x:v>P104</x:v>
      </x:c>
      <x:c r="F43" t="str">
        <x:v>Completed</x:v>
      </x:c>
      <x:c r="G43" s="64" t="n">
        <x:v>152</x:v>
      </x:c>
      <x:c r="H43" s="65" t="n">
        <x:v>30300</x:v>
      </x:c>
      <x:c r="I43" s="65" t="n">
        <x:v>16800</x:v>
      </x:c>
      <x:c r="J43" s="66" t="n">
        <x:v>4.9</x:v>
      </x:c>
    </x:row>
    <x:row r="44" ht="20" customHeight="1">
      <x:c r="A44" t="str">
        <x:v>AO-26043</x:v>
      </x:c>
      <x:c r="B44" s="63" t="n">
        <x:v>46242</x:v>
      </x:c>
      <x:c r="C44" t="str">
        <x:v>Nonprofit Gala</x:v>
      </x:c>
      <x:c r="D44" t="str">
        <x:v>East</x:v>
      </x:c>
      <x:c r="E44" t="str">
        <x:v>P105</x:v>
      </x:c>
      <x:c r="F44" t="str">
        <x:v>Booked</x:v>
      </x:c>
      <x:c r="G44" s="64" t="n">
        <x:v>169</x:v>
      </x:c>
      <x:c r="H44" s="65" t="n">
        <x:v>32750</x:v>
      </x:c>
      <x:c r="I44" s="65" t="n">
        <x:v>19300</x:v>
      </x:c>
      <x:c r="J44" s="66"/>
    </x:row>
    <x:row r="45" ht="20" customHeight="1">
      <x:c r="A45" t="str">
        <x:v>AO-26044</x:v>
      </x:c>
      <x:c r="B45" s="63" t="n">
        <x:v>46247</x:v>
      </x:c>
      <x:c r="C45" t="str">
        <x:v>Nonprofit Gala</x:v>
      </x:c>
      <x:c r="D45" t="str">
        <x:v>West</x:v>
      </x:c>
      <x:c r="E45" t="str">
        <x:v>P108</x:v>
      </x:c>
      <x:c r="F45" t="str">
        <x:v>Completed</x:v>
      </x:c>
      <x:c r="G45" s="64" t="n">
        <x:v>186</x:v>
      </x:c>
      <x:c r="H45" s="65" t="n">
        <x:v>35200</x:v>
      </x:c>
      <x:c r="I45" s="65" t="n">
        <x:v>22000</x:v>
      </x:c>
      <x:c r="J45" s="66" t="n">
        <x:v>4.1</x:v>
      </x:c>
    </x:row>
    <x:row r="46" ht="20" customHeight="1">
      <x:c r="A46" t="str">
        <x:v>AO-26045</x:v>
      </x:c>
      <x:c r="B46" s="63" t="n">
        <x:v>46252</x:v>
      </x:c>
      <x:c r="C46" t="str">
        <x:v>Private Celebration</x:v>
      </x:c>
      <x:c r="D46" t="str">
        <x:v>North</x:v>
      </x:c>
      <x:c r="E46" t="str">
        <x:v>P102</x:v>
      </x:c>
      <x:c r="F46" t="str">
        <x:v>Completed</x:v>
      </x:c>
      <x:c r="G46" s="64" t="n">
        <x:v>123</x:v>
      </x:c>
      <x:c r="H46" s="65" t="n">
        <x:v>23950</x:v>
      </x:c>
      <x:c r="I46" s="65" t="n">
        <x:v>12450</x:v>
      </x:c>
      <x:c r="J46" s="66" t="n">
        <x:v>4.2</x:v>
      </x:c>
    </x:row>
    <x:row r="47" ht="20" customHeight="1">
      <x:c r="A47" t="str">
        <x:v>AO-26046</x:v>
      </x:c>
      <x:c r="B47" s="63" t="n">
        <x:v>46257</x:v>
      </x:c>
      <x:c r="C47" t="str">
        <x:v>Private Celebration</x:v>
      </x:c>
      <x:c r="D47" t="str">
        <x:v>South</x:v>
      </x:c>
      <x:c r="E47" t="str">
        <x:v>P103</x:v>
      </x:c>
      <x:c r="F47" t="str">
        <x:v>Completed</x:v>
      </x:c>
      <x:c r="G47" s="64" t="n">
        <x:v>45</x:v>
      </x:c>
      <x:c r="H47" s="65" t="n">
        <x:v>11950</x:v>
      </x:c>
      <x:c r="I47" s="65" t="n">
        <x:v>6650</x:v>
      </x:c>
      <x:c r="J47" s="66" t="n">
        <x:v>4.4</x:v>
      </x:c>
    </x:row>
    <x:row r="48" ht="20" customHeight="1">
      <x:c r="A48" t="str">
        <x:v>AO-26047</x:v>
      </x:c>
      <x:c r="B48" s="63" t="n">
        <x:v>46262</x:v>
      </x:c>
      <x:c r="C48" t="str">
        <x:v>Private Celebration</x:v>
      </x:c>
      <x:c r="D48" t="str">
        <x:v>East</x:v>
      </x:c>
      <x:c r="E48" t="str">
        <x:v>P106</x:v>
      </x:c>
      <x:c r="F48" t="str">
        <x:v>Completed</x:v>
      </x:c>
      <x:c r="G48" s="64" t="n">
        <x:v>62</x:v>
      </x:c>
      <x:c r="H48" s="65" t="n">
        <x:v>14650</x:v>
      </x:c>
      <x:c r="I48" s="65" t="n">
        <x:v>8650</x:v>
      </x:c>
      <x:c r="J48" s="66" t="n">
        <x:v>4.5</x:v>
      </x:c>
    </x:row>
    <x:row r="49" ht="20" customHeight="1">
      <x:c r="A49" t="str">
        <x:v>AO-26048</x:v>
      </x:c>
      <x:c r="B49" s="63" t="n">
        <x:v>46267</x:v>
      </x:c>
      <x:c r="C49" t="str">
        <x:v>Private Celebration</x:v>
      </x:c>
      <x:c r="D49" t="str">
        <x:v>West</x:v>
      </x:c>
      <x:c r="E49" t="str">
        <x:v>P107</x:v>
      </x:c>
      <x:c r="F49" t="str">
        <x:v>Completed</x:v>
      </x:c>
      <x:c r="G49" s="64" t="n">
        <x:v>79</x:v>
      </x:c>
      <x:c r="H49" s="65" t="n">
        <x:v>17400</x:v>
      </x:c>
      <x:c r="I49" s="65" t="n">
        <x:v>10900</x:v>
      </x:c>
      <x:c r="J49" s="66" t="n">
        <x:v>4.7</x:v>
      </x:c>
    </x:row>
    <x:row r="50" ht="20" customHeight="1">
      <x:c r="A50" t="str">
        <x:v>AO-26049</x:v>
      </x:c>
      <x:c r="B50" s="63" t="n">
        <x:v>46272</x:v>
      </x:c>
      <x:c r="C50" t="str">
        <x:v>Wedding</x:v>
      </x:c>
      <x:c r="D50" t="str">
        <x:v>North</x:v>
      </x:c>
      <x:c r="E50" t="str">
        <x:v>P101</x:v>
      </x:c>
      <x:c r="F50" t="str">
        <x:v>Booked</x:v>
      </x:c>
      <x:c r="G50" s="64" t="n">
        <x:v>146</x:v>
      </x:c>
      <x:c r="H50" s="65" t="n">
        <x:v>41700</x:v>
      </x:c>
      <x:c r="I50" s="65" t="n">
        <x:v>21700</x:v>
      </x:c>
      <x:c r="J50" s="66"/>
    </x:row>
    <x:row r="51" ht="20" customHeight="1">
      <x:c r="A51" t="str">
        <x:v>AO-26050</x:v>
      </x:c>
      <x:c r="B51" s="63" t="n">
        <x:v>46277</x:v>
      </x:c>
      <x:c r="C51" t="str">
        <x:v>Wedding</x:v>
      </x:c>
      <x:c r="D51" t="str">
        <x:v>South</x:v>
      </x:c>
      <x:c r="E51" t="str">
        <x:v>P104</x:v>
      </x:c>
      <x:c r="F51" t="str">
        <x:v>Completed</x:v>
      </x:c>
      <x:c r="G51" s="64" t="n">
        <x:v>163</x:v>
      </x:c>
      <x:c r="H51" s="65" t="n">
        <x:v>45050</x:v>
      </x:c>
      <x:c r="I51" s="65" t="n">
        <x:v>25000</x:v>
      </x:c>
      <x:c r="J51" s="66" t="n">
        <x:v>3.9</x:v>
      </x:c>
    </x:row>
    <x:row r="52" ht="20" customHeight="1">
      <x:c r="A52" t="str">
        <x:v>AO-26051</x:v>
      </x:c>
      <x:c r="B52" s="63" t="n">
        <x:v>46282</x:v>
      </x:c>
      <x:c r="C52" t="str">
        <x:v>Wedding</x:v>
      </x:c>
      <x:c r="D52" t="str">
        <x:v>East</x:v>
      </x:c>
      <x:c r="E52" t="str">
        <x:v>P105</x:v>
      </x:c>
      <x:c r="F52" t="str">
        <x:v>Cancelled</x:v>
      </x:c>
      <x:c r="G52" s="64" t="n">
        <x:v>180</x:v>
      </x:c>
      <x:c r="H52" s="65" t="n">
        <x:v>44100</x:v>
      </x:c>
      <x:c r="I52" s="65" t="n">
        <x:v>26000</x:v>
      </x:c>
      <x:c r="J52" s="66"/>
    </x:row>
    <x:row r="53" ht="20" customHeight="1">
      <x:c r="A53" t="str">
        <x:v>AO-26052</x:v>
      </x:c>
      <x:c r="B53" s="63" t="n">
        <x:v>46287</x:v>
      </x:c>
      <x:c r="C53" t="str">
        <x:v>Wedding</x:v>
      </x:c>
      <x:c r="D53" t="str">
        <x:v>West</x:v>
      </x:c>
      <x:c r="E53" t="str">
        <x:v>P108</x:v>
      </x:c>
      <x:c r="F53" t="str">
        <x:v>Completed</x:v>
      </x:c>
      <x:c r="G53" s="64" t="n">
        <x:v>102</x:v>
      </x:c>
      <x:c r="H53" s="65" t="n">
        <x:v>33650</x:v>
      </x:c>
      <x:c r="I53" s="65" t="n">
        <x:v>21050</x:v>
      </x:c>
      <x:c r="J53" s="66" t="n">
        <x:v>4.2</x:v>
      </x:c>
    </x:row>
    <x:row r="54" ht="20" customHeight="1">
      <x:c r="A54" t="str">
        <x:v>AO-26053</x:v>
      </x:c>
      <x:c r="B54" s="63" t="n">
        <x:v>46292</x:v>
      </x:c>
      <x:c r="C54" t="str">
        <x:v>Corporate</x:v>
      </x:c>
      <x:c r="D54" t="str">
        <x:v>North</x:v>
      </x:c>
      <x:c r="E54" t="str">
        <x:v>P102</x:v>
      </x:c>
      <x:c r="F54" t="str">
        <x:v>Completed</x:v>
      </x:c>
      <x:c r="G54" s="64" t="n">
        <x:v>84</x:v>
      </x:c>
      <x:c r="H54" s="65" t="n">
        <x:v>21300</x:v>
      </x:c>
      <x:c r="I54" s="65" t="n">
        <x:v>11100</x:v>
      </x:c>
      <x:c r="J54" s="66" t="n">
        <x:v>4.4</x:v>
      </x:c>
    </x:row>
    <x:row r="55" ht="20" customHeight="1">
      <x:c r="A55" t="str">
        <x:v>AO-26054</x:v>
      </x:c>
      <x:c r="B55" s="63" t="n">
        <x:v>46297</x:v>
      </x:c>
      <x:c r="C55" t="str">
        <x:v>Corporate</x:v>
      </x:c>
      <x:c r="D55" t="str">
        <x:v>South</x:v>
      </x:c>
      <x:c r="E55" t="str">
        <x:v>P103</x:v>
      </x:c>
      <x:c r="F55" t="str">
        <x:v>Completed</x:v>
      </x:c>
      <x:c r="G55" s="64" t="n">
        <x:v>101</x:v>
      </x:c>
      <x:c r="H55" s="65" t="n">
        <x:v>24150</x:v>
      </x:c>
      <x:c r="I55" s="65" t="n">
        <x:v>13400</x:v>
      </x:c>
      <x:c r="J55" s="66" t="n">
        <x:v>4.5</x:v>
      </x:c>
    </x:row>
    <x:row r="56" ht="20" customHeight="1">
      <x:c r="A56" t="str">
        <x:v>AO-26055</x:v>
      </x:c>
      <x:c r="B56" s="63" t="n">
        <x:v>46302</x:v>
      </x:c>
      <x:c r="C56" t="str">
        <x:v>Corporate</x:v>
      </x:c>
      <x:c r="D56" t="str">
        <x:v>East</x:v>
      </x:c>
      <x:c r="E56" t="str">
        <x:v>P106</x:v>
      </x:c>
      <x:c r="F56" t="str">
        <x:v>Booked</x:v>
      </x:c>
      <x:c r="G56" s="64" t="n">
        <x:v>118</x:v>
      </x:c>
      <x:c r="H56" s="65" t="n">
        <x:v>27050</x:v>
      </x:c>
      <x:c r="I56" s="65" t="n">
        <x:v>15950</x:v>
      </x:c>
      <x:c r="J56" s="66"/>
    </x:row>
    <x:row r="57" ht="20" customHeight="1">
      <x:c r="A57" t="str">
        <x:v>AO-26056</x:v>
      </x:c>
      <x:c r="B57" s="63" t="n">
        <x:v>46307</x:v>
      </x:c>
      <x:c r="C57" t="str">
        <x:v>Corporate</x:v>
      </x:c>
      <x:c r="D57" t="str">
        <x:v>West</x:v>
      </x:c>
      <x:c r="E57" t="str">
        <x:v>P107</x:v>
      </x:c>
      <x:c r="F57" t="str">
        <x:v>Completed</x:v>
      </x:c>
      <x:c r="G57" s="64" t="n">
        <x:v>135</x:v>
      </x:c>
      <x:c r="H57" s="65" t="n">
        <x:v>25700</x:v>
      </x:c>
      <x:c r="I57" s="65" t="n">
        <x:v>16050</x:v>
      </x:c>
      <x:c r="J57" s="66" t="n">
        <x:v>4.9</x:v>
      </x:c>
    </x:row>
    <x:row r="58" ht="20" customHeight="1">
      <x:c r="A58" t="str">
        <x:v>AO-26057</x:v>
      </x:c>
      <x:c r="B58" s="63" t="n">
        <x:v>46312</x:v>
      </x:c>
      <x:c r="C58" t="str">
        <x:v>Nonprofit Gala</x:v>
      </x:c>
      <x:c r="D58" t="str">
        <x:v>North</x:v>
      </x:c>
      <x:c r="E58" t="str">
        <x:v>P101</x:v>
      </x:c>
      <x:c r="F58" t="str">
        <x:v>Completed</x:v>
      </x:c>
      <x:c r="G58" s="64" t="n">
        <x:v>122</x:v>
      </x:c>
      <x:c r="H58" s="65" t="n">
        <x:v>27450</x:v>
      </x:c>
      <x:c r="I58" s="65" t="n">
        <x:v>14250</x:v>
      </x:c>
      <x:c r="J58" s="66" t="n">
        <x:v>3.9</x:v>
      </x:c>
    </x:row>
    <x:row r="59" ht="20" customHeight="1">
      <x:c r="A59" t="str">
        <x:v>AO-26058</x:v>
      </x:c>
      <x:c r="B59" s="63" t="n">
        <x:v>46317</x:v>
      </x:c>
      <x:c r="C59" t="str">
        <x:v>Nonprofit Gala</x:v>
      </x:c>
      <x:c r="D59" t="str">
        <x:v>South</x:v>
      </x:c>
      <x:c r="E59" t="str">
        <x:v>P104</x:v>
      </x:c>
      <x:c r="F59" t="str">
        <x:v>Completed</x:v>
      </x:c>
      <x:c r="G59" s="64" t="n">
        <x:v>139</x:v>
      </x:c>
      <x:c r="H59" s="65" t="n">
        <x:v>29900</x:v>
      </x:c>
      <x:c r="I59" s="65" t="n">
        <x:v>16600</x:v>
      </x:c>
      <x:c r="J59" s="66" t="n">
        <x:v>4.1</x:v>
      </x:c>
    </x:row>
    <x:row r="60" ht="20" customHeight="1">
      <x:c r="A60" t="str">
        <x:v>AO-26059</x:v>
      </x:c>
      <x:c r="B60" s="63" t="n">
        <x:v>46322</x:v>
      </x:c>
      <x:c r="C60" t="str">
        <x:v>Nonprofit Gala</x:v>
      </x:c>
      <x:c r="D60" t="str">
        <x:v>East</x:v>
      </x:c>
      <x:c r="E60" t="str">
        <x:v>P105</x:v>
      </x:c>
      <x:c r="F60" t="str">
        <x:v>Completed</x:v>
      </x:c>
      <x:c r="G60" s="64" t="n">
        <x:v>156</x:v>
      </x:c>
      <x:c r="H60" s="65" t="n">
        <x:v>32350</x:v>
      </x:c>
      <x:c r="I60" s="65" t="n">
        <x:v>19100</x:v>
      </x:c>
      <x:c r="J60" s="66" t="n">
        <x:v>4.2</x:v>
      </x:c>
    </x:row>
    <x:row r="61" ht="20" customHeight="1">
      <x:c r="A61" t="str">
        <x:v>AO-26060</x:v>
      </x:c>
      <x:c r="B61" s="63" t="n">
        <x:v>46327</x:v>
      </x:c>
      <x:c r="C61" t="str">
        <x:v>Nonprofit Gala</x:v>
      </x:c>
      <x:c r="D61" t="str">
        <x:v>West</x:v>
      </x:c>
      <x:c r="E61" t="str">
        <x:v>P108</x:v>
      </x:c>
      <x:c r="F61" t="str">
        <x:v>Completed</x:v>
      </x:c>
      <x:c r="G61" s="64" t="n">
        <x:v>173</x:v>
      </x:c>
      <x:c r="H61" s="65" t="n">
        <x:v>34850</x:v>
      </x:c>
      <x:c r="I61" s="65" t="n">
        <x:v>21800</x:v>
      </x:c>
      <x:c r="J61" s="66" t="n">
        <x:v>4.4</x:v>
      </x:c>
    </x:row>
    <x:row r="62" ht="20" customHeight="1">
      <x:c r="A62" t="str">
        <x:v>AO-26061</x:v>
      </x:c>
      <x:c r="B62" s="63" t="n">
        <x:v>46332</x:v>
      </x:c>
      <x:c r="C62" t="str">
        <x:v>Private Celebration</x:v>
      </x:c>
      <x:c r="D62" t="str">
        <x:v>North</x:v>
      </x:c>
      <x:c r="E62" t="str">
        <x:v>P102</x:v>
      </x:c>
      <x:c r="F62" t="str">
        <x:v>Cancelled</x:v>
      </x:c>
      <x:c r="G62" s="64" t="n">
        <x:v>110</x:v>
      </x:c>
      <x:c r="H62" s="65" t="n">
        <x:v>19100</x:v>
      </x:c>
      <x:c r="I62" s="65" t="n">
        <x:v>9950</x:v>
      </x:c>
      <x:c r="J62" s="66"/>
    </x:row>
    <x:row r="63" ht="20" customHeight="1">
      <x:c r="A63" t="str">
        <x:v>AO-26062</x:v>
      </x:c>
      <x:c r="B63" s="63" t="n">
        <x:v>46337</x:v>
      </x:c>
      <x:c r="C63" t="str">
        <x:v>Private Celebration</x:v>
      </x:c>
      <x:c r="D63" t="str">
        <x:v>South</x:v>
      </x:c>
      <x:c r="E63" t="str">
        <x:v>P103</x:v>
      </x:c>
      <x:c r="F63" t="str">
        <x:v>Completed</x:v>
      </x:c>
      <x:c r="G63" s="64" t="n">
        <x:v>127</x:v>
      </x:c>
      <x:c r="H63" s="65" t="n">
        <x:v>21800</x:v>
      </x:c>
      <x:c r="I63" s="65" t="n">
        <x:v>12100</x:v>
      </x:c>
      <x:c r="J63" s="66" t="n">
        <x:v>4.7</x:v>
      </x:c>
    </x:row>
    <x:row r="64" ht="20" customHeight="1">
      <x:c r="A64" t="str">
        <x:v>AO-26063</x:v>
      </x:c>
      <x:c r="B64" s="63" t="n">
        <x:v>46342</x:v>
      </x:c>
      <x:c r="C64" t="str">
        <x:v>Private Celebration</x:v>
      </x:c>
      <x:c r="D64" t="str">
        <x:v>East</x:v>
      </x:c>
      <x:c r="E64" t="str">
        <x:v>P106</x:v>
      </x:c>
      <x:c r="F64" t="str">
        <x:v>Completed</x:v>
      </x:c>
      <x:c r="G64" s="64" t="n">
        <x:v>49</x:v>
      </x:c>
      <x:c r="H64" s="65" t="n">
        <x:v>14100</x:v>
      </x:c>
      <x:c r="I64" s="65" t="n">
        <x:v>8300</x:v>
      </x:c>
      <x:c r="J64" s="66" t="n">
        <x:v>4.9</x:v>
      </x:c>
    </x:row>
    <x:row r="65" ht="20" customHeight="1">
      <x:c r="A65" t="str">
        <x:v>AO-26064</x:v>
      </x:c>
      <x:c r="B65" s="63" t="n">
        <x:v>46347</x:v>
      </x:c>
      <x:c r="C65" t="str">
        <x:v>Private Celebration</x:v>
      </x:c>
      <x:c r="D65" t="str">
        <x:v>West</x:v>
      </x:c>
      <x:c r="E65" t="str">
        <x:v>P107</x:v>
      </x:c>
      <x:c r="F65" t="str">
        <x:v>Completed</x:v>
      </x:c>
      <x:c r="G65" s="64" t="n">
        <x:v>66</x:v>
      </x:c>
      <x:c r="H65" s="65" t="n">
        <x:v>16800</x:v>
      </x:c>
      <x:c r="I65" s="65" t="n">
        <x:v>10500</x:v>
      </x:c>
      <x:c r="J65" s="66" t="n">
        <x:v>3.9</x:v>
      </x:c>
    </x:row>
    <x:row r="66" ht="20" customHeight="1">
      <x:c r="A66" t="str">
        <x:v>AO-26065</x:v>
      </x:c>
      <x:c r="B66" s="63" t="n">
        <x:v>46352</x:v>
      </x:c>
      <x:c r="C66" t="str">
        <x:v>Wedding</x:v>
      </x:c>
      <x:c r="D66" t="str">
        <x:v>North</x:v>
      </x:c>
      <x:c r="E66" t="str">
        <x:v>P101</x:v>
      </x:c>
      <x:c r="F66" t="str">
        <x:v>Completed</x:v>
      </x:c>
      <x:c r="G66" s="64" t="n">
        <x:v>133</x:v>
      </x:c>
      <x:c r="H66" s="65" t="n">
        <x:v>40700</x:v>
      </x:c>
      <x:c r="I66" s="65" t="n">
        <x:v>21150</x:v>
      </x:c>
      <x:c r="J66" s="66" t="n">
        <x:v>4.1</x:v>
      </x:c>
    </x:row>
    <x:row r="67" ht="20" customHeight="1">
      <x:c r="A67" t="str">
        <x:v>AO-26066</x:v>
      </x:c>
      <x:c r="B67" s="63" t="n">
        <x:v>46357</x:v>
      </x:c>
      <x:c r="C67" t="str">
        <x:v>Wedding</x:v>
      </x:c>
      <x:c r="D67" t="str">
        <x:v>South</x:v>
      </x:c>
      <x:c r="E67" t="str">
        <x:v>P104</x:v>
      </x:c>
      <x:c r="F67" t="str">
        <x:v>Completed</x:v>
      </x:c>
      <x:c r="G67" s="64" t="n">
        <x:v>150</x:v>
      </x:c>
      <x:c r="H67" s="65" t="n">
        <x:v>39750</x:v>
      </x:c>
      <x:c r="I67" s="65" t="n">
        <x:v>22050</x:v>
      </x:c>
      <x:c r="J67" s="66" t="n">
        <x:v>4.2</x:v>
      </x:c>
    </x:row>
    <x:row r="68" ht="20" customHeight="1">
      <x:c r="A68" t="str">
        <x:v>AO-26067</x:v>
      </x:c>
      <x:c r="B68" s="63" t="n">
        <x:v>46362</x:v>
      </x:c>
      <x:c r="C68" t="str">
        <x:v>Wedding</x:v>
      </x:c>
      <x:c r="D68" t="str">
        <x:v>East</x:v>
      </x:c>
      <x:c r="E68" t="str">
        <x:v>P105</x:v>
      </x:c>
      <x:c r="F68" t="str">
        <x:v>Booked</x:v>
      </x:c>
      <x:c r="G68" s="64" t="n">
        <x:v>167</x:v>
      </x:c>
      <x:c r="H68" s="65" t="n">
        <x:v>43050</x:v>
      </x:c>
      <x:c r="I68" s="65" t="n">
        <x:v>25400</x:v>
      </x:c>
      <x:c r="J68" s="66"/>
    </x:row>
    <x:row r="69" ht="20" customHeight="1">
      <x:c r="A69" t="str">
        <x:v>AO-26068</x:v>
      </x:c>
      <x:c r="B69" s="63" t="n">
        <x:v>46367</x:v>
      </x:c>
      <x:c r="C69" t="str">
        <x:v>Wedding</x:v>
      </x:c>
      <x:c r="D69" t="str">
        <x:v>West</x:v>
      </x:c>
      <x:c r="E69" t="str">
        <x:v>P108</x:v>
      </x:c>
      <x:c r="F69" t="str">
        <x:v>Completed</x:v>
      </x:c>
      <x:c r="G69" s="64" t="n">
        <x:v>184</x:v>
      </x:c>
      <x:c r="H69" s="65" t="n">
        <x:v>46400</x:v>
      </x:c>
      <x:c r="I69" s="65" t="n">
        <x:v>29000</x:v>
      </x:c>
      <x:c r="J69" s="66" t="n">
        <x:v>4.5</x:v>
      </x:c>
    </x:row>
    <x:row r="70" ht="20" customHeight="1">
      <x:c r="A70" t="str">
        <x:v>AO-26069</x:v>
      </x:c>
      <x:c r="B70" s="63" t="n">
        <x:v>46372</x:v>
      </x:c>
      <x:c r="C70" t="str">
        <x:v>Corporate</x:v>
      </x:c>
      <x:c r="D70" t="str">
        <x:v>North</x:v>
      </x:c>
      <x:c r="E70" t="str">
        <x:v>P102</x:v>
      </x:c>
      <x:c r="F70" t="str">
        <x:v>Completed</x:v>
      </x:c>
      <x:c r="G70" s="64" t="n">
        <x:v>71</x:v>
      </x:c>
      <x:c r="H70" s="65" t="n">
        <x:v>20550</x:v>
      </x:c>
      <x:c r="I70" s="65" t="n">
        <x:v>10700</x:v>
      </x:c>
      <x:c r="J70" s="66" t="n">
        <x:v>4.7</x:v>
      </x:c>
    </x:row>
    <x:row r="71" ht="20" customHeight="1">
      <x:c r="A71" t="str">
        <x:v>AO-26070</x:v>
      </x:c>
      <x:c r="B71" s="63" t="n">
        <x:v>46377</x:v>
      </x:c>
      <x:c r="C71" t="str">
        <x:v>Corporate</x:v>
      </x:c>
      <x:c r="D71" t="str">
        <x:v>South</x:v>
      </x:c>
      <x:c r="E71" t="str">
        <x:v>P103</x:v>
      </x:c>
      <x:c r="F71" t="str">
        <x:v>Completed</x:v>
      </x:c>
      <x:c r="G71" s="64" t="n">
        <x:v>88</x:v>
      </x:c>
      <x:c r="H71" s="65" t="n">
        <x:v>23450</x:v>
      </x:c>
      <x:c r="I71" s="65" t="n">
        <x:v>13000</x:v>
      </x:c>
      <x:c r="J71" s="66" t="n">
        <x:v>4.9</x:v>
      </x:c>
    </x:row>
    <x:row r="72" ht="20" customHeight="1">
      <x:c r="A72" t="str">
        <x:v>AO-26071</x:v>
      </x:c>
      <x:c r="B72" s="63" t="n">
        <x:v>46382</x:v>
      </x:c>
      <x:c r="C72" t="str">
        <x:v>Corporate</x:v>
      </x:c>
      <x:c r="D72" t="str">
        <x:v>East</x:v>
      </x:c>
      <x:c r="E72" t="str">
        <x:v>P106</x:v>
      </x:c>
      <x:c r="F72" t="str">
        <x:v>Cancelled</x:v>
      </x:c>
      <x:c r="G72" s="64" t="n">
        <x:v>105</x:v>
      </x:c>
      <x:c r="H72" s="65" t="n">
        <x:v>22100</x:v>
      </x:c>
      <x:c r="I72" s="65" t="n">
        <x:v>13050</x:v>
      </x:c>
      <x:c r="J72" s="66"/>
    </x:row>
    <x:row r="73" ht="20" customHeight="1">
      <x:c r="A73" t="str">
        <x:v>AO-26072</x:v>
      </x:c>
      <x:c r="B73" s="63" t="n">
        <x:v>46387</x:v>
      </x:c>
      <x:c r="C73" t="str">
        <x:v>Corporate</x:v>
      </x:c>
      <x:c r="D73" t="str">
        <x:v>West</x:v>
      </x:c>
      <x:c r="E73" t="str">
        <x:v>P107</x:v>
      </x:c>
      <x:c r="F73" t="str">
        <x:v>Completed</x:v>
      </x:c>
      <x:c r="G73" s="64" t="n">
        <x:v>122</x:v>
      </x:c>
      <x:c r="H73" s="65" t="n">
        <x:v>25000</x:v>
      </x:c>
      <x:c r="I73" s="65" t="n">
        <x:v>15650</x:v>
      </x:c>
      <x:c r="J73" s="66" t="n">
        <x:v>4.1</x:v>
      </x:c>
    </x:row>
  </x:sheetData>
  <x:pageMargins left="0.7" right="0.7" top="0.75" bottom="0.75" header="0.3" footer="0.3"/>
  <x:tableParts count="1">
    <x:tablePart xmlns:r="http://schemas.openxmlformats.org/officeDocument/2006/relationships" r:id="R8dde8f0d7bb240b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9" customWidth="1"/>
    <x:col min="3" max="3" width="44" customWidth="1"/>
    <x:col min="4" max="4" width="12" customWidth="1"/>
    <x:col min="5" max="5" width="12" customWidth="1"/>
    <x:col min="6" max="6" width="12" customWidth="1"/>
    <x:col min="7" max="7" width="12" customWidth="1"/>
    <x:col min="8" max="8" width="12" customWidth="1"/>
    <x:col min="9" max="9" width="12" customWidth="1"/>
    <x:col min="10" max="10" width="22" customWidth="1"/>
    <x:col min="11" max="11" width="36" customWidth="1"/>
    <x:col min="12" max="12" width="44" customWidth="1"/>
  </x:cols>
  <x:sheetData>
    <x:row r="1" ht="28" customHeight="1">
      <x:c r="A1" s="23" t="inlineStr">
        <x:is>
          <x:t xml:space="preserve">EXCEL-M03-L01 - Live You Try It</x:t>
        </x:is>
      </x:c>
    </x:row>
    <x:row r="2" ht="24" customHeight="1">
      <x:c r="A2" s="24" t="inlineStr">
        <x:is>
          <x:t xml:space="preserve">Self-graded Excel pauses. Enter slide givens into yellow cells first, then build formulas using cell references.</x:t>
        </x:is>
      </x:c>
    </x:row>
    <x:row r="4">
      <x:c r="A4" s="25" t="inlineStr">
        <x:is>
          <x:t xml:space="preserve">Practice Rows</x:t>
        </x:is>
      </x:c>
    </x:row>
    <x:row r="6">
      <x:c r="A6" s="26" t="inlineStr">
        <x:is>
          <x:t xml:space="preserve">Pause</x:t>
        </x:is>
      </x:c>
      <x:c r="B6" s="26" t="inlineStr">
        <x:is>
          <x:t xml:space="preserve">Slide</x:t>
        </x:is>
      </x:c>
      <x:c r="C6" s="26" t="inlineStr">
        <x:is>
          <x:t xml:space="preserve">Build This</x:t>
        </x:is>
      </x:c>
      <x:c r="D6" s="26" t="inlineStr">
        <x:is>
          <x:t xml:space="preserve">Input 1</x:t>
        </x:is>
      </x:c>
      <x:c r="E6" s="26" t="inlineStr">
        <x:is>
          <x:t xml:space="preserve">Input 2</x:t>
        </x:is>
      </x:c>
      <x:c r="F6" s="26" t="inlineStr">
        <x:is>
          <x:t xml:space="preserve">Input 3</x:t>
        </x:is>
      </x:c>
      <x:c r="G6" s="26" t="inlineStr">
        <x:is>
          <x:t xml:space="preserve">Input 4</x:t>
        </x:is>
      </x:c>
      <x:c r="H6" s="26" t="inlineStr">
        <x:is>
          <x:t xml:space="preserve">Input 5</x:t>
        </x:is>
      </x:c>
      <x:c r="I6" s="26" t="inlineStr">
        <x:is>
          <x:t xml:space="preserve">Input 6</x:t>
        </x:is>
      </x:c>
      <x:c r="J6" s="26" t="inlineStr">
        <x:is>
          <x:t xml:space="preserve">Your Formula / Answer</x:t>
        </x:is>
      </x:c>
      <x:c r="K6" s="26" t="inlineStr">
        <x:is>
          <x:t xml:space="preserve">Formula Hint</x:t>
        </x:is>
      </x:c>
      <x:c r="L6" s="26" t="inlineStr">
        <x:is>
          <x:t xml:space="preserve">Feedback</x:t>
        </x:is>
      </x:c>
    </x:row>
    <x:row r="7" ht="48" customHeight="1">
      <x:c r="A7" s="27" t="inlineStr">
        <x:is>
          <x:t xml:space="preserve">SUM</x:t>
        </x:is>
      </x:c>
      <x:c r="B7" s="27" t="inlineStr">
        <x:is>
          <x:t xml:space="preserve">14</x:t>
        </x:is>
      </x:c>
      <x:c r="C7" s="27" t="inlineStr">
        <x:is>
          <x:t xml:space="preserve">Use the six visible Anchor &amp; Oak monthly revenues to total Jan-Jun revenue.</x:t>
        </x:is>
      </x:c>
      <x:c r="D7" s="28" t="n"/>
      <x:c r="E7" s="28" t="n"/>
      <x:c r="F7" s="28" t="n"/>
      <x:c r="G7" s="28" t="n"/>
      <x:c r="H7" s="28" t="n"/>
      <x:c r="I7" s="28" t="n"/>
      <x:c r="J7" s="29" t="n"/>
      <x:c r="K7" s="30" t="inlineStr">
        <x:is>
          <x:t xml:space="preserve">Reference all six yellow revenue cells with SUM.</x:t>
        </x:is>
      </x:c>
      <x:c r="L7" s="31" t="str">
        <x:f>IF(J7="","Enter the SUM formula.",IF(ABS(J7-251700)&lt;0.01,"Correct - Jan-Jun revenue totals 251,700.","Check that all six slide values are included."))</x:f>
        <x:v>Enter the SUM formula.</x:v>
      </x:c>
    </x:row>
    <x:row r="8" ht="48" customHeight="1">
      <x:c r="A8" s="27" t="inlineStr">
        <x:is>
          <x:t xml:space="preserve">SUMIFS</x:t>
        </x:is>
      </x:c>
      <x:c r="B8" s="27" t="inlineStr">
        <x:is>
          <x:t xml:space="preserve">23</x:t>
        </x:is>
      </x:c>
      <x:c r="C8" s="27" t="inlineStr">
        <x:is>
          <x:t xml:space="preserve">Use the Tidal sales rows to total Kitchen sales in the North region.</x:t>
        </x:is>
      </x:c>
      <x:c r="D8" s="28" t="n"/>
      <x:c r="E8" s="28" t="n"/>
      <x:c r="F8" s="28" t="n"/>
      <x:c r="G8" s="28" t="n"/>
      <x:c r="H8" s="28" t="n"/>
      <x:c r="I8" s="28" t="n"/>
      <x:c r="J8" s="29" t="n"/>
      <x:c r="K8" s="30" t="inlineStr">
        <x:is>
          <x:t xml:space="preserve">Kitchen North appears in the first and fourth slide rows.</x:t>
        </x:is>
      </x:c>
      <x:c r="L8" s="31" t="str">
        <x:f>IF(J8="","Enter a formula.",IF(ABS(J8-14600)&lt;0.01,"Correct - Kitchen North sales total 14,600.","Check which rows are both Kitchen and North."))</x:f>
        <x:v>Enter a formula.</x:v>
      </x:c>
    </x:row>
    <x:row r="9" ht="48" customHeight="1">
      <x:c r="A9" s="27" t="inlineStr">
        <x:is>
          <x:t xml:space="preserve">XLOOKUP</x:t>
        </x:is>
      </x:c>
      <x:c r="B9" s="27" t="inlineStr">
        <x:is>
          <x:t xml:space="preserve">26</x:t>
        </x:is>
      </x:c>
      <x:c r="C9" s="27" t="inlineStr">
        <x:is>
          <x:t xml:space="preserve">Use the employee table to return the name for employee M102.</x:t>
        </x:is>
      </x:c>
      <x:c r="D9" s="28" t="n"/>
      <x:c r="E9" s="28" t="n"/>
      <x:c r="F9" s="28" t="n"/>
      <x:c r="G9" s="28" t="n"/>
      <x:c r="H9" s="28" t="n"/>
      <x:c r="I9" s="28" t="n"/>
      <x:c r="J9" s="32" t="n"/>
      <x:c r="K9" s="30" t="inlineStr">
        <x:is>
          <x:t xml:space="preserve">Put IDs in one lookup row and names in the row beside each ID.</x:t>
        </x:is>
      </x:c>
      <x:c r="L9" s="31" t="str">
        <x:f>IF(J9="","Enter the XLOOKUP formula.",IF(J9="Blake","Correct - M102 returns Blake.","Check the lookup and return ranges."))</x:f>
        <x:v>Enter the XLOOKUP formula.</x:v>
      </x:c>
    </x:row>
    <x:row r="10" ht="48" customHeight="1">
      <x:c r="A10" s="27" t="inlineStr">
        <x:is>
          <x:t xml:space="preserve">SEQUENCE</x:t>
        </x:is>
      </x:c>
      <x:c r="B10" s="27" t="inlineStr">
        <x:is>
          <x:t xml:space="preserve">32</x:t>
        </x:is>
      </x:c>
      <x:c r="C10" s="27" t="inlineStr">
        <x:is>
          <x:t xml:space="preserve">Create shift numbers 1 through 12, then total the generated sequence.</x:t>
        </x:is>
      </x:c>
      <x:c r="D10" s="28" t="n"/>
      <x:c r="E10" s="28" t="n"/>
      <x:c r="F10" s="28" t="n"/>
      <x:c r="G10" s="28" t="n"/>
      <x:c r="H10" s="28" t="n"/>
      <x:c r="I10" s="28" t="n"/>
      <x:c r="J10" s="33" t="n"/>
      <x:c r="K10" s="30" t="inlineStr">
        <x:is>
          <x:t xml:space="preserve">A sequence from 1 through 12 totals 78.</x:t>
        </x:is>
      </x:c>
      <x:c r="L10" s="31" t="str">
        <x:f>IF(J10="","Enter a formula using SEQUENCE.",IF(J10=78,"Correct - the 1 to 12 sequence totals 78.","Check the sequence length."))</x:f>
        <x:v>Enter a formula using SEQUENCE.</x:v>
      </x:c>
    </x:row>
    <x:row r="11" ht="48" customHeight="1">
      <x:c r="A11" s="27" t="inlineStr">
        <x:is>
          <x:t xml:space="preserve">SUMPRODUCT</x:t>
        </x:is>
      </x:c>
      <x:c r="B11" s="27" t="inlineStr">
        <x:is>
          <x:t xml:space="preserve">33</x:t>
        </x:is>
      </x:c>
      <x:c r="C11" s="27" t="inlineStr">
        <x:is>
          <x:t xml:space="preserve">Calculate total inventory value for Tote, Mug, and Apron.</x:t>
        </x:is>
      </x:c>
      <x:c r="D11" s="28" t="n"/>
      <x:c r="E11" s="28" t="n"/>
      <x:c r="F11" s="28" t="n"/>
      <x:c r="G11" s="28" t="n"/>
      <x:c r="H11" s="28" t="n"/>
      <x:c r="I11" s="28" t="n"/>
      <x:c r="J11" s="29" t="n"/>
      <x:c r="K11" s="30" t="inlineStr">
        <x:is>
          <x:t xml:space="preserve">Multiply quantity by cost for each item, then add the products.</x:t>
        </x:is>
      </x:c>
      <x:c r="L11" s="31" t="str">
        <x:f>IF(J11="","Enter the SUMPRODUCT-style formula.",IF(ABS(J11-939)&lt;0.01,"Correct - total inventory value is 939.","Check each quantity times cost pair."))</x:f>
        <x:v>Enter the SUMPRODUCT-style formula.</x:v>
      </x:c>
    </x:row>
    <x:row r="12" ht="48" customHeight="1">
      <x:c r="A12" s="27" t="inlineStr">
        <x:is>
          <x:t xml:space="preserve">ROUND</x:t>
        </x:is>
      </x:c>
      <x:c r="B12" s="27" t="inlineStr">
        <x:is>
          <x:t xml:space="preserve">34</x:t>
        </x:is>
      </x:c>
      <x:c r="C12" s="27" t="inlineStr">
        <x:is>
          <x:t xml:space="preserve">Round the messy report number to two decimal places.</x:t>
        </x:is>
      </x:c>
      <x:c r="D12" s="28" t="n"/>
      <x:c r="E12" s="28" t="n"/>
      <x:c r="F12" s="28" t="n"/>
      <x:c r="G12" s="28" t="n"/>
      <x:c r="H12" s="28" t="n"/>
      <x:c r="I12" s="28" t="n"/>
      <x:c r="J12" s="34" t="n"/>
      <x:c r="K12" s="30" t="inlineStr">
        <x:is>
          <x:t xml:space="preserve">ROUND needs the number first and digits second.</x:t>
        </x:is>
      </x:c>
      <x:c r="L12" s="31" t="str">
        <x:f>IF(J12="","Enter the ROUND formula.",IF(ABS(J12-13.75)&lt;0.001,"Correct - the rounded value is 13.75.","Check the digits argument."))</x:f>
        <x:v>Enter the ROUND formula.</x:v>
      </x:c>
    </x:row>
    <x:row r="15">
      <x:c r="A15" s="35" t="inlineStr">
        <x:is>
          <x:t xml:space="preserve">Self-check score</x:t>
        </x:is>
      </x:c>
      <x:c r="B15" s="36" t="str">
        <x:f>COUNTIF(L7:L12,"Correct*")&amp;" of 6 complete"</x:f>
        <x:v>0 of 6 complete</x:v>
      </x:c>
    </x:row>
    <x:row r="17">
      <x:c r="A17" t="inlineStr">
        <x:is>
          <x:t xml:space="preserve">Reminder</x:t>
        </x:is>
      </x:c>
      <x:c r="B17" s="37" t="inlineStr">
        <x:is>
          <x:t xml:space="preserve">This tab is self-graded practice only. The private rubric does not grade Live You Try It.</x:t>
        </x:is>
      </x:c>
    </x:row>
    <x:row r="18"/>
  </x:sheetData>
  <x:mergeCells>
    <x:mergeCell ref="B17:L18"/>
    <x:mergeCell ref="A2:L2"/>
    <x:mergeCell ref="A1:L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hidden="0" customWidth="1"/>
    <x:col min="2" max="2" width="14" hidden="0" customWidth="1"/>
    <x:col min="3" max="3" width="18" hidden="0" customWidth="1"/>
    <x:col min="4" max="4" width="18" hidden="0" customWidth="1"/>
    <x:col min="5" max="5" width="14" hidden="0" customWidth="1"/>
    <x:col min="6" max="6" width="28" hidden="0" customWidth="1"/>
    <x:col min="7" max="7" width="4" hidden="0" customWidth="1"/>
    <x:col min="8" max="8" width="30" hidden="0" customWidth="1"/>
    <x:col min="9" max="9" width="20" hidden="0" customWidth="1"/>
    <x:col min="10" max="10" width="20" hidden="0" customWidth="1"/>
  </x:cols>
  <x:sheetData>
    <x:row r="1" ht="30" customHeight="1">
      <x:c r="A1" s="72" t="inlineStr">
        <x:is>
          <x:t xml:space="preserve">Anchor &amp; Oak Events - Core Summary Functions</x:t>
        </x:is>
      </x:c>
      <x:c r="B1" s="72"/>
      <x:c r="C1" s="72"/>
      <x:c r="D1" s="72"/>
      <x:c r="E1" s="72"/>
      <x:c r="F1" s="72"/>
      <x:c r="G1" s="72"/>
      <x:c r="H1" s="72"/>
      <x:c r="I1" s="72"/>
      <x:c r="J1" s="72"/>
    </x:row>
    <x:row r="3" ht="36" customHeight="1">
      <x:c r="A3" s="75" t="inlineStr">
        <x:is>
          <x:t xml:space="preserve">Month</x:t>
        </x:is>
      </x:c>
      <x:c r="B3" s="75" t="inlineStr">
        <x:is>
          <x:t xml:space="preserve">Revenue</x:t>
        </x:is>
      </x:c>
      <x:c r="C3" s="75" t="inlineStr">
        <x:is>
          <x:t xml:space="preserve">SUM Running Total</x:t>
        </x:is>
      </x:c>
      <x:c r="D3" s="75" t="inlineStr">
        <x:is>
          <x:t xml:space="preserve">Average Check</x:t>
        </x:is>
      </x:c>
      <x:c r="E3" s="75" t="inlineStr">
        <x:is>
          <x:t xml:space="preserve">Status</x:t>
        </x:is>
      </x:c>
      <x:c r="F3" s="75" t="inlineStr">
        <x:is>
          <x:t xml:space="preserve">Student Formula Notes</x:t>
        </x:is>
      </x:c>
      <x:c r="G3" s="75"/>
      <x:c r="H3" s="75" t="inlineStr">
        <x:is>
          <x:t xml:space="preserve">Task</x:t>
        </x:is>
      </x:c>
      <x:c r="I3" s="75" t="inlineStr">
        <x:is>
          <x:t xml:space="preserve">Student Formula Cell</x:t>
        </x:is>
      </x:c>
      <x:c r="J3" s="75" t="inlineStr">
        <x:is>
          <x:t xml:space="preserve">Expected Skill</x:t>
        </x:is>
      </x:c>
    </x:row>
    <x:row r="4">
      <x:c r="A4" t="inlineStr">
        <x:is>
          <x:t xml:space="preserve">Jan</x:t>
        </x:is>
      </x:c>
      <x:c r="B4" t="n">
        <x:v>35700</x:v>
      </x:c>
      <x:c r="H4" t="inlineStr">
        <x:is>
          <x:t xml:space="preserve">Annual revenue total</x:t>
        </x:is>
      </x:c>
      <x:c r="I4" t="inlineStr">
        <x:is>
          <x:t xml:space="preserve">B18</x:t>
        </x:is>
      </x:c>
      <x:c r="J4" t="inlineStr">
        <x:is>
          <x:t xml:space="preserve">SUM</x:t>
        </x:is>
      </x:c>
    </x:row>
    <x:row r="5">
      <x:c r="A5" t="inlineStr">
        <x:is>
          <x:t xml:space="preserve">Feb</x:t>
        </x:is>
      </x:c>
      <x:c r="B5" t="n">
        <x:v>21400</x:v>
      </x:c>
      <x:c r="H5" t="inlineStr">
        <x:is>
          <x:t xml:space="preserve">Average monthly revenue</x:t>
        </x:is>
      </x:c>
      <x:c r="I5" t="inlineStr">
        <x:is>
          <x:t xml:space="preserve">B19</x:t>
        </x:is>
      </x:c>
      <x:c r="J5" t="inlineStr">
        <x:is>
          <x:t xml:space="preserve">AVERAGE</x:t>
        </x:is>
      </x:c>
    </x:row>
    <x:row r="6">
      <x:c r="A6" t="inlineStr">
        <x:is>
          <x:t xml:space="preserve">Mar</x:t>
        </x:is>
      </x:c>
      <x:c r="B6" t="n">
        <x:v>29500</x:v>
      </x:c>
      <x:c r="H6" t="inlineStr">
        <x:is>
          <x:t xml:space="preserve">Best month revenue</x:t>
        </x:is>
      </x:c>
      <x:c r="I6" t="inlineStr">
        <x:is>
          <x:t xml:space="preserve">B20</x:t>
        </x:is>
      </x:c>
      <x:c r="J6" t="inlineStr">
        <x:is>
          <x:t xml:space="preserve">MAX</x:t>
        </x:is>
      </x:c>
    </x:row>
    <x:row r="7">
      <x:c r="A7" t="inlineStr">
        <x:is>
          <x:t xml:space="preserve">Apr</x:t>
        </x:is>
      </x:c>
      <x:c r="B7" t="n">
        <x:v>43300</x:v>
      </x:c>
      <x:c r="H7" t="inlineStr">
        <x:is>
          <x:t xml:space="preserve">Slowest month revenue</x:t>
        </x:is>
      </x:c>
      <x:c r="I7" t="inlineStr">
        <x:is>
          <x:t xml:space="preserve">B21</x:t>
        </x:is>
      </x:c>
      <x:c r="J7" t="inlineStr">
        <x:is>
          <x:t xml:space="preserve">MIN</x:t>
        </x:is>
      </x:c>
    </x:row>
    <x:row r="8">
      <x:c r="A8" t="inlineStr">
        <x:is>
          <x:t xml:space="preserve">May</x:t>
        </x:is>
      </x:c>
      <x:c r="B8" t="n">
        <x:v>54600</x:v>
      </x:c>
      <x:c r="H8" t="inlineStr">
        <x:is>
          <x:t xml:space="preserve">Number of numeric months</x:t>
        </x:is>
      </x:c>
      <x:c r="I8" t="inlineStr">
        <x:is>
          <x:t xml:space="preserve">B22</x:t>
        </x:is>
      </x:c>
      <x:c r="J8" t="inlineStr">
        <x:is>
          <x:t xml:space="preserve">COUNT</x:t>
        </x:is>
      </x:c>
    </x:row>
    <x:row r="9">
      <x:c r="A9" t="inlineStr">
        <x:is>
          <x:t xml:space="preserve">Jun</x:t>
        </x:is>
      </x:c>
      <x:c r="B9" t="n">
        <x:v>67200</x:v>
      </x:c>
      <x:c r="H9" t="inlineStr">
        <x:is>
          <x:t xml:space="preserve">Number of month labels</x:t>
        </x:is>
      </x:c>
      <x:c r="I9" t="inlineStr">
        <x:is>
          <x:t xml:space="preserve">B23</x:t>
        </x:is>
      </x:c>
      <x:c r="J9" t="inlineStr">
        <x:is>
          <x:t xml:space="preserve">COUNTA</x:t>
        </x:is>
      </x:c>
    </x:row>
    <x:row r="10">
      <x:c r="A10" t="inlineStr">
        <x:is>
          <x:t xml:space="preserve">Jul</x:t>
        </x:is>
      </x:c>
      <x:c r="B10" t="n">
        <x:v>74500</x:v>
      </x:c>
    </x:row>
    <x:row r="11">
      <x:c r="A11" t="inlineStr">
        <x:is>
          <x:t xml:space="preserve">Aug</x:t>
        </x:is>
      </x:c>
      <x:c r="B11" t="n">
        <x:v>63800</x:v>
      </x:c>
    </x:row>
    <x:row r="12">
      <x:c r="A12" t="inlineStr">
        <x:is>
          <x:t xml:space="preserve">Sep</x:t>
        </x:is>
      </x:c>
      <x:c r="B12" t="n">
        <x:v>47200</x:v>
      </x:c>
    </x:row>
    <x:row r="13">
      <x:c r="A13" t="inlineStr">
        <x:is>
          <x:t xml:space="preserve">Oct</x:t>
        </x:is>
      </x:c>
      <x:c r="B13" t="n">
        <x:v>40400</x:v>
      </x:c>
    </x:row>
    <x:row r="14">
      <x:c r="A14" t="inlineStr">
        <x:is>
          <x:t xml:space="preserve">Nov</x:t>
        </x:is>
      </x:c>
      <x:c r="B14" t="n">
        <x:v>38600</x:v>
      </x:c>
    </x:row>
    <x:row r="15">
      <x:c r="A15" t="inlineStr">
        <x:is>
          <x:t xml:space="preserve">Dec</x:t>
        </x:is>
      </x:c>
      <x:c r="B15" t="n">
        <x:v>51200</x:v>
      </x:c>
    </x:row>
    <x:row r="17">
      <x:c r="A17" s="49" t="inlineStr">
        <x:is>
          <x:t xml:space="preserve">Summary Question</x:t>
        </x:is>
      </x:c>
      <x:c r="B17" s="49" t="inlineStr">
        <x:is>
          <x:t xml:space="preserve">Student Formula</x:t>
        </x:is>
      </x:c>
      <x:c r="C17" s="49"/>
      <x:c r="D17" s="49" t="inlineStr">
        <x:is>
          <x:t xml:space="preserve">Feedback Check</x:t>
        </x:is>
      </x:c>
      <x:c r="E17" s="49" t="inlineStr">
        <x:is>
          <x:t xml:space="preserve">Result</x:t>
        </x:is>
      </x:c>
    </x:row>
    <x:row r="18">
      <x:c r="A18" s="49" t="inlineStr">
        <x:is>
          <x:t xml:space="preserve">Annual revenue total</x:t>
        </x:is>
      </x:c>
      <x:c r="B18" s="76" t="n"/>
      <x:c r="C18" s="49"/>
      <x:c r="D18" s="49" t="inlineStr">
        <x:is>
          <x:t xml:space="preserve">SUM check</x:t>
        </x:is>
      </x:c>
      <x:c r="E18" s="49" t="str">
        <x:f>IF(B18="","Enter a formula",IF(ABS(B18-SUM(B4:B15))&lt;0.01,"Looks right","Check SUM range"))</x:f>
        <x:v>Enter a formula</x:v>
      </x:c>
    </x:row>
    <x:row r="19">
      <x:c r="A19" s="49" t="inlineStr">
        <x:is>
          <x:t xml:space="preserve">Average monthly revenue</x:t>
        </x:is>
      </x:c>
      <x:c r="B19" s="76" t="n"/>
      <x:c r="C19" s="49"/>
      <x:c r="D19" s="49" t="inlineStr">
        <x:is>
          <x:t xml:space="preserve">AVERAGE check</x:t>
        </x:is>
      </x:c>
      <x:c r="E19" s="49" t="str">
        <x:f>IF(B19="","Enter a formula",IF(ABS(B19-AVERAGE(B4:B15))&lt;0.01,"Looks right","Check AVERAGE range"))</x:f>
        <x:v>Enter a formula</x:v>
      </x:c>
    </x:row>
    <x:row r="20">
      <x:c r="A20" s="49" t="inlineStr">
        <x:is>
          <x:t xml:space="preserve">Best month revenue</x:t>
        </x:is>
      </x:c>
      <x:c r="B20" s="76" t="n"/>
      <x:c r="C20" s="49"/>
      <x:c r="D20" s="49" t="inlineStr">
        <x:is>
          <x:t xml:space="preserve">MAX check</x:t>
        </x:is>
      </x:c>
      <x:c r="E20" s="49" t="str">
        <x:f>IF(B20="","Enter a formula",IF(ABS(B20-MAX(B4:B15))&lt;0.01,"Looks right","Check MAX range"))</x:f>
        <x:v>Enter a formula</x:v>
      </x:c>
    </x:row>
    <x:row r="21">
      <x:c r="A21" s="49" t="inlineStr">
        <x:is>
          <x:t xml:space="preserve">Slowest month revenue</x:t>
        </x:is>
      </x:c>
      <x:c r="B21" s="76" t="n"/>
      <x:c r="C21" s="49"/>
      <x:c r="D21" s="49" t="inlineStr">
        <x:is>
          <x:t xml:space="preserve">MIN check</x:t>
        </x:is>
      </x:c>
      <x:c r="E21" s="49" t="str">
        <x:f>IF(B21="","Enter a formula",IF(ABS(B21-MIN(B4:B15))&lt;0.01,"Looks right","Check MIN range"))</x:f>
        <x:v>Enter a formula</x:v>
      </x:c>
    </x:row>
    <x:row r="22">
      <x:c r="A22" s="49" t="inlineStr">
        <x:is>
          <x:t xml:space="preserve">Number of numeric months</x:t>
        </x:is>
      </x:c>
      <x:c r="B22" s="76" t="n"/>
      <x:c r="C22" s="49"/>
      <x:c r="D22" s="49" t="inlineStr">
        <x:is>
          <x:t xml:space="preserve">COUNT check</x:t>
        </x:is>
      </x:c>
      <x:c r="E22" s="49" t="str">
        <x:f>IF(B22="","Enter a formula",IF(B22=COUNT(B4:B15),"Looks right","COUNT should count numeric cells"))</x:f>
        <x:v>Enter a formula</x:v>
      </x:c>
    </x:row>
    <x:row r="23">
      <x:c r="A23" s="49" t="inlineStr">
        <x:is>
          <x:t xml:space="preserve">Number of month labels</x:t>
        </x:is>
      </x:c>
      <x:c r="B23" s="76" t="n"/>
      <x:c r="C23" s="49"/>
      <x:c r="D23" s="49" t="inlineStr">
        <x:is>
          <x:t xml:space="preserve">COUNTA check</x:t>
        </x:is>
      </x:c>
      <x:c r="E23" s="49" t="str">
        <x:f>IF(B23="","Enter a formula",IF(B23=COUNTA(A4:A15),"Looks right","COUNTA should count month labels"))</x:f>
        <x:v>Enter a formula</x:v>
      </x:c>
    </x:row>
    <x:row r="25">
      <x:c r="A25" t="inlineStr">
        <x:is>
          <x:t xml:space="preserve">Reflection Prompt</x:t>
        </x:is>
      </x:c>
    </x:row>
    <x:row r="26">
      <x:c r="A26" t="inlineStr">
        <x:is>
          <x:t xml:space="preserve">Which summary function best answers: "What is a normal month for Anchor &amp; Oak?"</x:t>
        </x:is>
      </x:c>
    </x:row>
    <x:row r="27">
      <x:c r="A27" t="inlineStr">
        <x:is>
          <x:t xml:space="preserve">Which month would you investigate first if you were managing staffing?</x:t>
        </x:is>
      </x:c>
    </x:row>
    <x:row r="28">
      <x:c r="A28" t="inlineStr">
        <x:is>
          <x:t xml:space="preserve">What formula risk appears if a student includes the header row?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14" hidden="0" customWidth="1"/>
    <x:col min="3" max="3" width="10" hidden="0" customWidth="1"/>
    <x:col min="4" max="4" width="21" hidden="0" customWidth="1"/>
    <x:col min="5" max="5" width="12" hidden="0" customWidth="1"/>
    <x:col min="6" max="6" width="14" hidden="0" customWidth="1"/>
    <x:col min="7" max="7" width="4" hidden="0" customWidth="1"/>
    <x:col min="8" max="8" width="22" hidden="0" customWidth="1"/>
    <x:col min="9" max="9" width="20" hidden="0" customWidth="1"/>
    <x:col min="10" max="10" width="18" hidden="0" customWidth="1"/>
    <x:col min="11" max="11" width="36" hidden="0" customWidth="1"/>
  </x:cols>
  <x:sheetData>
    <x:row r="1" ht="30" customHeight="1">
      <x:c r="A1" s="72" t="inlineStr">
        <x:is>
          <x:t xml:space="preserve">Dynamic Arrays and Spill Practice</x:t>
        </x:is>
      </x:c>
      <x:c r="B1" s="72"/>
      <x:c r="C1" s="72"/>
      <x:c r="D1" s="72"/>
      <x:c r="E1" s="72"/>
      <x:c r="F1" s="72"/>
      <x:c r="G1" s="72"/>
      <x:c r="H1" s="72"/>
      <x:c r="I1" s="72"/>
      <x:c r="J1" s="72"/>
      <x:c r="K1" s="72"/>
    </x:row>
    <x:row r="3" ht="36" customHeight="1">
      <x:c r="A3" s="75" t="inlineStr">
        <x:is>
          <x:t xml:space="preserve">Company</x:t>
        </x:is>
      </x:c>
      <x:c r="B3" s="75" t="inlineStr">
        <x:is>
          <x:t xml:space="preserve">Record ID</x:t>
        </x:is>
      </x:c>
      <x:c r="C3" s="75" t="inlineStr">
        <x:is>
          <x:t xml:space="preserve">Month</x:t>
        </x:is>
      </x:c>
      <x:c r="D3" s="75" t="inlineStr">
        <x:is>
          <x:t xml:space="preserve">Category</x:t>
        </x:is>
      </x:c>
      <x:c r="E3" s="75" t="inlineStr">
        <x:is>
          <x:t xml:space="preserve">Region</x:t>
        </x:is>
      </x:c>
      <x:c r="F3" s="75" t="inlineStr">
        <x:is>
          <x:t xml:space="preserve">Amount</x:t>
        </x:is>
      </x:c>
      <x:c r="G3" s="75"/>
      <x:c r="H3" s="75" t="inlineStr">
        <x:is>
          <x:t xml:space="preserve">Task</x:t>
        </x:is>
      </x:c>
      <x:c r="I3" s="75" t="inlineStr">
        <x:is>
          <x:t xml:space="preserve">Anchor Cell</x:t>
        </x:is>
      </x:c>
      <x:c r="J3" s="75" t="inlineStr">
        <x:is>
          <x:t xml:space="preserve">Formula Goal</x:t>
        </x:is>
      </x:c>
      <x:c r="K3" s="75" t="inlineStr">
        <x:is>
          <x:t xml:space="preserve">Student Notes</x:t>
        </x:is>
      </x:c>
    </x:row>
    <x:row r="4">
      <x:c r="A4" t="inlineStr">
        <x:is>
          <x:t xml:space="preserve">Anchor &amp; Oak Events</x:t>
        </x:is>
      </x:c>
      <x:c r="B4" t="inlineStr">
        <x:is>
          <x:t xml:space="preserve">AO-001</x:t>
        </x:is>
      </x:c>
      <x:c r="C4" t="inlineStr">
        <x:is>
          <x:t xml:space="preserve">Jan</x:t>
        </x:is>
      </x:c>
      <x:c r="D4" t="inlineStr">
        <x:is>
          <x:t xml:space="preserve">Wedding</x:t>
        </x:is>
      </x:c>
      <x:c r="E4" t="inlineStr">
        <x:is>
          <x:t xml:space="preserve">North</x:t>
        </x:is>
      </x:c>
      <x:c r="F4" t="n">
        <x:v>35700</x:v>
      </x:c>
      <x:c r="H4" s="49" t="inlineStr">
        <x:is>
          <x:t xml:space="preserve">Unique company list</x:t>
        </x:is>
      </x:c>
      <x:c r="I4" s="49" t="inlineStr">
        <x:is>
          <x:t xml:space="preserve">H16</x:t>
        </x:is>
      </x:c>
      <x:c r="J4" s="49" t="inlineStr">
        <x:is>
          <x:t xml:space="preserve">Use UNIQUE on Company column</x:t>
        </x:is>
      </x:c>
      <x:c r="K4" s="49"/>
    </x:row>
    <x:row r="5">
      <x:c r="A5" t="inlineStr">
        <x:is>
          <x:t xml:space="preserve">Anchor &amp; Oak Events</x:t>
        </x:is>
      </x:c>
      <x:c r="B5" t="inlineStr">
        <x:is>
          <x:t xml:space="preserve">AO-002</x:t>
        </x:is>
      </x:c>
      <x:c r="C5" t="inlineStr">
        <x:is>
          <x:t xml:space="preserve">Feb</x:t>
        </x:is>
      </x:c>
      <x:c r="D5" t="inlineStr">
        <x:is>
          <x:t xml:space="preserve">Corporate</x:t>
        </x:is>
      </x:c>
      <x:c r="E5" t="inlineStr">
        <x:is>
          <x:t xml:space="preserve">North</x:t>
        </x:is>
      </x:c>
      <x:c r="F5" t="n">
        <x:v>21400</x:v>
      </x:c>
      <x:c r="H5" s="49" t="inlineStr">
        <x:is>
          <x:t xml:space="preserve">Sorted category list</x:t>
        </x:is>
      </x:c>
      <x:c r="I5" s="49" t="inlineStr">
        <x:is>
          <x:t xml:space="preserve">H23</x:t>
        </x:is>
      </x:c>
      <x:c r="J5" s="49" t="inlineStr">
        <x:is>
          <x:t xml:space="preserve">Use SORT and UNIQUE on Category column</x:t>
        </x:is>
      </x:c>
      <x:c r="K5" s="49"/>
    </x:row>
    <x:row r="6">
      <x:c r="A6" t="inlineStr">
        <x:is>
          <x:t xml:space="preserve">Anchor &amp; Oak Events</x:t>
        </x:is>
      </x:c>
      <x:c r="B6" t="inlineStr">
        <x:is>
          <x:t xml:space="preserve">AO-003</x:t>
        </x:is>
      </x:c>
      <x:c r="C6" t="inlineStr">
        <x:is>
          <x:t xml:space="preserve">Mar</x:t>
        </x:is>
      </x:c>
      <x:c r="D6" t="inlineStr">
        <x:is>
          <x:t xml:space="preserve">Private</x:t>
        </x:is>
      </x:c>
      <x:c r="E6" t="inlineStr">
        <x:is>
          <x:t xml:space="preserve">South</x:t>
        </x:is>
      </x:c>
      <x:c r="F6" t="n">
        <x:v>29500</x:v>
      </x:c>
      <x:c r="H6" s="49" t="inlineStr">
        <x:is>
          <x:t xml:space="preserve">Filter high balances</x:t>
        </x:is>
      </x:c>
      <x:c r="I6" s="49" t="inlineStr">
        <x:is>
          <x:t xml:space="preserve">H32</x:t>
        </x:is>
      </x:c>
      <x:c r="J6" s="49" t="inlineStr">
        <x:is>
          <x:t xml:space="preserve">Use FILTER for Harborside amounts above 500</x:t>
        </x:is>
      </x:c>
      <x:c r="K6" s="49"/>
    </x:row>
    <x:row r="7">
      <x:c r="A7" t="inlineStr">
        <x:is>
          <x:t xml:space="preserve">Anchor &amp; Oak Events</x:t>
        </x:is>
      </x:c>
      <x:c r="B7" t="inlineStr">
        <x:is>
          <x:t xml:space="preserve">AO-004</x:t>
        </x:is>
      </x:c>
      <x:c r="C7" t="inlineStr">
        <x:is>
          <x:t xml:space="preserve">Apr</x:t>
        </x:is>
      </x:c>
      <x:c r="D7" t="inlineStr">
        <x:is>
          <x:t xml:space="preserve">Wedding</x:t>
        </x:is>
      </x:c>
      <x:c r="E7" t="inlineStr">
        <x:is>
          <x:t xml:space="preserve">South</x:t>
        </x:is>
      </x:c>
      <x:c r="F7" t="n">
        <x:v>43300</x:v>
      </x:c>
      <x:c r="H7" s="49" t="inlineStr">
        <x:is>
          <x:t xml:space="preserve">Generate month numbers</x:t>
        </x:is>
      </x:c>
      <x:c r="I7" s="49" t="inlineStr">
        <x:is>
          <x:t xml:space="preserve">H43</x:t>
        </x:is>
      </x:c>
      <x:c r="J7" s="49" t="inlineStr">
        <x:is>
          <x:t xml:space="preserve">Use SEQUENCE for 12 months</x:t>
        </x:is>
      </x:c>
      <x:c r="K7" s="49"/>
    </x:row>
    <x:row r="8">
      <x:c r="A8" t="inlineStr">
        <x:is>
          <x:t xml:space="preserve">Anchor &amp; Oak Events</x:t>
        </x:is>
      </x:c>
      <x:c r="B8" t="inlineStr">
        <x:is>
          <x:t xml:space="preserve">AO-005</x:t>
        </x:is>
      </x:c>
      <x:c r="C8" t="inlineStr">
        <x:is>
          <x:t xml:space="preserve">May</x:t>
        </x:is>
      </x:c>
      <x:c r="D8" t="inlineStr">
        <x:is>
          <x:t xml:space="preserve">Corporate</x:t>
        </x:is>
      </x:c>
      <x:c r="E8" t="inlineStr">
        <x:is>
          <x:t xml:space="preserve">North</x:t>
        </x:is>
      </x:c>
      <x:c r="F8" t="n">
        <x:v>54600</x:v>
      </x:c>
      <x:c r="H8" s="49" t="inlineStr">
        <x:is>
          <x:t xml:space="preserve">Reference a spill</x:t>
        </x:is>
      </x:c>
      <x:c r="I8" s="49" t="inlineStr">
        <x:is>
          <x:t xml:space="preserve">J16</x:t>
        </x:is>
      </x:c>
      <x:c r="J8" s="49" t="inlineStr">
        <x:is>
          <x:t xml:space="preserve">Use H16# in another formula or note</x:t>
        </x:is>
      </x:c>
      <x:c r="K8" s="49"/>
    </x:row>
    <x:row r="9">
      <x:c r="A9" t="inlineStr">
        <x:is>
          <x:t xml:space="preserve">Anchor &amp; Oak Events</x:t>
        </x:is>
      </x:c>
      <x:c r="B9" t="inlineStr">
        <x:is>
          <x:t xml:space="preserve">AO-006</x:t>
        </x:is>
      </x:c>
      <x:c r="C9" t="inlineStr">
        <x:is>
          <x:t xml:space="preserve">Jun</x:t>
        </x:is>
      </x:c>
      <x:c r="D9" t="inlineStr">
        <x:is>
          <x:t xml:space="preserve">Wedding</x:t>
        </x:is>
      </x:c>
      <x:c r="E9" t="inlineStr">
        <x:is>
          <x:t xml:space="preserve">North</x:t>
        </x:is>
      </x:c>
      <x:c r="F9" t="n">
        <x:v>67200</x:v>
      </x:c>
      <x:c r="H9" s="49"/>
      <x:c r="I9" s="49"/>
      <x:c r="J9" s="49"/>
      <x:c r="K9" s="49"/>
    </x:row>
    <x:row r="10">
      <x:c r="A10" t="inlineStr">
        <x:is>
          <x:t xml:space="preserve">Anchor &amp; Oak Events</x:t>
        </x:is>
      </x:c>
      <x:c r="B10" t="inlineStr">
        <x:is>
          <x:t xml:space="preserve">AO-007</x:t>
        </x:is>
      </x:c>
      <x:c r="C10" t="inlineStr">
        <x:is>
          <x:t xml:space="preserve">Jul</x:t>
        </x:is>
      </x:c>
      <x:c r="D10" t="inlineStr">
        <x:is>
          <x:t xml:space="preserve">Wedding</x:t>
        </x:is>
      </x:c>
      <x:c r="E10" t="inlineStr">
        <x:is>
          <x:t xml:space="preserve">South</x:t>
        </x:is>
      </x:c>
      <x:c r="F10" t="n">
        <x:v>74500</x:v>
      </x:c>
      <x:c r="H10" s="49" t="inlineStr">
        <x:is>
          <x:t xml:space="preserve">Reminder</x:t>
        </x:is>
      </x:c>
      <x:c r="I10" s="49" t="inlineStr">
        <x:is>
          <x:t xml:space="preserve">Spill ranges need empty cells below/right.</x:t>
        </x:is>
      </x:c>
      <x:c r="J10" s="49"/>
      <x:c r="K10" s="49"/>
    </x:row>
    <x:row r="11">
      <x:c r="A11" t="inlineStr">
        <x:is>
          <x:t xml:space="preserve">Anchor &amp; Oak Events</x:t>
        </x:is>
      </x:c>
      <x:c r="B11" t="inlineStr">
        <x:is>
          <x:t xml:space="preserve">AO-008</x:t>
        </x:is>
      </x:c>
      <x:c r="C11" t="inlineStr">
        <x:is>
          <x:t xml:space="preserve">Aug</x:t>
        </x:is>
      </x:c>
      <x:c r="D11" t="inlineStr">
        <x:is>
          <x:t xml:space="preserve">Private</x:t>
        </x:is>
      </x:c>
      <x:c r="E11" t="inlineStr">
        <x:is>
          <x:t xml:space="preserve">South</x:t>
        </x:is>
      </x:c>
      <x:c r="F11" t="n">
        <x:v>63800</x:v>
      </x:c>
      <x:c r="H11" s="49" t="inlineStr">
        <x:is>
          <x:t xml:space="preserve">Hash sign</x:t>
        </x:is>
      </x:c>
      <x:c r="I11" s="49" t="inlineStr">
        <x:is>
          <x:t xml:space="preserve">Use the first spill cell plus #, such as H16#.</x:t>
        </x:is>
      </x:c>
      <x:c r="J11" s="49"/>
      <x:c r="K11" s="49"/>
    </x:row>
    <x:row r="12">
      <x:c r="A12" t="inlineStr">
        <x:is>
          <x:t xml:space="preserve">Anchor &amp; Oak Events</x:t>
        </x:is>
      </x:c>
      <x:c r="B12" t="inlineStr">
        <x:is>
          <x:t xml:space="preserve">AO-009</x:t>
        </x:is>
      </x:c>
      <x:c r="C12" t="inlineStr">
        <x:is>
          <x:t xml:space="preserve">Sep</x:t>
        </x:is>
      </x:c>
      <x:c r="D12" t="inlineStr">
        <x:is>
          <x:t xml:space="preserve">Corporate</x:t>
        </x:is>
      </x:c>
      <x:c r="E12" t="inlineStr">
        <x:is>
          <x:t xml:space="preserve">North</x:t>
        </x:is>
      </x:c>
      <x:c r="F12" t="n">
        <x:v>47200</x:v>
      </x:c>
      <x:c r="H12" s="49" t="inlineStr">
        <x:is>
          <x:t xml:space="preserve">If you get #SPILL!</x:t>
        </x:is>
      </x:c>
      <x:c r="I12" s="49" t="inlineStr">
        <x:is>
          <x:t xml:space="preserve">Look for blocked cells in the output area.</x:t>
        </x:is>
      </x:c>
      <x:c r="J12" s="49"/>
      <x:c r="K12" s="49"/>
    </x:row>
    <x:row r="13">
      <x:c r="A13" t="inlineStr">
        <x:is>
          <x:t xml:space="preserve">Anchor &amp; Oak Events</x:t>
        </x:is>
      </x:c>
      <x:c r="B13" t="inlineStr">
        <x:is>
          <x:t xml:space="preserve">AO-010</x:t>
        </x:is>
      </x:c>
      <x:c r="C13" t="inlineStr">
        <x:is>
          <x:t xml:space="preserve">Oct</x:t>
        </x:is>
      </x:c>
      <x:c r="D13" t="inlineStr">
        <x:is>
          <x:t xml:space="preserve">Private</x:t>
        </x:is>
      </x:c>
      <x:c r="E13" t="inlineStr">
        <x:is>
          <x:t xml:space="preserve">North</x:t>
        </x:is>
      </x:c>
      <x:c r="F13" t="n">
        <x:v>40400</x:v>
      </x:c>
      <x:c r="H13" s="49" t="inlineStr">
        <x:is>
          <x:t xml:space="preserve">Do not type results manually.</x:t>
        </x:is>
      </x:c>
      <x:c r="I13" s="49" t="inlineStr">
        <x:is>
          <x:t xml:space="preserve">Let Excel spill.</x:t>
        </x:is>
      </x:c>
      <x:c r="J13" s="49"/>
      <x:c r="K13" s="49"/>
    </x:row>
    <x:row r="14">
      <x:c r="A14" t="inlineStr">
        <x:is>
          <x:t xml:space="preserve">Anchor &amp; Oak Events</x:t>
        </x:is>
      </x:c>
      <x:c r="B14" t="inlineStr">
        <x:is>
          <x:t xml:space="preserve">AO-011</x:t>
        </x:is>
      </x:c>
      <x:c r="C14" t="inlineStr">
        <x:is>
          <x:t xml:space="preserve">Nov</x:t>
        </x:is>
      </x:c>
      <x:c r="D14" t="inlineStr">
        <x:is>
          <x:t xml:space="preserve">Corporate</x:t>
        </x:is>
      </x:c>
      <x:c r="E14" t="inlineStr">
        <x:is>
          <x:t xml:space="preserve">South</x:t>
        </x:is>
      </x:c>
      <x:c r="F14" t="n">
        <x:v>38600</x:v>
      </x:c>
      <x:c r="H14" s="49"/>
      <x:c r="I14" s="49"/>
      <x:c r="J14" s="49"/>
      <x:c r="K14" s="49"/>
    </x:row>
    <x:row r="15">
      <x:c r="A15" t="inlineStr">
        <x:is>
          <x:t xml:space="preserve">Anchor &amp; Oak Events</x:t>
        </x:is>
      </x:c>
      <x:c r="B15" t="inlineStr">
        <x:is>
          <x:t xml:space="preserve">AO-012</x:t>
        </x:is>
      </x:c>
      <x:c r="C15" t="inlineStr">
        <x:is>
          <x:t xml:space="preserve">Dec</x:t>
        </x:is>
      </x:c>
      <x:c r="D15" t="inlineStr">
        <x:is>
          <x:t xml:space="preserve">Wedding</x:t>
        </x:is>
      </x:c>
      <x:c r="E15" t="inlineStr">
        <x:is>
          <x:t xml:space="preserve">North</x:t>
        </x:is>
      </x:c>
      <x:c r="F15" t="n">
        <x:v>51200</x:v>
      </x:c>
      <x:c r="H15" s="49" t="inlineStr">
        <x:is>
          <x:t xml:space="preserve">Unique Companies - type formula in H16</x:t>
        </x:is>
      </x:c>
      <x:c r="I15" s="49"/>
      <x:c r="J15" s="49"/>
      <x:c r="K15" s="49"/>
    </x:row>
    <x:row r="16">
      <x:c r="A16" t="inlineStr">
        <x:is>
          <x:t xml:space="preserve">Tidal Goods Co.</x:t>
        </x:is>
      </x:c>
      <x:c r="B16" t="inlineStr">
        <x:is>
          <x:t xml:space="preserve">TG-001</x:t>
        </x:is>
      </x:c>
      <x:c r="C16" t="inlineStr">
        <x:is>
          <x:t xml:space="preserve">Jan</x:t>
        </x:is>
      </x:c>
      <x:c r="D16" t="inlineStr">
        <x:is>
          <x:t xml:space="preserve">Kitchen</x:t>
        </x:is>
      </x:c>
      <x:c r="E16" t="inlineStr">
        <x:is>
          <x:t xml:space="preserve">North</x:t>
        </x:is>
      </x:c>
      <x:c r="F16" t="n">
        <x:v>8400</x:v>
      </x:c>
      <x:c r="H16" s="76" t="n"/>
      <x:c r="I16" s="49"/>
      <x:c r="J16" s="49"/>
      <x:c r="K16" s="49"/>
    </x:row>
    <x:row r="17">
      <x:c r="A17" t="inlineStr">
        <x:is>
          <x:t xml:space="preserve">Tidal Goods Co.</x:t>
        </x:is>
      </x:c>
      <x:c r="B17" t="inlineStr">
        <x:is>
          <x:t xml:space="preserve">TG-002</x:t>
        </x:is>
      </x:c>
      <x:c r="C17" t="inlineStr">
        <x:is>
          <x:t xml:space="preserve">Jan</x:t>
        </x:is>
      </x:c>
      <x:c r="D17" t="inlineStr">
        <x:is>
          <x:t xml:space="preserve">Storage</x:t>
        </x:is>
      </x:c>
      <x:c r="E17" t="inlineStr">
        <x:is>
          <x:t xml:space="preserve">North</x:t>
        </x:is>
      </x:c>
      <x:c r="F17" t="n">
        <x:v>5100</x:v>
      </x:c>
      <x:c r="H17" s="76" t="n"/>
      <x:c r="I17" s="49"/>
      <x:c r="J17" s="49"/>
      <x:c r="K17" s="49"/>
    </x:row>
    <x:row r="18">
      <x:c r="A18" t="inlineStr">
        <x:is>
          <x:t xml:space="preserve">Tidal Goods Co.</x:t>
        </x:is>
      </x:c>
      <x:c r="B18" t="inlineStr">
        <x:is>
          <x:t xml:space="preserve">TG-003</x:t>
        </x:is>
      </x:c>
      <x:c r="C18" t="inlineStr">
        <x:is>
          <x:t xml:space="preserve">Feb</x:t>
        </x:is>
      </x:c>
      <x:c r="D18" t="inlineStr">
        <x:is>
          <x:t xml:space="preserve">Kitchen</x:t>
        </x:is>
      </x:c>
      <x:c r="E18" t="inlineStr">
        <x:is>
          <x:t xml:space="preserve">South</x:t>
        </x:is>
      </x:c>
      <x:c r="F18" t="n">
        <x:v>3900</x:v>
      </x:c>
      <x:c r="H18" s="76" t="n"/>
      <x:c r="I18" s="49"/>
      <x:c r="J18" s="49"/>
      <x:c r="K18" s="49"/>
    </x:row>
    <x:row r="19">
      <x:c r="A19" t="inlineStr">
        <x:is>
          <x:t xml:space="preserve">Tidal Goods Co.</x:t>
        </x:is>
      </x:c>
      <x:c r="B19" t="inlineStr">
        <x:is>
          <x:t xml:space="preserve">TG-004</x:t>
        </x:is>
      </x:c>
      <x:c r="C19" t="inlineStr">
        <x:is>
          <x:t xml:space="preserve">Feb</x:t>
        </x:is>
      </x:c>
      <x:c r="D19" t="inlineStr">
        <x:is>
          <x:t xml:space="preserve">Kitchen</x:t>
        </x:is>
      </x:c>
      <x:c r="E19" t="inlineStr">
        <x:is>
          <x:t xml:space="preserve">North</x:t>
        </x:is>
      </x:c>
      <x:c r="F19" t="n">
        <x:v>6200</x:v>
      </x:c>
      <x:c r="H19" s="76" t="n"/>
      <x:c r="I19" s="49"/>
      <x:c r="J19" s="49"/>
      <x:c r="K19" s="49"/>
    </x:row>
    <x:row r="20">
      <x:c r="A20" t="inlineStr">
        <x:is>
          <x:t xml:space="preserve">Tidal Goods Co.</x:t>
        </x:is>
      </x:c>
      <x:c r="B20" t="inlineStr">
        <x:is>
          <x:t xml:space="preserve">TG-005</x:t>
        </x:is>
      </x:c>
      <x:c r="C20" t="inlineStr">
        <x:is>
          <x:t xml:space="preserve">Mar</x:t>
        </x:is>
      </x:c>
      <x:c r="D20" t="inlineStr">
        <x:is>
          <x:t xml:space="preserve">Outdoor</x:t>
        </x:is>
      </x:c>
      <x:c r="E20" t="inlineStr">
        <x:is>
          <x:t xml:space="preserve">South</x:t>
        </x:is>
      </x:c>
      <x:c r="F20" t="n">
        <x:v>7600</x:v>
      </x:c>
      <x:c r="H20" s="76" t="n"/>
      <x:c r="I20" s="49"/>
      <x:c r="J20" s="49"/>
      <x:c r="K20" s="49"/>
    </x:row>
    <x:row r="21">
      <x:c r="A21" t="inlineStr">
        <x:is>
          <x:t xml:space="preserve">Tidal Goods Co.</x:t>
        </x:is>
      </x:c>
      <x:c r="B21" t="inlineStr">
        <x:is>
          <x:t xml:space="preserve">TG-006</x:t>
        </x:is>
      </x:c>
      <x:c r="C21" t="inlineStr">
        <x:is>
          <x:t xml:space="preserve">Mar</x:t>
        </x:is>
      </x:c>
      <x:c r="D21" t="inlineStr">
        <x:is>
          <x:t xml:space="preserve">Storage</x:t>
        </x:is>
      </x:c>
      <x:c r="E21" t="inlineStr">
        <x:is>
          <x:t xml:space="preserve">North</x:t>
        </x:is>
      </x:c>
      <x:c r="F21" t="n">
        <x:v>4100</x:v>
      </x:c>
      <x:c r="H21" s="76" t="n"/>
      <x:c r="I21" s="49"/>
      <x:c r="J21" s="49"/>
      <x:c r="K21" s="49"/>
    </x:row>
    <x:row r="22">
      <x:c r="A22" t="inlineStr">
        <x:is>
          <x:t xml:space="preserve">Harborside Medical Center</x:t>
        </x:is>
      </x:c>
      <x:c r="B22" t="inlineStr">
        <x:is>
          <x:t xml:space="preserve">HM-001</x:t>
        </x:is>
      </x:c>
      <x:c r="C22" t="inlineStr">
        <x:is>
          <x:t xml:space="preserve">Jan</x:t>
        </x:is>
      </x:c>
      <x:c r="D22" t="inlineStr">
        <x:is>
          <x:t xml:space="preserve">Medicare</x:t>
        </x:is>
      </x:c>
      <x:c r="E22" t="inlineStr">
        <x:is>
          <x:t xml:space="preserve">North</x:t>
        </x:is>
      </x:c>
      <x:c r="F22" t="n">
        <x:v>620</x:v>
      </x:c>
      <x:c r="H22" s="49" t="inlineStr">
        <x:is>
          <x:t xml:space="preserve">Sorted Categories - type formula in H23</x:t>
        </x:is>
      </x:c>
      <x:c r="I22" s="49"/>
      <x:c r="J22" s="49"/>
      <x:c r="K22" s="49"/>
    </x:row>
    <x:row r="23">
      <x:c r="A23" t="inlineStr">
        <x:is>
          <x:t xml:space="preserve">Harborside Medical Center</x:t>
        </x:is>
      </x:c>
      <x:c r="B23" t="inlineStr">
        <x:is>
          <x:t xml:space="preserve">HM-002</x:t>
        </x:is>
      </x:c>
      <x:c r="C23" t="inlineStr">
        <x:is>
          <x:t xml:space="preserve">Jan</x:t>
        </x:is>
      </x:c>
      <x:c r="D23" t="inlineStr">
        <x:is>
          <x:t xml:space="preserve">Commercial</x:t>
        </x:is>
      </x:c>
      <x:c r="E23" t="inlineStr">
        <x:is>
          <x:t xml:space="preserve">North</x:t>
        </x:is>
      </x:c>
      <x:c r="F23" t="n">
        <x:v>240</x:v>
      </x:c>
      <x:c r="H23" s="76" t="n"/>
      <x:c r="I23" s="49"/>
      <x:c r="J23" s="49"/>
      <x:c r="K23" s="49"/>
    </x:row>
    <x:row r="24">
      <x:c r="A24" t="inlineStr">
        <x:is>
          <x:t xml:space="preserve">Harborside Medical Center</x:t>
        </x:is>
      </x:c>
      <x:c r="B24" t="inlineStr">
        <x:is>
          <x:t xml:space="preserve">HM-003</x:t>
        </x:is>
      </x:c>
      <x:c r="C24" t="inlineStr">
        <x:is>
          <x:t xml:space="preserve">Feb</x:t>
        </x:is>
      </x:c>
      <x:c r="D24" t="inlineStr">
        <x:is>
          <x:t xml:space="preserve">Medicaid</x:t>
        </x:is>
      </x:c>
      <x:c r="E24" t="inlineStr">
        <x:is>
          <x:t xml:space="preserve">South</x:t>
        </x:is>
      </x:c>
      <x:c r="F24" t="n">
        <x:v>780</x:v>
      </x:c>
      <x:c r="H24" s="76" t="n"/>
      <x:c r="I24" s="49"/>
      <x:c r="J24" s="49"/>
      <x:c r="K24" s="49"/>
    </x:row>
    <x:row r="25">
      <x:c r="A25" t="inlineStr">
        <x:is>
          <x:t xml:space="preserve">Harborside Medical Center</x:t>
        </x:is>
      </x:c>
      <x:c r="B25" t="inlineStr">
        <x:is>
          <x:t xml:space="preserve">HM-004</x:t>
        </x:is>
      </x:c>
      <x:c r="C25" t="inlineStr">
        <x:is>
          <x:t xml:space="preserve">Feb</x:t>
        </x:is>
      </x:c>
      <x:c r="D25" t="inlineStr">
        <x:is>
          <x:t xml:space="preserve">Medicare</x:t>
        </x:is>
      </x:c>
      <x:c r="E25" t="inlineStr">
        <x:is>
          <x:t xml:space="preserve">South</x:t>
        </x:is>
      </x:c>
      <x:c r="F25" t="n">
        <x:v>510</x:v>
      </x:c>
      <x:c r="H25" s="76" t="n"/>
      <x:c r="I25" s="49"/>
      <x:c r="J25" s="49"/>
      <x:c r="K25" s="49"/>
    </x:row>
    <x:row r="26">
      <x:c r="A26" t="inlineStr">
        <x:is>
          <x:t xml:space="preserve">Harborside Medical Center</x:t>
        </x:is>
      </x:c>
      <x:c r="B26" t="inlineStr">
        <x:is>
          <x:t xml:space="preserve">HM-005</x:t>
        </x:is>
      </x:c>
      <x:c r="C26" t="inlineStr">
        <x:is>
          <x:t xml:space="preserve">Mar</x:t>
        </x:is>
      </x:c>
      <x:c r="D26" t="inlineStr">
        <x:is>
          <x:t xml:space="preserve">Commercial</x:t>
        </x:is>
      </x:c>
      <x:c r="E26" t="inlineStr">
        <x:is>
          <x:t xml:space="preserve">North</x:t>
        </x:is>
      </x:c>
      <x:c r="F26" t="n">
        <x:v>940</x:v>
      </x:c>
      <x:c r="H26" s="76" t="n"/>
      <x:c r="I26" s="49"/>
      <x:c r="J26" s="49"/>
      <x:c r="K26" s="49"/>
    </x:row>
    <x:row r="27">
      <x:c r="A27" t="inlineStr">
        <x:is>
          <x:t xml:space="preserve">Harborside Medical Center</x:t>
        </x:is>
      </x:c>
      <x:c r="B27" t="inlineStr">
        <x:is>
          <x:t xml:space="preserve">HM-006</x:t>
        </x:is>
      </x:c>
      <x:c r="C27" t="inlineStr">
        <x:is>
          <x:t xml:space="preserve">Mar</x:t>
        </x:is>
      </x:c>
      <x:c r="D27" t="inlineStr">
        <x:is>
          <x:t xml:space="preserve">Medicare</x:t>
        </x:is>
      </x:c>
      <x:c r="E27" t="inlineStr">
        <x:is>
          <x:t xml:space="preserve">North</x:t>
        </x:is>
      </x:c>
      <x:c r="F27" t="n">
        <x:v>450</x:v>
      </x:c>
      <x:c r="H27" s="76" t="n"/>
      <x:c r="I27" s="49"/>
      <x:c r="J27" s="49"/>
      <x:c r="K27" s="49"/>
    </x:row>
    <x:row r="28">
      <x:c r="A28" t="inlineStr">
        <x:is>
          <x:t xml:space="preserve">Meridian Advisory Group</x:t>
        </x:is>
      </x:c>
      <x:c r="B28" t="inlineStr">
        <x:is>
          <x:t xml:space="preserve">MA-001</x:t>
        </x:is>
      </x:c>
      <x:c r="C28" t="inlineStr">
        <x:is>
          <x:t xml:space="preserve">Jan</x:t>
        </x:is>
      </x:c>
      <x:c r="D28" t="inlineStr">
        <x:is>
          <x:t xml:space="preserve">Payroll</x:t>
        </x:is>
      </x:c>
      <x:c r="E28" t="inlineStr">
        <x:is>
          <x:t xml:space="preserve">North</x:t>
        </x:is>
      </x:c>
      <x:c r="F28" t="n">
        <x:v>4800</x:v>
      </x:c>
      <x:c r="H28" s="76" t="n"/>
      <x:c r="I28" s="49"/>
      <x:c r="J28" s="49"/>
      <x:c r="K28" s="49"/>
    </x:row>
    <x:row r="29">
      <x:c r="A29" t="inlineStr">
        <x:is>
          <x:t xml:space="preserve">Meridian Advisory Group</x:t>
        </x:is>
      </x:c>
      <x:c r="B29" t="inlineStr">
        <x:is>
          <x:t xml:space="preserve">MA-002</x:t>
        </x:is>
      </x:c>
      <x:c r="C29" t="inlineStr">
        <x:is>
          <x:t xml:space="preserve">Jan</x:t>
        </x:is>
      </x:c>
      <x:c r="D29" t="inlineStr">
        <x:is>
          <x:t xml:space="preserve">Payroll</x:t>
        </x:is>
      </x:c>
      <x:c r="E29" t="inlineStr">
        <x:is>
          <x:t xml:space="preserve">South</x:t>
        </x:is>
      </x:c>
      <x:c r="F29" t="n">
        <x:v>5200</x:v>
      </x:c>
      <x:c r="H29" s="49"/>
      <x:c r="I29" s="49"/>
      <x:c r="J29" s="49"/>
      <x:c r="K29" s="49"/>
    </x:row>
    <x:row r="30">
      <x:c r="A30" t="inlineStr">
        <x:is>
          <x:t xml:space="preserve">Meridian Advisory Group</x:t>
        </x:is>
      </x:c>
      <x:c r="B30" t="inlineStr">
        <x:is>
          <x:t xml:space="preserve">MA-003</x:t>
        </x:is>
      </x:c>
      <x:c r="C30" t="inlineStr">
        <x:is>
          <x:t xml:space="preserve">Feb</x:t>
        </x:is>
      </x:c>
      <x:c r="D30" t="inlineStr">
        <x:is>
          <x:t xml:space="preserve">Benefits</x:t>
        </x:is>
      </x:c>
      <x:c r="E30" t="inlineStr">
        <x:is>
          <x:t xml:space="preserve">North</x:t>
        </x:is>
      </x:c>
      <x:c r="F30" t="n">
        <x:v>3100</x:v>
      </x:c>
      <x:c r="H30" s="49"/>
      <x:c r="I30" s="49"/>
      <x:c r="J30" s="49"/>
      <x:c r="K30" s="49"/>
    </x:row>
    <x:row r="31">
      <x:c r="A31" t="inlineStr">
        <x:is>
          <x:t xml:space="preserve">Meridian Advisory Group</x:t>
        </x:is>
      </x:c>
      <x:c r="B31" t="inlineStr">
        <x:is>
          <x:t xml:space="preserve">MA-004</x:t>
        </x:is>
      </x:c>
      <x:c r="C31" t="inlineStr">
        <x:is>
          <x:t xml:space="preserve">Feb</x:t>
        </x:is>
      </x:c>
      <x:c r="D31" t="inlineStr">
        <x:is>
          <x:t xml:space="preserve">Payroll</x:t>
        </x:is>
      </x:c>
      <x:c r="E31" t="inlineStr">
        <x:is>
          <x:t xml:space="preserve">South</x:t>
        </x:is>
      </x:c>
      <x:c r="F31" t="n">
        <x:v>6100</x:v>
      </x:c>
      <x:c r="H31" s="76" t="inlineStr">
        <x:is>
          <x:t xml:space="preserve">Harborside Open Balances Above $500 - type formula in H32</x:t>
        </x:is>
      </x:c>
      <x:c r="I31" s="49"/>
      <x:c r="J31" s="49"/>
      <x:c r="K31" s="49"/>
    </x:row>
    <x:row r="32">
      <x:c r="A32" t="inlineStr">
        <x:is>
          <x:t xml:space="preserve">Meridian Advisory Group</x:t>
        </x:is>
      </x:c>
      <x:c r="B32" t="inlineStr">
        <x:is>
          <x:t xml:space="preserve">MA-005</x:t>
        </x:is>
      </x:c>
      <x:c r="C32" t="inlineStr">
        <x:is>
          <x:t xml:space="preserve">Mar</x:t>
        </x:is>
      </x:c>
      <x:c r="D32" t="inlineStr">
        <x:is>
          <x:t xml:space="preserve">Tax</x:t>
        </x:is>
      </x:c>
      <x:c r="E32" t="inlineStr">
        <x:is>
          <x:t xml:space="preserve">North</x:t>
        </x:is>
      </x:c>
      <x:c r="F32" t="n">
        <x:v>7300</x:v>
      </x:c>
      <x:c r="H32" s="76" t="n"/>
      <x:c r="I32" s="49"/>
      <x:c r="J32" s="49"/>
      <x:c r="K32" s="49"/>
    </x:row>
    <x:row r="33">
      <x:c r="A33" t="inlineStr">
        <x:is>
          <x:t xml:space="preserve">Meridian Advisory Group</x:t>
        </x:is>
      </x:c>
      <x:c r="B33" t="inlineStr">
        <x:is>
          <x:t xml:space="preserve">MA-006</x:t>
        </x:is>
      </x:c>
      <x:c r="C33" t="inlineStr">
        <x:is>
          <x:t xml:space="preserve">Mar</x:t>
        </x:is>
      </x:c>
      <x:c r="D33" t="inlineStr">
        <x:is>
          <x:t xml:space="preserve">Benefits</x:t>
        </x:is>
      </x:c>
      <x:c r="E33" t="inlineStr">
        <x:is>
          <x:t xml:space="preserve">South</x:t>
        </x:is>
      </x:c>
      <x:c r="F33" t="n">
        <x:v>2800</x:v>
      </x:c>
      <x:c r="H33" s="76" t="n"/>
      <x:c r="I33" s="49"/>
      <x:c r="J33" s="49"/>
      <x:c r="K33" s="49"/>
    </x:row>
    <x:row r="34">
      <x:c r="H34" s="76" t="n"/>
      <x:c r="I34" s="49"/>
      <x:c r="J34" s="49"/>
      <x:c r="K34" s="49"/>
    </x:row>
    <x:row r="35">
      <x:c r="H35" s="76" t="n"/>
      <x:c r="I35" s="49"/>
      <x:c r="J35" s="49"/>
      <x:c r="K35" s="49"/>
    </x:row>
    <x:row r="36">
      <x:c r="H36" s="76" t="n"/>
      <x:c r="I36" s="49"/>
      <x:c r="J36" s="49"/>
      <x:c r="K36" s="49"/>
    </x:row>
    <x:row r="37">
      <x:c r="H37" s="76" t="n"/>
      <x:c r="I37" s="49"/>
      <x:c r="J37" s="49"/>
      <x:c r="K37" s="49"/>
    </x:row>
    <x:row r="38">
      <x:c r="H38" s="76" t="n"/>
      <x:c r="I38" s="49"/>
      <x:c r="J38" s="49"/>
      <x:c r="K38" s="49"/>
    </x:row>
    <x:row r="39">
      <x:c r="H39" s="76" t="n"/>
      <x:c r="I39" s="49"/>
      <x:c r="J39" s="49"/>
      <x:c r="K39" s="49"/>
    </x:row>
    <x:row r="40">
      <x:c r="H40" s="76" t="n"/>
      <x:c r="I40" s="49"/>
      <x:c r="J40" s="49"/>
      <x:c r="K40" s="49"/>
    </x:row>
    <x:row r="41">
      <x:c r="H41" s="76" t="n"/>
      <x:c r="I41" s="49"/>
      <x:c r="J41" s="49"/>
      <x:c r="K41" s="49"/>
    </x:row>
    <x:row r="42">
      <x:c r="H42" s="76" t="inlineStr">
        <x:is>
          <x:t xml:space="preserve">Month Numbers - type formula in H43</x:t>
        </x:is>
      </x:c>
      <x:c r="I42" s="49"/>
      <x:c r="J42" s="49"/>
      <x:c r="K42" s="49"/>
    </x:row>
    <x:row r="43">
      <x:c r="H43" s="49"/>
      <x:c r="I43" s="49"/>
      <x:c r="J43" s="49"/>
      <x:c r="K43" s="49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hidden="0" customWidth="1"/>
    <x:col min="2" max="2" width="20" hidden="0" customWidth="1"/>
    <x:col min="3" max="3" width="24" hidden="0" customWidth="1"/>
    <x:col min="4" max="4" width="28" hidden="0" customWidth="1"/>
    <x:col min="5" max="5" width="14" hidden="0" customWidth="1"/>
    <x:col min="6" max="6" width="4" hidden="0" customWidth="1"/>
    <x:col min="7" max="7" width="42" hidden="0" customWidth="1"/>
    <x:col min="8" max="8" width="18" hidden="0" customWidth="1"/>
    <x:col min="9" max="9" width="20" hidden="0" customWidth="1"/>
    <x:col min="10" max="10" width="36" hidden="0" customWidth="1"/>
  </x:cols>
  <x:sheetData>
    <x:row r="1" ht="30" customHeight="1">
      <x:c r="A1" s="72" t="inlineStr">
        <x:is>
          <x:t xml:space="preserve">Reporting Lab - Choose the Function for the Business Question</x:t>
        </x:is>
      </x:c>
      <x:c r="B1" s="72"/>
      <x:c r="C1" s="72"/>
      <x:c r="D1" s="72"/>
      <x:c r="E1" s="72"/>
      <x:c r="F1" s="72"/>
      <x:c r="G1" s="72"/>
      <x:c r="H1" s="72"/>
      <x:c r="I1" s="72"/>
      <x:c r="J1" s="72"/>
    </x:row>
    <x:row r="3" ht="36" customHeight="1">
      <x:c r="A3" s="75" t="inlineStr">
        <x:is>
          <x:t xml:space="preserve">Employee ID</x:t>
        </x:is>
      </x:c>
      <x:c r="B3" s="75" t="inlineStr">
        <x:is>
          <x:t xml:space="preserve">Employee Name</x:t>
        </x:is>
      </x:c>
      <x:c r="C3" s="75" t="inlineStr">
        <x:is>
          <x:t xml:space="preserve">Department</x:t>
        </x:is>
      </x:c>
      <x:c r="D3" s="75" t="inlineStr">
        <x:is>
          <x:t xml:space="preserve">Hourly Rate</x:t>
        </x:is>
      </x:c>
      <x:c r="E3" s="75" t="inlineStr">
        <x:is>
          <x:t xml:space="preserve">Hours Worked</x:t>
        </x:is>
      </x:c>
      <x:c r="F3" s="75"/>
      <x:c r="G3" s="75" t="inlineStr">
        <x:is>
          <x:t xml:space="preserve">Question</x:t>
        </x:is>
      </x:c>
      <x:c r="H3" s="75" t="inlineStr">
        <x:is>
          <x:t xml:space="preserve">Formula Cell</x:t>
        </x:is>
      </x:c>
      <x:c r="I3" s="75" t="inlineStr">
        <x:is>
          <x:t xml:space="preserve">Expected Function</x:t>
        </x:is>
      </x:c>
      <x:c r="J3" s="75" t="inlineStr">
        <x:is>
          <x:t xml:space="preserve">Feedback</x:t>
        </x:is>
      </x:c>
    </x:row>
    <x:row r="4">
      <x:c r="A4" t="inlineStr">
        <x:is>
          <x:t xml:space="preserve">MA-101</x:t>
        </x:is>
      </x:c>
      <x:c r="B4" t="inlineStr">
        <x:is>
          <x:t xml:space="preserve">Avery Chen</x:t>
        </x:is>
      </x:c>
      <x:c r="C4" t="inlineStr">
        <x:is>
          <x:t xml:space="preserve">Payroll</x:t>
        </x:is>
      </x:c>
      <x:c r="D4" t="n">
        <x:v>32</x:v>
      </x:c>
      <x:c r="E4" t="n">
        <x:v>38</x:v>
      </x:c>
      <x:c r="G4" s="49" t="str">
        <x:v>Anchor &amp; Oak completed Wedding revenue in the North region</x:v>
      </x:c>
      <x:c r="H4" s="77" t="n"/>
      <x:c r="I4" s="49" t="str">
        <x:v>SUMIFS</x:v>
      </x:c>
      <x:c r="J4" s="49" t="str">
        <x:f>IF(H4="","Enter formula",IF(ABS(H4-SUMIFS('Raw Data'!$H$2:$H$73,'Raw Data'!$D$2:$D$73,"North",'Raw Data'!$C$2:$C$73,"Wedding",'Raw Data'!$F$2:$F$73,"Completed"))&lt;0.01,"Looks right","Check SUMIFS criteria"))</x:f>
        <x:v>Enter formula</x:v>
      </x:c>
    </x:row>
    <x:row r="5">
      <x:c r="A5" t="inlineStr">
        <x:is>
          <x:t xml:space="preserve">MA-102</x:t>
        </x:is>
      </x:c>
      <x:c r="B5" t="inlineStr">
        <x:is>
          <x:t xml:space="preserve">Blake Ortiz</x:t>
        </x:is>
      </x:c>
      <x:c r="C5" t="inlineStr">
        <x:is>
          <x:t xml:space="preserve">Benefits</x:t>
        </x:is>
      </x:c>
      <x:c r="D5" t="n">
        <x:v>29</x:v>
      </x:c>
      <x:c r="E5" t="n">
        <x:v>41</x:v>
      </x:c>
      <x:c r="G5" s="49" t="str">
        <x:v>Anchor &amp; Oak completed Wedding count in the North region</x:v>
      </x:c>
      <x:c r="H5" s="77" t="n"/>
      <x:c r="I5" s="49" t="str">
        <x:v>COUNTIFS</x:v>
      </x:c>
      <x:c r="J5" s="49" t="str">
        <x:f>IF(H5="","Enter formula",IF(H5=COUNTIFS('Raw Data'!$D$2:$D$73,"North",'Raw Data'!$C$2:$C$73,"Wedding",'Raw Data'!$F$2:$F$73,"Completed"),"Looks right","Check COUNTIFS criteria"))</x:f>
        <x:v>Enter formula</x:v>
      </x:c>
    </x:row>
    <x:row r="6">
      <x:c r="A6" t="inlineStr">
        <x:is>
          <x:t xml:space="preserve">MA-103</x:t>
        </x:is>
      </x:c>
      <x:c r="B6" t="inlineStr">
        <x:is>
          <x:t xml:space="preserve">Casey Patel</x:t>
        </x:is>
      </x:c>
      <x:c r="C6" t="inlineStr">
        <x:is>
          <x:t xml:space="preserve">Tax</x:t>
        </x:is>
      </x:c>
      <x:c r="D6" t="n">
        <x:v>36</x:v>
      </x:c>
      <x:c r="E6" t="n">
        <x:v>45</x:v>
      </x:c>
      <x:c r="G6" s="49" t="inlineStr">
        <x:is>
          <x:t xml:space="preserve">Meridian overtime flag for MA-103</x:t>
        </x:is>
      </x:c>
      <x:c r="H6" s="77" t="n"/>
      <x:c r="I6" s="49" t="inlineStr">
        <x:is>
          <x:t xml:space="preserve">IF</x:t>
        </x:is>
      </x:c>
      <x:c r="J6" s="49" t="str">
        <x:f>IF(H6="","Enter formula",IF(H6="Overtime","Looks right","IF should flag &gt;40 hours"))</x:f>
        <x:v>Enter formula</x:v>
      </x:c>
    </x:row>
    <x:row r="7">
      <x:c r="A7" t="inlineStr">
        <x:is>
          <x:t xml:space="preserve">MA-104</x:t>
        </x:is>
      </x:c>
      <x:c r="B7" t="inlineStr">
        <x:is>
          <x:t xml:space="preserve">Devon Reed</x:t>
        </x:is>
      </x:c>
      <x:c r="C7" t="inlineStr">
        <x:is>
          <x:t xml:space="preserve">Payroll</x:t>
        </x:is>
      </x:c>
      <x:c r="D7" t="n">
        <x:v>31</x:v>
      </x:c>
      <x:c r="E7" t="n">
        <x:v>40</x:v>
      </x:c>
      <x:c r="G7" s="49" t="inlineStr">
        <x:is>
          <x:t xml:space="preserve">Last day of current month</x:t>
        </x:is>
      </x:c>
      <x:c r="H7" s="77" t="n"/>
      <x:c r="I7" s="49" t="inlineStr">
        <x:is>
          <x:t xml:space="preserve">EOMONTH</x:t>
        </x:is>
      </x:c>
      <x:c r="J7" s="49" t="str">
        <x:f>IF(H7="","Enter formula",IF(H7=EOMONTH(TODAY(),0),"Looks right","Use EOMONTH(TODAY(),0)"))</x:f>
        <x:v>Enter formula</x:v>
      </x:c>
    </x:row>
    <x:row r="8">
      <x:c r="A8" t="inlineStr">
        <x:is>
          <x:t xml:space="preserve">MA-105</x:t>
        </x:is>
      </x:c>
      <x:c r="B8" t="inlineStr">
        <x:is>
          <x:t xml:space="preserve">Emery Silva</x:t>
        </x:is>
      </x:c>
      <x:c r="C8" t="inlineStr">
        <x:is>
          <x:t xml:space="preserve">Benefits</x:t>
        </x:is>
      </x:c>
      <x:c r="D8" t="n">
        <x:v>28</x:v>
      </x:c>
      <x:c r="E8" t="n">
        <x:v>35</x:v>
      </x:c>
      <x:c r="G8" s="49" t="str">
        <x:v>Text label: Booking ID - Event Type - Region for first raw row</x:v>
      </x:c>
      <x:c r="H8" s="77" t="n"/>
      <x:c r="I8" s="49" t="inlineStr">
        <x:is>
          <x:t xml:space="preserve">TEXTJOIN</x:t>
        </x:is>
      </x:c>
      <x:c r="J8" s="49" t="str">
        <x:f>IF(H8="","Enter formula",IF(H8=TEXTJOIN(" - ",TRUE,'Raw Data'!A2,'Raw Data'!C2,'Raw Data'!D2),"Looks right","Check TEXTJOIN delimiter and source cells"))</x:f>
        <x:v>Enter formula</x:v>
      </x:c>
    </x:row>
    <x:row r="9">
      <x:c r="G9" s="49"/>
      <x:c r="H9" s="49"/>
      <x:c r="I9" s="49"/>
      <x:c r="J9" s="49"/>
    </x:row>
    <x:row r="10">
      <x:c r="A10" s="75" t="inlineStr">
        <x:is>
          <x:t xml:space="preserve">Lookup ID</x:t>
        </x:is>
      </x:c>
      <x:c r="B10" s="75" t="inlineStr">
        <x:is>
          <x:t xml:space="preserve">Student Formula</x:t>
        </x:is>
      </x:c>
      <x:c r="C10" s="75" t="inlineStr">
        <x:is>
          <x:t xml:space="preserve">Expected Function</x:t>
        </x:is>
      </x:c>
      <x:c r="D10" s="75" t="inlineStr">
        <x:is>
          <x:t xml:space="preserve">Feedback</x:t>
        </x:is>
      </x:c>
      <x:c r="G10" s="49" t="inlineStr">
        <x:is>
          <x:t xml:space="preserve">Hints</x:t>
        </x:is>
      </x:c>
      <x:c r="H10" s="49"/>
      <x:c r="I10" s="49"/>
      <x:c r="J10" s="49"/>
    </x:row>
    <x:row r="11">
      <x:c r="A11" t="inlineStr">
        <x:is>
          <x:t xml:space="preserve">MA-103</x:t>
        </x:is>
      </x:c>
      <x:c r="B11" s="28" t="n"/>
      <x:c r="C11" t="inlineStr">
        <x:is>
          <x:t xml:space="preserve">XLOOKUP</x:t>
        </x:is>
      </x:c>
      <x:c r="D11" t="str">
        <x:f>IF(B11="","Enter formula",IF(B11="Casey Patel","Looks right","Check XLOOKUP lookup and return arrays"))</x:f>
        <x:v>Enter formula</x:v>
      </x:c>
      <x:c r="G11" s="49" t="str">
        <x:v>SUMIFS adds Revenue where Region, Event Type, and Status all match.</x:v>
      </x:c>
      <x:c r="H11" s="49"/>
      <x:c r="I11" s="49"/>
      <x:c r="J11" s="49"/>
    </x:row>
    <x:row r="12">
      <x:c r="A12" t="inlineStr">
        <x:is>
          <x:t xml:space="preserve">MA-999</x:t>
        </x:is>
      </x:c>
      <x:c r="B12" s="28" t="n"/>
      <x:c r="C12" t="inlineStr">
        <x:is>
          <x:t xml:space="preserve">XLOOKUP with if_not_found</x:t>
        </x:is>
      </x:c>
      <x:c r="D12" t="str">
        <x:f>IF(B12="","Enter formula",IF(B12="Check ID","Looks right","Use if_not_found message: Check ID"))</x:f>
        <x:v>Enter formula</x:v>
      </x:c>
      <x:c r="G12" s="49" t="str">
        <x:v>COUNTIFS counts rows where all manager criteria match.</x:v>
      </x:c>
      <x:c r="H12" s="49"/>
      <x:c r="I12" s="49"/>
      <x:c r="J12" s="49"/>
    </x:row>
    <x:row r="13">
      <x:c r="G13" s="49" t="inlineStr">
        <x:is>
          <x:t xml:space="preserve">IF should return Overtime when hours are greater than 40.</x:t>
        </x:is>
      </x:c>
      <x:c r="H13" s="49"/>
      <x:c r="I13" s="49"/>
      <x:c r="J13" s="49"/>
    </x:row>
    <x:row r="14">
      <x:c r="G14" s="49" t="inlineStr">
        <x:is>
          <x:t xml:space="preserve">TEXTJOIN should include delimiter and ignore blanks.</x:t>
        </x:is>
      </x:c>
      <x:c r="H14" s="49"/>
      <x:c r="I14" s="49"/>
      <x:c r="J14" s="49"/>
    </x:row>
    <x:row r="15">
      <x:c r="G15" s="49" t="inlineStr">
        <x:is>
          <x:t xml:space="preserve">Write formulas in the yellow Formula Cell references.</x:t>
        </x:is>
      </x:c>
      <x:c r="H15" s="49"/>
      <x:c r="I15" s="49"/>
      <x:c r="J15" s="49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hidden="0" customWidth="1"/>
    <x:col min="2" max="2" width="24" hidden="0" customWidth="1"/>
    <x:col min="3" max="3" width="28" hidden="0" customWidth="1"/>
    <x:col min="4" max="4" width="18" hidden="0" customWidth="1"/>
    <x:col min="5" max="5" width="3" hidden="0" customWidth="1"/>
    <x:col min="6" max="6" width="3" hidden="0" customWidth="1"/>
    <x:col min="7" max="7" width="3" hidden="0" customWidth="1"/>
    <x:col min="8" max="8" width="15" hidden="0" customWidth="1"/>
    <x:col min="9" max="9" width="14" hidden="0" customWidth="1"/>
    <x:col min="10" max="10" width="22" hidden="0" customWidth="1"/>
    <x:col min="11" max="11" width="11" hidden="0" customWidth="1"/>
    <x:col min="12" max="12" width="12" hidden="0" customWidth="1"/>
    <x:col min="13" max="13" width="12" hidden="0" customWidth="1"/>
    <x:col min="14" max="14" width="10" hidden="0" customWidth="1"/>
    <x:col min="15" max="15" width="14" hidden="0" customWidth="1"/>
    <x:col min="16" max="16" width="14" hidden="0" customWidth="1"/>
    <x:col min="17" max="17" width="13" hidden="0" customWidth="1"/>
  </x:cols>
  <x:sheetData>
    <x:row r="1" ht="34" customHeight="1">
      <x:c r="A1" s="45" t="str">
        <x:v>EXCEL-M03-L01 - Business-Question Analysis Lab</x:v>
      </x:c>
      <x:c r="B1" s="45"/>
      <x:c r="C1" s="45"/>
      <x:c r="D1" s="45"/>
      <x:c r="E1" s="45"/>
      <x:c r="F1" s="45"/>
      <x:c r="G1" s="45"/>
      <x:c r="H1" s="45"/>
      <x:c r="I1" s="45"/>
      <x:c r="J1" s="45"/>
      <x:c r="K1" s="45"/>
      <x:c r="L1" s="45"/>
      <x:c r="M1" s="45"/>
      <x:c r="N1" s="45"/>
      <x:c r="O1" s="45"/>
      <x:c r="P1" s="45"/>
      <x:c r="Q1" s="45"/>
    </x:row>
    <x:row r="2" ht="30" customHeight="1">
      <x:c r="A2" s="80" t="str">
        <x:v>Begin in class; finish for homework. Use the analysis-ready source tables to answer the manager's questions efficiently.</x:v>
      </x:c>
      <x:c r="B2" s="80"/>
      <x:c r="C2" s="80"/>
      <x:c r="D2" s="80"/>
      <x:c r="E2" s="80"/>
      <x:c r="F2" s="80"/>
      <x:c r="G2" s="80"/>
      <x:c r="H2" s="80"/>
      <x:c r="I2" s="80"/>
      <x:c r="J2" s="80"/>
      <x:c r="K2" s="80"/>
      <x:c r="L2" s="80"/>
      <x:c r="M2" s="80"/>
      <x:c r="N2" s="80"/>
      <x:c r="O2" s="80"/>
      <x:c r="P2" s="80"/>
      <x:c r="Q2" s="80"/>
    </x:row>
    <x:row r="3" ht="22" customHeight="1"/>
    <x:row r="4" ht="26" customHeight="1">
      <x:c r="A4" s="84" t="str">
        <x:v>30 points · 26 automatically checked · 4-point recommendation reviewed by the instructor</x:v>
      </x:c>
      <x:c r="B4" s="84"/>
      <x:c r="C4" s="84"/>
      <x:c r="D4" s="84"/>
      <x:c r="E4" s="84"/>
      <x:c r="F4" s="84"/>
      <x:c r="G4" s="84"/>
      <x:c r="H4" s="84"/>
      <x:c r="I4" s="84"/>
      <x:c r="J4" s="84"/>
      <x:c r="K4" s="84"/>
      <x:c r="L4" s="84"/>
      <x:c r="M4" s="84"/>
      <x:c r="N4" s="84"/>
      <x:c r="O4" s="84"/>
      <x:c r="P4" s="84"/>
      <x:c r="Q4" s="84"/>
    </x:row>
    <x:row r="5" ht="22" customHeight="1"/>
    <x:row r="6" ht="22" customHeight="1">
      <x:c r="A6" s="70" t="str">
        <x:v>Manager's Fixed Criteria</x:v>
      </x:c>
      <x:c r="B6" s="70"/>
      <x:c r="C6" s="70" t="str">
        <x:v>Manager-Ready KPI Summary</x:v>
      </x:c>
      <x:c r="D6" s="70"/>
      <x:c r="E6"/>
      <x:c r="F6"/>
      <x:c r="G6"/>
      <x:c r="H6" s="70" t="str">
        <x:v>Dynamic Event-Type List</x:v>
      </x:c>
      <x:c r="I6" s="70"/>
      <x:c r="J6" s="70"/>
      <x:c r="K6" s="70"/>
    </x:row>
    <x:row r="7" ht="22" customHeight="1">
      <x:c r="A7"/>
      <x:c r="B7"/>
      <x:c r="C7"/>
      <x:c r="D7"/>
      <x:c r="E7"/>
      <x:c r="F7"/>
      <x:c r="G7"/>
      <x:c r="H7"/>
      <x:c r="I7"/>
      <x:c r="J7"/>
    </x:row>
    <x:row r="8" ht="22" customHeight="1">
      <x:c r="A8" s="57" t="str">
        <x:v>Use</x:v>
      </x:c>
      <x:c r="B8" s="57" t="str">
        <x:v>Reference these cells in every related formula</x:v>
      </x:c>
      <x:c r="C8" s="91" t="str">
        <x:v>KPI</x:v>
      </x:c>
      <x:c r="D8" s="91" t="str">
        <x:v>Your Formula</x:v>
      </x:c>
      <x:c r="E8"/>
      <x:c r="F8"/>
      <x:c r="G8"/>
      <x:c r="H8" s="56" t="str">
        <x:v>Use SORT + UNIQUE so one formula spills every event type in alphabetical order.</x:v>
      </x:c>
      <x:c r="I8" s="56"/>
      <x:c r="J8" s="56"/>
      <x:c r="K8" s="56"/>
    </x:row>
    <x:row r="9" ht="22" customHeight="1">
      <x:c r="A9" s="57" t="str">
        <x:v>Filter</x:v>
      </x:c>
      <x:c r="B9" s="57" t="str">
        <x:v>Manager request</x:v>
      </x:c>
      <x:c r="C9" s="91" t="str">
        <x:v>Question</x:v>
      </x:c>
      <x:c r="D9" s="91" t="str">
        <x:v>Build the linked answer in blue</x:v>
      </x:c>
      <x:c r="E9"/>
      <x:c r="F9"/>
      <x:c r="G9"/>
      <x:c r="H9" s="101"/>
      <x:c r="I9" s="100"/>
      <x:c r="J9" s="100"/>
      <x:c r="K9" s="100"/>
    </x:row>
    <x:row r="10" ht="22" customHeight="1">
      <x:c r="A10" s="87" t="str">
        <x:v>Region</x:v>
      </x:c>
      <x:c r="B10" s="62" t="str">
        <x:v>North</x:v>
      </x:c>
      <x:c r="C10" s="87" t="str">
        <x:v>Completed revenue</x:v>
      </x:c>
      <x:c r="D10" s="96"/>
      <x:c r="E10"/>
      <x:c r="F10"/>
      <x:c r="G10"/>
      <x:c r="H10" s="100"/>
      <x:c r="I10" s="100"/>
      <x:c r="J10" s="100"/>
      <x:c r="K10" s="100"/>
    </x:row>
    <x:row r="11" ht="22" customHeight="1">
      <x:c r="A11" s="87" t="str">
        <x:v>Event Type</x:v>
      </x:c>
      <x:c r="B11" s="62" t="str">
        <x:v>Wedding</x:v>
      </x:c>
      <x:c r="C11" s="87" t="str">
        <x:v>Completed booking count</x:v>
      </x:c>
      <x:c r="D11" s="97"/>
      <x:c r="E11"/>
      <x:c r="F11"/>
      <x:c r="G11"/>
      <x:c r="H11" s="100"/>
      <x:c r="I11" s="100"/>
      <x:c r="J11" s="100"/>
      <x:c r="K11" s="100"/>
    </x:row>
    <x:row r="12" ht="22" customHeight="1">
      <x:c r="A12" s="87" t="str">
        <x:v>Status</x:v>
      </x:c>
      <x:c r="B12" s="62" t="str">
        <x:v>Completed</x:v>
      </x:c>
      <x:c r="C12" s="87" t="str">
        <x:v>Planner monthly capacity</x:v>
      </x:c>
      <x:c r="D12" s="97"/>
      <x:c r="E12"/>
      <x:c r="F12"/>
      <x:c r="G12"/>
      <x:c r="H12" s="100"/>
      <x:c r="I12" s="100"/>
      <x:c r="J12" s="100"/>
      <x:c r="K12" s="100"/>
    </x:row>
    <x:row r="13" ht="22" customHeight="1">
      <x:c r="A13" s="87" t="str">
        <x:v>Planner ID</x:v>
      </x:c>
      <x:c r="B13" s="62" t="str">
        <x:v>P104</x:v>
      </x:c>
      <x:c r="C13" s="87" t="str">
        <x:v>Average satisfaction</x:v>
      </x:c>
      <x:c r="D13" s="98"/>
      <x:c r="E13"/>
      <x:c r="F13"/>
      <x:c r="G13"/>
      <x:c r="H13" s="100"/>
      <x:c r="I13" s="100"/>
      <x:c r="J13" s="100"/>
      <x:c r="K13" s="100"/>
    </x:row>
    <x:row r="14" ht="22" customHeight="1">
      <x:c r="A14"/>
      <x:c r="B14"/>
      <x:c r="C14" s="87" t="str">
        <x:v>Gross margin</x:v>
      </x:c>
      <x:c r="D14" s="96"/>
      <x:c r="E14"/>
      <x:c r="F14"/>
      <x:c r="G14"/>
      <x:c r="H14"/>
      <x:c r="I14"/>
      <x:c r="J14"/>
    </x:row>
    <x:row r="15" ht="22" customHeight="1">
      <x:c r="A15"/>
      <x:c r="B15"/>
      <x:c r="C15" s="87" t="str">
        <x:v>Largest qualifying revenue</x:v>
      </x:c>
      <x:c r="D15" s="96"/>
      <x:c r="E15"/>
      <x:c r="F15"/>
      <x:c r="G15"/>
      <x:c r="H15" s="70" t="str">
        <x:v>Dynamic Qualifying Bookings · Use FILTER and SORT by Revenue, highest first</x:v>
      </x:c>
      <x:c r="I15" s="70"/>
      <x:c r="J15" s="70"/>
      <x:c r="K15" s="70"/>
      <x:c r="L15" s="70"/>
      <x:c r="M15" s="70"/>
      <x:c r="N15" s="70"/>
      <x:c r="O15" s="70"/>
      <x:c r="P15" s="70"/>
      <x:c r="Q15" s="70"/>
    </x:row>
    <x:row r="16" ht="22" customHeight="1">
      <x:c r="A16"/>
      <x:c r="B16"/>
      <x:c r="C16"/>
      <x:c r="D16"/>
      <x:c r="E16"/>
      <x:c r="F16"/>
      <x:c r="G16"/>
      <x:c r="H16" s="70" t="str">
        <x:v>Booking ID</x:v>
      </x:c>
      <x:c r="I16" s="70" t="str">
        <x:v>Event Date</x:v>
      </x:c>
      <x:c r="J16" s="70" t="str">
        <x:v>Event Type</x:v>
      </x:c>
      <x:c r="K16" s="70" t="str">
        <x:v>Region</x:v>
      </x:c>
      <x:c r="L16" s="70" t="str">
        <x:v>Planner ID</x:v>
      </x:c>
      <x:c r="M16" s="70" t="str">
        <x:v>Status</x:v>
      </x:c>
      <x:c r="N16" s="70" t="str">
        <x:v>Guests</x:v>
      </x:c>
      <x:c r="O16" s="70" t="str">
        <x:v>Revenue</x:v>
      </x:c>
      <x:c r="P16" s="70" t="str">
        <x:v>Direct Cost</x:v>
      </x:c>
      <x:c r="Q16" s="70" t="str">
        <x:v>Satisfaction</x:v>
      </x:c>
    </x:row>
    <x:row r="17" ht="22" customHeight="1">
      <x:c r="A17" s="70" t="str">
        <x:v>Build Rules</x:v>
      </x:c>
      <x:c r="B17" s="70"/>
      <x:c r="C17" s="70"/>
      <x:c r="D17" s="70"/>
      <x:c r="E17" s="70"/>
      <x:c r="F17" s="70"/>
      <x:c r="G17"/>
      <x:c r="H17" s="100"/>
      <x:c r="I17" s="102"/>
      <x:c r="J17" s="100"/>
      <x:c r="K17" s="100"/>
      <x:c r="L17" s="100"/>
      <x:c r="M17" s="100"/>
      <x:c r="N17" s="103"/>
      <x:c r="O17" s="104"/>
      <x:c r="P17" s="104"/>
      <x:c r="Q17" s="105"/>
    </x:row>
    <x:row r="18" ht="32" customHeight="1">
      <x:c r="A18" s="108" t="str">
        <x:v>1. Reference Raw Data and Planner Directory; do not type the KPI answers.</x:v>
      </x:c>
      <x:c r="B18" s="108"/>
      <x:c r="C18" s="108"/>
      <x:c r="D18" s="108"/>
      <x:c r="E18" s="108"/>
      <x:c r="F18" s="108"/>
      <x:c r="G18"/>
      <x:c r="H18" s="100"/>
      <x:c r="I18" s="102"/>
      <x:c r="J18" s="100"/>
      <x:c r="K18" s="100"/>
      <x:c r="L18" s="100"/>
      <x:c r="M18" s="100"/>
      <x:c r="N18" s="103"/>
      <x:c r="O18" s="104"/>
      <x:c r="P18" s="104"/>
      <x:c r="Q18" s="105"/>
    </x:row>
    <x:row r="19" ht="32" customHeight="1">
      <x:c r="A19" s="108" t="str">
        <x:v>2. Use SUMIFS, COUNTIFS, and XLOOKUP where the question calls for them; combine linked functions when needed.</x:v>
      </x:c>
      <x:c r="B19" s="108"/>
      <x:c r="C19" s="108"/>
      <x:c r="D19" s="108"/>
      <x:c r="E19" s="108"/>
      <x:c r="F19" s="108"/>
      <x:c r="G19"/>
      <x:c r="H19" s="100"/>
      <x:c r="I19" s="102"/>
      <x:c r="J19" s="100"/>
      <x:c r="K19" s="100"/>
      <x:c r="L19" s="100"/>
      <x:c r="M19" s="100"/>
      <x:c r="N19" s="103"/>
      <x:c r="O19" s="104"/>
      <x:c r="P19" s="104"/>
      <x:c r="Q19" s="105"/>
    </x:row>
    <x:row r="20" ht="32" customHeight="1">
      <x:c r="A20" s="108" t="str">
        <x:v>3. Enter dynamic-array formulas only in H9 and H17; leave the spill areas empty.</x:v>
      </x:c>
      <x:c r="B20" s="108"/>
      <x:c r="C20" s="108"/>
      <x:c r="D20" s="108"/>
      <x:c r="E20" s="108"/>
      <x:c r="F20" s="108"/>
      <x:c r="G20"/>
      <x:c r="H20" s="100"/>
      <x:c r="I20" s="102"/>
      <x:c r="J20" s="100"/>
      <x:c r="K20" s="100"/>
      <x:c r="L20" s="100"/>
      <x:c r="M20" s="100"/>
      <x:c r="N20" s="103"/>
      <x:c r="O20" s="104"/>
      <x:c r="P20" s="104"/>
      <x:c r="Q20" s="105"/>
    </x:row>
    <x:row r="21" ht="32" customHeight="1">
      <x:c r="A21" s="108" t="str">
        <x:v>4. Check that every result answers the manager's fixed criteria in B10:B13.</x:v>
      </x:c>
      <x:c r="B21" s="108"/>
      <x:c r="C21" s="108"/>
      <x:c r="D21" s="108"/>
      <x:c r="E21" s="108"/>
      <x:c r="F21" s="108"/>
      <x:c r="G21"/>
      <x:c r="H21" s="100"/>
      <x:c r="I21" s="102"/>
      <x:c r="J21" s="100"/>
      <x:c r="K21" s="100"/>
      <x:c r="L21" s="100"/>
      <x:c r="M21" s="100"/>
      <x:c r="N21" s="103"/>
      <x:c r="O21" s="104"/>
      <x:c r="P21" s="104"/>
      <x:c r="Q21" s="105"/>
    </x:row>
    <x:row r="22" ht="22" customHeight="1">
      <x:c r="H22" s="100"/>
      <x:c r="I22" s="102"/>
      <x:c r="J22" s="100"/>
      <x:c r="K22" s="100"/>
      <x:c r="L22" s="100"/>
      <x:c r="M22" s="100"/>
      <x:c r="N22" s="103"/>
      <x:c r="O22" s="104"/>
      <x:c r="P22" s="104"/>
      <x:c r="Q22" s="105"/>
    </x:row>
    <x:row r="23" ht="22" customHeight="1">
      <x:c r="H23" s="100"/>
      <x:c r="I23" s="102"/>
      <x:c r="J23" s="100"/>
      <x:c r="K23" s="100"/>
      <x:c r="L23" s="100"/>
      <x:c r="M23" s="100"/>
      <x:c r="N23" s="103"/>
      <x:c r="O23" s="104"/>
      <x:c r="P23" s="104"/>
      <x:c r="Q23" s="105"/>
    </x:row>
    <x:row r="24" ht="22" customHeight="1">
      <x:c r="H24" s="100"/>
      <x:c r="I24" s="102"/>
      <x:c r="J24" s="100"/>
      <x:c r="K24" s="100"/>
      <x:c r="L24" s="100"/>
      <x:c r="M24" s="100"/>
      <x:c r="N24" s="103"/>
      <x:c r="O24" s="104"/>
      <x:c r="P24" s="104"/>
      <x:c r="Q24" s="105"/>
    </x:row>
    <x:row r="25" ht="22" customHeight="1"/>
    <x:row r="26" ht="22" customHeight="1">
      <x:c r="A26" s="70" t="str">
        <x:v>Manager Recommendation · 4 points (instructor review)</x:v>
      </x:c>
      <x:c r="B26" s="70"/>
      <x:c r="C26" s="70"/>
      <x:c r="D26" s="70"/>
      <x:c r="E26" s="70"/>
      <x:c r="F26" s="70"/>
      <x:c r="G26" s="70"/>
      <x:c r="H26" s="70"/>
      <x:c r="I26" s="70"/>
      <x:c r="J26" s="70"/>
      <x:c r="K26" s="70"/>
      <x:c r="L26" s="70"/>
      <x:c r="M26" s="70"/>
      <x:c r="N26" s="70"/>
      <x:c r="O26" s="70"/>
      <x:c r="P26" s="70"/>
      <x:c r="Q26" s="70"/>
    </x:row>
    <x:row r="27" ht="34" customHeight="1">
      <x:c r="A27" s="88" t="str">
        <x:v>In 2–3 sentences, recommend one action for Anchor &amp; Oak. Cite at least two results from your KPI summary or filtered list and explain why they support the action.</x:v>
      </x:c>
      <x:c r="B27" s="88"/>
      <x:c r="C27" s="88"/>
      <x:c r="D27" s="88"/>
      <x:c r="E27" s="88"/>
      <x:c r="F27" s="88"/>
      <x:c r="G27" s="88"/>
      <x:c r="H27" s="88"/>
      <x:c r="I27" s="88"/>
      <x:c r="J27" s="88"/>
      <x:c r="K27" s="88"/>
      <x:c r="L27" s="88"/>
      <x:c r="M27" s="88"/>
      <x:c r="N27" s="88"/>
      <x:c r="O27" s="88"/>
      <x:c r="P27" s="88"/>
      <x:c r="Q27" s="88"/>
    </x:row>
    <x:row r="28" ht="34" customHeight="1">
      <x:c r="A28" s="88"/>
      <x:c r="B28" s="88"/>
      <x:c r="C28" s="88"/>
      <x:c r="D28" s="88"/>
      <x:c r="E28" s="88"/>
      <x:c r="F28" s="88"/>
      <x:c r="G28" s="88"/>
      <x:c r="H28" s="88"/>
      <x:c r="I28" s="88"/>
      <x:c r="J28" s="88"/>
      <x:c r="K28" s="88"/>
      <x:c r="L28" s="88"/>
      <x:c r="M28" s="88"/>
      <x:c r="N28" s="88"/>
      <x:c r="O28" s="88"/>
      <x:c r="P28" s="88"/>
      <x:c r="Q28" s="88"/>
    </x:row>
    <x:row r="29" ht="22" customHeight="1"/>
    <x:row r="30" ht="28" customHeight="1">
      <x:c r="A30" s="115" t="str">
        <x:v>Your recommendation</x:v>
      </x:c>
      <x:c r="B30" s="113"/>
      <x:c r="C30" s="113"/>
      <x:c r="D30" s="113"/>
      <x:c r="E30" s="113"/>
      <x:c r="F30" s="113"/>
      <x:c r="G30" s="113"/>
    </x:row>
    <x:row r="31" ht="28" customHeight="1">
      <x:c r="B31" s="113"/>
      <x:c r="C31" s="113"/>
      <x:c r="D31" s="113"/>
      <x:c r="E31" s="113"/>
      <x:c r="F31" s="113"/>
      <x:c r="G31" s="113"/>
    </x:row>
    <x:row r="32" ht="28" customHeight="1">
      <x:c r="B32" s="113"/>
      <x:c r="C32" s="113"/>
      <x:c r="D32" s="113"/>
      <x:c r="E32" s="113"/>
      <x:c r="F32" s="113"/>
      <x:c r="G32" s="113"/>
    </x:row>
    <x:row r="33" ht="28" customHeight="1">
      <x:c r="B33" s="113"/>
      <x:c r="C33" s="113"/>
      <x:c r="D33" s="113"/>
      <x:c r="E33" s="113"/>
      <x:c r="F33" s="113"/>
      <x:c r="G33" s="113"/>
    </x:row>
  </x:sheetData>
  <x:mergeCells>
    <x:mergeCell ref="A1:Q1"/>
    <x:mergeCell ref="A2:Q2"/>
    <x:mergeCell ref="A4:Q4"/>
    <x:mergeCell ref="A6:B6"/>
    <x:mergeCell ref="C6:D6"/>
    <x:mergeCell ref="H6:K6"/>
    <x:mergeCell ref="H8:K8"/>
    <x:mergeCell ref="H15:Q15"/>
    <x:mergeCell ref="A17:F17"/>
    <x:mergeCell ref="A18:F18"/>
    <x:mergeCell ref="A19:F19"/>
    <x:mergeCell ref="A20:F20"/>
    <x:mergeCell ref="A21:F21"/>
    <x:mergeCell ref="A26:Q26"/>
    <x:mergeCell ref="A27:Q28"/>
    <x:mergeCell ref="B30:G3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hidden="0" customWidth="1"/>
    <x:col min="2" max="2" width="45" hidden="0" customWidth="1"/>
    <x:col min="3" max="3" width="42" hidden="0" customWidth="1"/>
    <x:col min="4" max="4" width="38" hidden="0" customWidth="1"/>
  </x:cols>
  <x:sheetData>
    <x:row r="1" ht="38" customHeight="1">
      <x:c r="A1" s="70" t="str">
        <x:v>Concept</x:v>
      </x:c>
      <x:c r="B1" s="70" t="str">
        <x:v>Excel Pattern</x:v>
      </x:c>
      <x:c r="C1" s="70" t="str">
        <x:v>Plain-English Meaning</x:v>
      </x:c>
      <x:c r="D1" s="70" t="str">
        <x:v>Watch Out For</x:v>
      </x:c>
    </x:row>
    <x:row r="2" ht="38" customHeight="1">
      <x:c r="A2" s="87" t="str">
        <x:v>SUMIFS</x:v>
      </x:c>
      <x:c r="B2" s="117" t="str">
        <x:v>=SUMIFS(sum_range,criteria_range,criteria,...)</x:v>
      </x:c>
      <x:c r="C2" s="87" t="str">
        <x:v>Adds values only for rows meeting all criteria.</x:v>
      </x:c>
      <x:c r="D2" s="89" t="str">
        <x:v>Every range must cover the same rows.</x:v>
      </x:c>
    </x:row>
    <x:row r="3" ht="38" customHeight="1">
      <x:c r="A3" s="87" t="str">
        <x:v>COUNTIFS</x:v>
      </x:c>
      <x:c r="B3" s="117" t="str">
        <x:v>=COUNTIFS(criteria_range,criteria,...)</x:v>
      </x:c>
      <x:c r="C3" s="87" t="str">
        <x:v>Counts rows meeting all criteria.</x:v>
      </x:c>
      <x:c r="D3" s="89" t="str">
        <x:v>Count rows, not amounts.</x:v>
      </x:c>
    </x:row>
    <x:row r="4" ht="38" customHeight="1">
      <x:c r="A4" s="87" t="str">
        <x:v>AVERAGEIFS</x:v>
      </x:c>
      <x:c r="B4" s="117" t="str">
        <x:v>=AVERAGEIFS(avg_range,criteria_range,criteria,...)</x:v>
      </x:c>
      <x:c r="C4" s="87" t="str">
        <x:v>Averages values only for matching rows.</x:v>
      </x:c>
      <x:c r="D4" s="89" t="str">
        <x:v>Blank result cells can change the denominator.</x:v>
      </x:c>
    </x:row>
    <x:row r="5" ht="38" customHeight="1">
      <x:c r="A5" s="87" t="str">
        <x:v>XLOOKUP</x:v>
      </x:c>
      <x:c r="B5" s="117" t="str">
        <x:v>=XLOOKUP(lookup_value,lookup_array,return_array)</x:v>
      </x:c>
      <x:c r="C5" s="87" t="str">
        <x:v>Returns a related field for one matching ID.</x:v>
      </x:c>
      <x:c r="D5" s="89" t="str">
        <x:v>Lookup and return arrays must align.</x:v>
      </x:c>
    </x:row>
    <x:row r="6" ht="38" customHeight="1">
      <x:c r="A6" s="87" t="str">
        <x:v>UNIQUE</x:v>
      </x:c>
      <x:c r="B6" s="117" t="str">
        <x:v>=UNIQUE(array)</x:v>
      </x:c>
      <x:c r="C6" s="87" t="str">
        <x:v>Returns each distinct value once.</x:v>
      </x:c>
      <x:c r="D6" s="89" t="str">
        <x:v>Enter only in the spill anchor.</x:v>
      </x:c>
    </x:row>
    <x:row r="7" ht="38" customHeight="1">
      <x:c r="A7" s="87" t="str">
        <x:v>SORT</x:v>
      </x:c>
      <x:c r="B7" s="117" t="str">
        <x:v>=SORT(array,sort_index,sort_order)</x:v>
      </x:c>
      <x:c r="C7" s="87" t="str">
        <x:v>Reorders a range or spilled result.</x:v>
      </x:c>
      <x:c r="D7" s="89" t="str">
        <x:v>Use -1 for descending order.</x:v>
      </x:c>
    </x:row>
    <x:row r="8" ht="38" customHeight="1">
      <x:c r="A8" s="87" t="str">
        <x:v>FILTER</x:v>
      </x:c>
      <x:c r="B8" s="117" t="str">
        <x:v>=FILTER(array,include,if_empty)</x:v>
      </x:c>
      <x:c r="C8" s="87" t="str">
        <x:v>Returns every row meeting the include test.</x:v>
      </x:c>
      <x:c r="D8" s="89" t="str">
        <x:v>The spill area must be empty.</x:v>
      </x:c>
    </x:row>
    <x:row r="9" ht="38" customHeight="1">
      <x:c r="A9" s="87" t="str">
        <x:v>Spill reference</x:v>
      </x:c>
      <x:c r="B9" s="117" t="str">
        <x:v>=H9#</x:v>
      </x:c>
      <x:c r="C9" s="87" t="str">
        <x:v>Refers to the full dynamic result beginning in H9.</x:v>
      </x:c>
      <x:c r="D9" s="89" t="str">
        <x:v>Use # only on the spill anchor.</x:v>
      </x:c>
    </x:row>
    <x:row r="10" ht="38" customHeight="1">
      <x:c r="A10" s="87" t="str">
        <x:v>MAX</x:v>
      </x:c>
      <x:c r="B10" s="117" t="str">
        <x:v>=MAX(range)</x:v>
      </x:c>
      <x:c r="C10" s="87" t="str">
        <x:v>Returns the largest value.</x:v>
      </x:c>
      <x:c r="D10" s="89" t="str">
        <x:v>Confirm the range matches the manager's filters.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15" hidden="0" customWidth="1"/>
    <x:col min="4" max="4" width="18" hidden="0" customWidth="1"/>
    <x:col min="5" max="5" width="21" hidden="0" customWidth="1"/>
  </x:cols>
  <x:sheetData>
    <x:row r="1" ht="34" customHeight="1">
      <x:c r="A1" s="70" t="str">
        <x:v>Planner ID</x:v>
      </x:c>
      <x:c r="B1" s="70" t="str">
        <x:v>Planner Name</x:v>
      </x:c>
      <x:c r="C1" s="70" t="str">
        <x:v>Home Region</x:v>
      </x:c>
      <x:c r="D1" s="70" t="str">
        <x:v>Monthly Capacity</x:v>
      </x:c>
      <x:c r="E1" s="70" t="str">
        <x:v>Satisfaction Target</x:v>
      </x:c>
    </x:row>
    <x:row r="2" ht="22" customHeight="1">
      <x:c r="A2" t="str">
        <x:v>P101</x:v>
      </x:c>
      <x:c r="B2" t="str">
        <x:v>Avery Chen</x:v>
      </x:c>
      <x:c r="C2" t="str">
        <x:v>North</x:v>
      </x:c>
      <x:c r="D2" s="71" t="n">
        <x:v>8</x:v>
      </x:c>
      <x:c r="E2" s="66" t="n">
        <x:v>4.6</x:v>
      </x:c>
    </x:row>
    <x:row r="3" ht="22" customHeight="1">
      <x:c r="A3" t="str">
        <x:v>P102</x:v>
      </x:c>
      <x:c r="B3" t="str">
        <x:v>Blake Ortiz</x:v>
      </x:c>
      <x:c r="C3" t="str">
        <x:v>North</x:v>
      </x:c>
      <x:c r="D3" s="71" t="n">
        <x:v>7</x:v>
      </x:c>
      <x:c r="E3" s="66" t="n">
        <x:v>4.5</x:v>
      </x:c>
    </x:row>
    <x:row r="4" ht="22" customHeight="1">
      <x:c r="A4" t="str">
        <x:v>P103</x:v>
      </x:c>
      <x:c r="B4" t="str">
        <x:v>Casey Patel</x:v>
      </x:c>
      <x:c r="C4" t="str">
        <x:v>South</x:v>
      </x:c>
      <x:c r="D4" s="71" t="n">
        <x:v>8</x:v>
      </x:c>
      <x:c r="E4" s="66" t="n">
        <x:v>4.6</x:v>
      </x:c>
    </x:row>
    <x:row r="5" ht="22" customHeight="1">
      <x:c r="A5" t="str">
        <x:v>P104</x:v>
      </x:c>
      <x:c r="B5" t="str">
        <x:v>Devon Reed</x:v>
      </x:c>
      <x:c r="C5" t="str">
        <x:v>South</x:v>
      </x:c>
      <x:c r="D5" s="71" t="n">
        <x:v>7</x:v>
      </x:c>
      <x:c r="E5" s="66" t="n">
        <x:v>4.7</x:v>
      </x:c>
    </x:row>
    <x:row r="6" ht="22" customHeight="1">
      <x:c r="A6" t="str">
        <x:v>P105</x:v>
      </x:c>
      <x:c r="B6" t="str">
        <x:v>Emery Silva</x:v>
      </x:c>
      <x:c r="C6" t="str">
        <x:v>East</x:v>
      </x:c>
      <x:c r="D6" s="71" t="n">
        <x:v>9</x:v>
      </x:c>
      <x:c r="E6" s="66" t="n">
        <x:v>4.5</x:v>
      </x:c>
    </x:row>
    <x:row r="7" ht="22" customHeight="1">
      <x:c r="A7" t="str">
        <x:v>P106</x:v>
      </x:c>
      <x:c r="B7" t="str">
        <x:v>Finley Morgan</x:v>
      </x:c>
      <x:c r="C7" t="str">
        <x:v>East</x:v>
      </x:c>
      <x:c r="D7" s="71" t="n">
        <x:v>8</x:v>
      </x:c>
      <x:c r="E7" s="66" t="n">
        <x:v>4.6</x:v>
      </x:c>
    </x:row>
    <x:row r="8" ht="22" customHeight="1">
      <x:c r="A8" t="str">
        <x:v>P107</x:v>
      </x:c>
      <x:c r="B8" t="str">
        <x:v>Jordan Lee</x:v>
      </x:c>
      <x:c r="C8" t="str">
        <x:v>West</x:v>
      </x:c>
      <x:c r="D8" s="71" t="n">
        <x:v>7</x:v>
      </x:c>
      <x:c r="E8" s="66" t="n">
        <x:v>4.5</x:v>
      </x:c>
    </x:row>
    <x:row r="9" ht="22" customHeight="1">
      <x:c r="A9" t="str">
        <x:v>P108</x:v>
      </x:c>
      <x:c r="B9" t="str">
        <x:v>Kai Robinson</x:v>
      </x:c>
      <x:c r="C9" t="str">
        <x:v>West</x:v>
      </x:c>
      <x:c r="D9" s="71" t="n">
        <x:v>8</x:v>
      </x:c>
      <x:c r="E9" s="66" t="n">
        <x:v>4.6</x:v>
      </x:c>
    </x:row>
  </x:sheetData>
  <x:pageMargins left="0.7" right="0.7" top="0.75" bottom="0.75" header="0.3" footer="0.3"/>
  <x:tableParts count="1">
    <x:tablePart xmlns:r="http://schemas.openxmlformats.org/officeDocument/2006/relationships" r:id="R6b86daddf9084b77"/>
  </x:tableParts>
</x:worksheet>
</file>