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58f481305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7cf5238ee2c472b"/>
    <x:sheet xmlns:r="http://schemas.openxmlformats.org/officeDocument/2006/relationships" name="Live You Try It" sheetId="2" r:id="Rfb555b6cbac84ebb"/>
    <x:sheet xmlns:r="http://schemas.openxmlformats.org/officeDocument/2006/relationships" name="Class Challenge" sheetId="3" r:id="Rfd63eceeab1346a8"/>
    <x:sheet xmlns:r="http://schemas.openxmlformats.org/officeDocument/2006/relationships" name="FormulaReferenceCard" sheetId="4" r:id="R1e7f5eec196c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$#,##0.00"/>
    <x:numFmt numFmtId="165" formatCode="$#,##0"/>
    <x:numFmt numFmtId="166" formatCode="0.0%"/>
    <x:numFmt numFmtId="200" formatCode="0%"/>
    <x:numFmt numFmtId="201" formatCode="0"/>
    <x:numFmt numFmtId="202" formatCode="General"/>
  </x:numFmts>
  <x:fonts count="24"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12"/>
      <x:color rgb="FF1A1F2C"/>
      <x:name val="Aptos"/>
    </x:font>
    <x:font>
      <x:sz val="11"/>
      <x:color rgb="FF4A5567"/>
      <x:name val="Aptos"/>
    </x:font>
    <x:font>
      <x:sz val="11"/>
      <x:color rgb="FF1A1F2C"/>
      <x:name val="Aptos"/>
    </x:font>
    <x:font>
      <x:b/>
      <x:color rgb="FFFFFFFF"/>
      <x:name val="Aptos"/>
    </x:font>
    <x:font>
      <x:b/>
      <x:color rgb="FF4A7C5E"/>
      <x:name val="Aptos"/>
    </x:font>
    <x:font>
      <x:b/>
      <x:color rgb="FF355773"/>
      <x:name val="Consolas"/>
    </x:font>
    <x:font>
      <x:b/>
      <x:sz val="11"/>
      <x:color rgb="FFB8843D"/>
      <x:name val="Calibri"/>
    </x:font>
    <x:font>
      <x:sz val="11"/>
      <x:color rgb="FF1A1F2C"/>
      <x:name val="Calibri"/>
    </x:font>
    <x:font>
      <x:b/>
      <x:sz val="11"/>
      <x:color rgb="FF355773"/>
      <x:name val="Calibri"/>
    </x:font>
    <x:font>
      <x:b/>
      <x:sz val="20"/>
      <x:color rgb="FFFFFFFF"/>
      <x:name val="DM Sans"/>
    </x:font>
    <x:font>
      <x:b/>
      <x:sz val="11"/>
      <x:color rgb="FFFFFFFF"/>
      <x:name val="DM Sans"/>
    </x:font>
    <x:font>
      <x:b/>
      <x:sz val="11"/>
      <x:color rgb="FF0E1116"/>
      <x:name val="DM Sans"/>
    </x:font>
    <x:font>
      <x:b/>
      <x:sz val="10"/>
      <x:color rgb="FF355773"/>
      <x:name val="JetBrains Mono"/>
    </x:font>
    <x:font>
      <x:b/>
      <x:sz val="11"/>
      <x:color rgb="FF4A7C5E"/>
      <x:name val="DM Sans"/>
    </x:font>
    <x:font>
      <x:b/>
      <x:sz val="11"/>
      <x:color rgb="FF9C4A2B"/>
      <x:name val="DM Sans"/>
    </x:font>
    <x:font>
      <x:sz val="11"/>
      <x:color rgb="FF0E1116"/>
      <x:name val="DM Sans"/>
    </x:font>
    <x:font>
      <x:sz val="10"/>
      <x:color rgb="FF355773"/>
      <x:name val="DM Sans"/>
    </x:font>
    <x:font>
      <x:i/>
      <x:sz val="10"/>
      <x:color rgb="FF4A5567"/>
      <x:name val="DM Sans"/>
    </x:font>
    <x:font>
      <x:i/>
      <x:sz val="11"/>
      <x:color rgb="FF4A5567"/>
      <x:name val="DM Sans"/>
    </x:font>
    <x:font>
      <x:b/>
      <x:sz val="9"/>
      <x:color rgb="FF355773"/>
      <x:name val="JetBrains Mono"/>
    </x:font>
    <x:font>
      <x:sz val="10"/>
      <x:color rgb="FF0E1116"/>
      <x:name val="DM Sans"/>
    </x:font>
    <x:font>
      <x:b/>
      <x:sz val="14"/>
      <x:color rgb="FFFFFFFF"/>
      <x:name val="Aptos"/>
    </x:font>
  </x:fonts>
  <x:fills count="37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FAF8F3"/>
      </x:patternFill>
    </x:fill>
    <x:fill>
      <x:patternFill patternType="solid">
        <x:fgColor rgb="FFF2EEE5"/>
      </x:patternFill>
    </x:fill>
    <x:fill>
      <x:patternFill patternType="solid">
        <x:fgColor rgb="FF355773"/>
      </x:patternFill>
    </x:fill>
    <x:fill>
      <x:patternFill patternType="solid">
        <x:fgColor rgb="FFFFF3C4"/>
      </x:patternFill>
    </x:fill>
    <x:fill>
      <x:patternFill patternType="solid">
        <x:fgColor rgb="FFDCEBFF"/>
      </x:patternFill>
    </x:fill>
    <x:fill>
      <x:patternFill patternType="solid">
        <x:fgColor rgb="FFEAF3EC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AF8F3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AF8F3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AF8F3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4A7C5E"/>
      </x:patternFill>
    </x:fill>
    <x:fill>
      <x:patternFill patternType="solid">
        <x:fgColor rgb="FFFAF8F3"/>
      </x:patternFill>
    </x:fill>
  </x:fills>
  <x:borders count="10">
    <x:border/>
    <x:border>
      <x:top style="thin">
        <x:color rgb="FFE5E1D6"/>
      </x:top>
      <x:bottom style="thin">
        <x:color rgb="FFE5E1D6"/>
      </x:bottom>
    </x:border>
    <x:border>
      <x:bottom style="thin">
        <x:color rgb="FFE5E1D6"/>
      </x:bottom>
    </x:border>
    <x:border>
      <x:bottom style="thin">
        <x:color rgb="FFE5E1D6"/>
      </x:bottom>
    </x:border>
    <x:border>
      <x:bottom style="thin">
        <x:color rgb="FFE5E1D6"/>
      </x:bottom>
    </x:border>
    <x:border>
      <x:left style="medium">
        <x:color rgb="FFB8843D"/>
      </x:left>
      <x:bottom style="thin">
        <x:color rgb="FFE5E1D6"/>
      </x:bottom>
    </x:border>
    <x:border>
      <x:left style="medium">
        <x:color rgb="FF4A7C5E"/>
      </x:left>
      <x:bottom style="thin">
        <x:color rgb="FFE5E1D6"/>
      </x:bottom>
    </x:border>
    <x:border/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D9D3C5"/>
      </x:left>
      <x:right style="thin">
        <x:color rgb="FFD9D3C5"/>
      </x:right>
      <x:top style="thin">
        <x:color rgb="FFD9D3C5"/>
      </x:top>
      <x:bottom style="thin">
        <x:color rgb="FFD9D3C5"/>
      </x:bottom>
    </x:border>
  </x:borders>
  <x:cellStyleXfs count="1">
    <x:xf numFmtId="0" fontId="0" fillId="0" borderId="7"/>
  </x:cellStyleXfs>
  <x:cellXfs count="221">
    <x:xf numFmtId="0" fontId="0" fillId="0" borderId="0" xfId="0"/>
    <x:xf numFmtId="0" fontId="4" fillId="2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4" fillId="3" borderId="0" xfId="0" applyAlignment="1">
      <x:alignment vertical="top" wrapText="1"/>
    </x:xf>
    <x:xf numFmtId="0" fontId="4" fillId="4" borderId="0" xfId="0" applyAlignment="1">
      <x:alignment vertical="top" wrapText="1"/>
    </x:xf>
    <x:xf numFmtId="0" fontId="5" fillId="5" borderId="1" xfId="0" applyAlignment="1">
      <x:alignment horizontal="center" vertical="center" wrapText="1"/>
    </x:xf>
    <x:xf numFmtId="0" fontId="4" fillId="0" borderId="2" xfId="0" applyAlignment="1">
      <x:alignment vertical="top" wrapText="1"/>
    </x:xf>
    <x:xf numFmtId="0" fontId="4" fillId="0" borderId="3" xfId="0" applyAlignment="1">
      <x:alignment vertical="top" wrapText="1"/>
    </x:xf>
    <x:xf numFmtId="0" fontId="0" fillId="0" borderId="4" xfId="0"/>
    <x:xf numFmtId="0" fontId="6" fillId="4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4" fillId="5" borderId="1" xfId="0" applyAlignment="1">
      <x:alignment vertical="top" wrapText="1"/>
    </x:xf>
    <x:xf numFmtId="164" fontId="4" fillId="6" borderId="5" xfId="0" applyAlignment="1">
      <x:alignment vertical="top" wrapText="1"/>
    </x:xf>
    <x:xf numFmtId="9" fontId="4" fillId="6" borderId="5" xfId="0" applyAlignment="1">
      <x:alignment vertical="top" wrapText="1"/>
    </x:xf>
    <x:xf numFmtId="164" fontId="4" fillId="7" borderId="6" xfId="0" applyAlignment="1">
      <x:alignment vertical="top" wrapText="1"/>
    </x:xf>
    <x:xf numFmtId="0" fontId="4" fillId="8" borderId="6" xfId="0" applyAlignment="1">
      <x:alignment vertical="top" wrapText="1"/>
    </x:xf>
    <x:xf numFmtId="165" fontId="4" fillId="6" borderId="5" xfId="0" applyAlignment="1">
      <x:alignment vertical="top" wrapText="1"/>
    </x:xf>
    <x:xf numFmtId="164" fontId="0" fillId="7" borderId="6" xfId="0"/>
    <x:xf numFmtId="0" fontId="0" fillId="8" borderId="6" xfId="0"/>
    <x:xf numFmtId="1" fontId="0" fillId="7" borderId="6" xfId="0"/>
    <x:xf numFmtId="1" fontId="4" fillId="7" borderId="6" xfId="0" applyAlignment="1">
      <x:alignment vertical="top" wrapText="1"/>
    </x:xf>
    <x:xf numFmtId="0" fontId="7" fillId="8" borderId="2" xfId="0" applyAlignment="1">
      <x:alignment vertical="top" wrapText="1"/>
    </x:xf>
    <x:xf numFmtId="0" fontId="0" fillId="0" borderId="3" xfId="0" applyAlignment="1">
      <x:alignment vertical="top" wrapText="1"/>
    </x:xf>
    <x:xf numFmtId="166" fontId="4" fillId="7" borderId="6" xfId="0" applyAlignment="1">
      <x:alignment vertical="top" wrapText="1"/>
    </x:xf>
    <x:xf numFmtId="0" fontId="0" fillId="9" borderId="0" xfId="0"/>
    <x:xf numFmtId="0" fontId="8" fillId="9" borderId="0" xfId="0"/>
    <x:xf numFmtId="0" fontId="8" fillId="9" borderId="0" xfId="0" applyAlignment="1">
      <x:alignment wrapText="1"/>
    </x:xf>
    <x:xf numFmtId="0" fontId="0" fillId="10" borderId="0" xfId="0"/>
    <x:xf numFmtId="0" fontId="9" fillId="10" borderId="0" xfId="0"/>
    <x:xf numFmtId="0" fontId="9" fillId="10" borderId="8" xfId="0"/>
    <x:xf numFmtId="0" fontId="9" fillId="10" borderId="8" xfId="0" applyAlignment="1">
      <x:alignment wrapText="1"/>
    </x:xf>
    <x:xf numFmtId="0" fontId="9" fillId="11" borderId="8" xfId="0" applyAlignment="1">
      <x:alignment wrapText="1"/>
    </x:xf>
    <x:xf numFmtId="0" fontId="10" fillId="11" borderId="8" xfId="0" applyAlignment="1">
      <x:alignment wrapText="1"/>
    </x:xf>
    <x:xf numFmtId="0" fontId="9" fillId="12" borderId="8" xfId="0" applyAlignment="1">
      <x:alignment wrapText="1"/>
    </x:xf>
    <x:xf numFmtId="0" fontId="0" fillId="13" borderId="0" xfId="0"/>
    <x:xf numFmtId="0" fontId="8" fillId="13" borderId="0" xfId="0"/>
    <x:xf numFmtId="0" fontId="8" fillId="13" borderId="8" xfId="0"/>
    <x:xf numFmtId="0" fontId="8" fillId="13" borderId="8" xfId="0" applyAlignment="1">
      <x:alignment wrapText="1"/>
    </x:xf>
    <x:xf numFmtId="0" fontId="0" fillId="14" borderId="0" xfId="0"/>
    <x:xf numFmtId="0" fontId="9" fillId="14" borderId="0" xfId="0"/>
    <x:xf numFmtId="0" fontId="9" fillId="14" borderId="8" xfId="0"/>
    <x:xf numFmtId="0" fontId="9" fillId="14" borderId="8" xfId="0" applyAlignment="1">
      <x:alignment wrapText="1"/>
    </x:xf>
    <x:xf numFmtId="0" fontId="9" fillId="15" borderId="8" xfId="0" applyAlignment="1">
      <x:alignment wrapText="1"/>
    </x:xf>
    <x:xf numFmtId="0" fontId="10" fillId="15" borderId="8" xfId="0" applyAlignment="1">
      <x:alignment wrapText="1"/>
    </x:xf>
    <x:xf numFmtId="0" fontId="9" fillId="16" borderId="8" xfId="0" applyAlignment="1">
      <x:alignment wrapText="1"/>
    </x:xf>
    <x:xf numFmtId="0" fontId="4" fillId="2" borderId="7" xfId="0" applyAlignment="1">
      <x:alignment vertical="top" wrapText="1"/>
    </x:xf>
    <x:xf numFmtId="0" fontId="0" fillId="0" borderId="7" xfId="0"/>
    <x:xf numFmtId="0" fontId="4" fillId="3" borderId="7" xfId="0" applyAlignment="1">
      <x:alignment vertical="top" wrapText="1"/>
    </x:xf>
    <x:xf numFmtId="0" fontId="4" fillId="4" borderId="7" xfId="0" applyAlignment="1">
      <x:alignment vertical="top" wrapText="1"/>
    </x:xf>
    <x:xf numFmtId="0" fontId="4" fillId="0" borderId="4" xfId="0" applyAlignment="1">
      <x:alignment vertical="top" wrapText="1"/>
    </x:xf>
    <x:xf numFmtId="0" fontId="0" fillId="0" borderId="4" xfId="0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 applyAlignment="1">
      <x:alignment vertical="top" wrapText="1"/>
    </x:xf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 applyAlignment="1">
      <x:alignment vertical="center"/>
    </x:xf>
    <x:xf numFmtId="0" fontId="8" fillId="17" borderId="8" xfId="0" applyNumberFormat="1" applyFont="1" applyFill="1" applyBorder="1" applyAlignment="1">
      <x:alignment wrapText="1"/>
    </x:xf>
    <x:xf numFmtId="0" fontId="11" fillId="17" borderId="8" xfId="0" applyNumberFormat="1" applyFont="1" applyFill="1" applyBorder="1" applyAlignment="1">
      <x:alignment wrapText="1"/>
    </x:xf>
    <x:xf numFmtId="0" fontId="11" fillId="17" borderId="8" xfId="0" applyNumberFormat="1" applyFont="1" applyFill="1" applyBorder="1" applyAlignment="1">
      <x:alignment vertical="center" wrapText="1"/>
    </x:xf>
    <x:xf numFmtId="0" fontId="4" fillId="17" borderId="1" xfId="0" applyNumberFormat="1" applyFont="1" applyFill="1" applyBorder="1" applyAlignment="1">
      <x:alignment vertical="top" wrapText="1"/>
    </x:xf>
    <x:xf numFmtId="0" fontId="12" fillId="17" borderId="1" xfId="0" applyNumberFormat="1" applyFont="1" applyFill="1" applyBorder="1" applyAlignment="1">
      <x:alignment vertical="top" wrapText="1"/>
    </x:xf>
    <x:xf numFmtId="0" fontId="12" fillId="17" borderId="1" xfId="0" applyNumberFormat="1" applyFont="1" applyFill="1" applyBorder="1" applyAlignment="1">
      <x:alignment vertical="center" wrapText="1"/>
    </x:xf>
    <x:xf numFmtId="0" fontId="12" fillId="17" borderId="9" xfId="0" applyNumberFormat="1" applyFont="1" applyFill="1" applyBorder="1" applyAlignment="1">
      <x:alignment vertical="center" wrapText="1"/>
    </x:xf>
    <x:xf numFmtId="164" fontId="4" fillId="18" borderId="5" xfId="0" applyNumberFormat="1" applyFont="1" applyFill="1" applyBorder="1" applyAlignment="1">
      <x:alignment vertical="top" wrapText="1"/>
    </x:xf>
    <x:xf numFmtId="164" fontId="13" fillId="18" borderId="5" xfId="0" applyNumberFormat="1" applyFont="1" applyFill="1" applyBorder="1" applyAlignment="1">
      <x:alignment vertical="top" wrapText="1"/>
    </x:xf>
    <x:xf numFmtId="164" fontId="13" fillId="18" borderId="9" xfId="0" applyNumberFormat="1" applyFont="1" applyFill="1" applyBorder="1" applyAlignment="1">
      <x:alignment vertical="top" wrapText="1"/>
    </x:xf>
    <x:xf numFmtId="9" fontId="4" fillId="18" borderId="5" xfId="0" applyNumberFormat="1" applyFont="1" applyFill="1" applyBorder="1" applyAlignment="1">
      <x:alignment vertical="top" wrapText="1"/>
    </x:xf>
    <x:xf numFmtId="9" fontId="13" fillId="18" borderId="5" xfId="0" applyNumberFormat="1" applyFont="1" applyFill="1" applyBorder="1" applyAlignment="1">
      <x:alignment vertical="top" wrapText="1"/>
    </x:xf>
    <x:xf numFmtId="9" fontId="13" fillId="18" borderId="9" xfId="0" applyNumberFormat="1" applyFont="1" applyFill="1" applyBorder="1" applyAlignment="1">
      <x:alignment vertical="top" wrapText="1"/>
    </x:xf>
    <x:xf numFmtId="200" fontId="13" fillId="18" borderId="9" xfId="0" applyNumberFormat="1" applyFont="1" applyFill="1" applyBorder="1" applyAlignment="1">
      <x:alignment vertical="top" wrapText="1"/>
    </x:xf>
    <x:xf numFmtId="0" fontId="4" fillId="18" borderId="2" xfId="0" applyNumberFormat="1" applyFont="1" applyFill="1" applyBorder="1" applyAlignment="1">
      <x:alignment vertical="top" wrapText="1"/>
    </x:xf>
    <x:xf numFmtId="0" fontId="13" fillId="18" borderId="2" xfId="0" applyNumberFormat="1" applyFont="1" applyFill="1" applyBorder="1" applyAlignment="1">
      <x:alignment vertical="top" wrapText="1"/>
    </x:xf>
    <x:xf numFmtId="0" fontId="13" fillId="18" borderId="9" xfId="0" applyNumberFormat="1" applyFont="1" applyFill="1" applyBorder="1" applyAlignment="1">
      <x:alignment vertical="top" wrapText="1"/>
    </x:xf>
    <x:xf numFmtId="165" fontId="4" fillId="18" borderId="5" xfId="0" applyNumberFormat="1" applyFont="1" applyFill="1" applyBorder="1" applyAlignment="1">
      <x:alignment vertical="top" wrapText="1"/>
    </x:xf>
    <x:xf numFmtId="165" fontId="13" fillId="18" borderId="5" xfId="0" applyNumberFormat="1" applyFont="1" applyFill="1" applyBorder="1" applyAlignment="1">
      <x:alignment vertical="top" wrapText="1"/>
    </x:xf>
    <x:xf numFmtId="165" fontId="13" fillId="18" borderId="9" xfId="0" applyNumberFormat="1" applyFont="1" applyFill="1" applyBorder="1" applyAlignment="1">
      <x:alignment vertical="top" wrapText="1"/>
    </x:xf>
    <x:xf numFmtId="164" fontId="4" fillId="19" borderId="6" xfId="0" applyNumberFormat="1" applyFont="1" applyFill="1" applyBorder="1" applyAlignment="1">
      <x:alignment vertical="top" wrapText="1"/>
    </x:xf>
    <x:xf numFmtId="164" fontId="14" fillId="19" borderId="6" xfId="0" applyNumberFormat="1" applyFont="1" applyFill="1" applyBorder="1" applyAlignment="1">
      <x:alignment vertical="top" wrapText="1"/>
    </x:xf>
    <x:xf numFmtId="164" fontId="14" fillId="19" borderId="9" xfId="0" applyNumberFormat="1" applyFont="1" applyFill="1" applyBorder="1" applyAlignment="1">
      <x:alignment vertical="top" wrapText="1"/>
    </x:xf>
    <x:xf numFmtId="0" fontId="4" fillId="19" borderId="2" xfId="0" applyNumberFormat="1" applyFont="1" applyFill="1" applyBorder="1" applyAlignment="1">
      <x:alignment vertical="top" wrapText="1"/>
    </x:xf>
    <x:xf numFmtId="0" fontId="14" fillId="19" borderId="2" xfId="0" applyNumberFormat="1" applyFont="1" applyFill="1" applyBorder="1" applyAlignment="1">
      <x:alignment vertical="top" wrapText="1"/>
    </x:xf>
    <x:xf numFmtId="0" fontId="14" fillId="19" borderId="9" xfId="0" applyNumberFormat="1" applyFont="1" applyFill="1" applyBorder="1" applyAlignment="1">
      <x:alignment vertical="top" wrapText="1"/>
    </x:xf>
    <x:xf numFmtId="201" fontId="14" fillId="19" borderId="9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center" wrapText="1"/>
    </x:xf>
    <x:xf numFmtId="164" fontId="13" fillId="18" borderId="9" xfId="0" applyNumberFormat="1" applyFont="1" applyFill="1" applyBorder="1" applyAlignment="1">
      <x:alignment vertical="center" wrapText="1"/>
    </x:xf>
    <x:xf numFmtId="200" fontId="13" fillId="18" borderId="9" xfId="0" applyNumberFormat="1" applyFont="1" applyFill="1" applyBorder="1" applyAlignment="1">
      <x:alignment vertical="center" wrapText="1"/>
    </x:xf>
    <x:xf numFmtId="164" fontId="14" fillId="19" borderId="9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9" fontId="4" fillId="6" borderId="5" xfId="0" applyNumberFormat="1" applyFont="1" applyFill="1" applyBorder="1" applyAlignment="1">
      <x:alignment vertical="center" wrapText="1"/>
    </x:xf>
    <x:xf numFmtId="164" fontId="4" fillId="7" borderId="6" xfId="0" applyNumberFormat="1" applyFont="1" applyFill="1" applyBorder="1" applyAlignment="1">
      <x:alignment vertical="center" wrapText="1"/>
    </x:xf>
    <x:xf numFmtId="165" fontId="4" fillId="6" borderId="5" xfId="0" applyNumberFormat="1" applyFont="1" applyFill="1" applyBorder="1" applyAlignment="1">
      <x:alignment vertical="center" wrapText="1"/>
    </x:xf>
    <x:xf numFmtId="201" fontId="14" fillId="19" borderId="9" xfId="0" applyNumberFormat="1" applyFont="1" applyFill="1" applyBorder="1" applyAlignment="1">
      <x:alignment vertical="center" wrapText="1"/>
    </x:xf>
    <x:xf numFmtId="0" fontId="5" fillId="17" borderId="1" xfId="0" applyNumberFormat="1" applyFont="1" applyFill="1" applyBorder="1" applyAlignment="1">
      <x:alignment horizontal="center" vertical="center" wrapText="1"/>
    </x:xf>
    <x:xf numFmtId="0" fontId="12" fillId="17" borderId="1" xfId="0" applyNumberFormat="1" applyFont="1" applyFill="1" applyBorder="1" applyAlignment="1">
      <x:alignment horizontal="center" vertical="center" wrapText="1"/>
    </x:xf>
    <x:xf numFmtId="0" fontId="12" fillId="17" borderId="9" xfId="0" applyNumberFormat="1" applyFont="1" applyFill="1" applyBorder="1" applyAlignment="1">
      <x:alignment horizontal="center" vertical="center" wrapText="1"/>
    </x:xf>
    <x:xf numFmtId="0" fontId="4" fillId="20" borderId="2" xfId="0" applyNumberFormat="1" applyFont="1" applyFill="1" applyBorder="1" applyAlignment="1">
      <x:alignment vertical="top" wrapText="1"/>
    </x:xf>
    <x:xf numFmtId="0" fontId="4" fillId="21" borderId="2" xfId="0" applyNumberFormat="1" applyFont="1" applyFill="1" applyBorder="1" applyAlignment="1">
      <x:alignment vertical="top" wrapText="1"/>
    </x:xf>
    <x:xf numFmtId="0" fontId="15" fillId="20" borderId="2" xfId="0" applyNumberFormat="1" applyFont="1" applyFill="1" applyBorder="1" applyAlignment="1">
      <x:alignment vertical="top" wrapText="1"/>
    </x:xf>
    <x:xf numFmtId="0" fontId="16" fillId="21" borderId="2" xfId="0" applyNumberFormat="1" applyFont="1" applyFill="1" applyBorder="1" applyAlignment="1">
      <x:alignment vertical="top" wrapText="1"/>
    </x:xf>
    <x:xf numFmtId="0" fontId="17" fillId="20" borderId="2" xfId="0" applyNumberFormat="1" applyFont="1" applyFill="1" applyBorder="1" applyAlignment="1">
      <x:alignment vertical="top" wrapText="1"/>
    </x:xf>
    <x:xf numFmtId="0" fontId="17" fillId="21" borderId="2" xfId="0" applyNumberFormat="1" applyFont="1" applyFill="1" applyBorder="1" applyAlignment="1">
      <x:alignment vertical="top" wrapText="1"/>
    </x:xf>
    <x:xf numFmtId="0" fontId="15" fillId="20" borderId="9" xfId="0" applyNumberFormat="1" applyFont="1" applyFill="1" applyBorder="1" applyAlignment="1">
      <x:alignment vertical="top" wrapText="1"/>
    </x:xf>
    <x:xf numFmtId="0" fontId="17" fillId="20" borderId="9" xfId="0" applyNumberFormat="1" applyFont="1" applyFill="1" applyBorder="1" applyAlignment="1">
      <x:alignment vertical="top" wrapText="1"/>
    </x:xf>
    <x:xf numFmtId="0" fontId="16" fillId="21" borderId="9" xfId="0" applyNumberFormat="1" applyFont="1" applyFill="1" applyBorder="1" applyAlignment="1">
      <x:alignment vertical="top" wrapText="1"/>
    </x:xf>
    <x:xf numFmtId="0" fontId="17" fillId="21" borderId="9" xfId="0" applyNumberFormat="1" applyFont="1" applyFill="1" applyBorder="1" applyAlignment="1">
      <x:alignment vertical="top" wrapText="1"/>
    </x:xf>
    <x:xf numFmtId="1" fontId="4" fillId="19" borderId="6" xfId="0" applyNumberFormat="1" applyFont="1" applyFill="1" applyBorder="1" applyAlignment="1">
      <x:alignment vertical="top" wrapText="1"/>
    </x:xf>
    <x:xf numFmtId="1" fontId="14" fillId="19" borderId="6" xfId="0" applyNumberFormat="1" applyFont="1" applyFill="1" applyBorder="1" applyAlignment="1">
      <x:alignment vertical="top" wrapText="1"/>
    </x:xf>
    <x:xf numFmtId="1" fontId="14" fillId="19" borderId="9" xfId="0" applyNumberFormat="1" applyFont="1" applyFill="1" applyBorder="1" applyAlignment="1">
      <x:alignment vertical="top" wrapText="1"/>
    </x:xf>
    <x:xf numFmtId="0" fontId="18" fillId="19" borderId="2" xfId="0" applyNumberFormat="1" applyFont="1" applyFill="1" applyBorder="1" applyAlignment="1">
      <x:alignment vertical="top" wrapText="1"/>
    </x:xf>
    <x:xf numFmtId="0" fontId="18" fillId="19" borderId="9" xfId="0" applyNumberFormat="1" applyFont="1" applyFill="1" applyBorder="1" applyAlignment="1">
      <x:alignment vertical="top" wrapText="1"/>
    </x:xf>
    <x:xf numFmtId="0" fontId="4" fillId="21" borderId="6" xfId="0" applyNumberFormat="1" applyFont="1" applyFill="1" applyBorder="1" applyAlignment="1">
      <x:alignment vertical="top" wrapText="1"/>
    </x:xf>
    <x:xf numFmtId="0" fontId="19" fillId="21" borderId="6" xfId="0" applyNumberFormat="1" applyFont="1" applyFill="1" applyBorder="1" applyAlignment="1">
      <x:alignment vertical="top" wrapText="1"/>
    </x:xf>
    <x:xf numFmtId="0" fontId="19" fillId="21" borderId="9" xfId="0" applyNumberFormat="1" applyFont="1" applyFill="1" applyBorder="1" applyAlignment="1">
      <x:alignment vertical="top" wrapText="1"/>
    </x:xf>
    <x:xf numFmtId="0" fontId="15" fillId="20" borderId="9" xfId="0" applyNumberFormat="1" applyFont="1" applyFill="1" applyBorder="1" applyAlignment="1">
      <x:alignment vertical="center" wrapText="1"/>
    </x:xf>
    <x:xf numFmtId="0" fontId="17" fillId="20" borderId="9" xfId="0" applyNumberFormat="1" applyFont="1" applyFill="1" applyBorder="1" applyAlignment="1">
      <x:alignment vertical="center" wrapText="1"/>
    </x:xf>
    <x:xf numFmtId="0" fontId="18" fillId="19" borderId="9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1" fontId="14" fillId="19" borderId="9" xfId="0" applyNumberFormat="1" applyFont="1" applyFill="1" applyBorder="1" applyAlignment="1">
      <x:alignment vertical="center" wrapText="1"/>
    </x:xf>
    <x:xf numFmtId="0" fontId="16" fillId="21" borderId="9" xfId="0" applyNumberFormat="1" applyFont="1" applyFill="1" applyBorder="1" applyAlignment="1">
      <x:alignment vertical="center" wrapText="1"/>
    </x:xf>
    <x:xf numFmtId="0" fontId="17" fillId="21" borderId="9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0" fillId="21" borderId="0" xfId="0" applyNumberFormat="1" applyFont="1" applyFill="1" applyBorder="1"/>
    <x:xf numFmtId="0" fontId="12" fillId="17" borderId="0" xfId="0" applyNumberFormat="1" applyFont="1" applyFill="1" applyBorder="1"/>
    <x:xf numFmtId="0" fontId="12" fillId="17" borderId="0" xfId="0" applyNumberFormat="1" applyFont="1" applyFill="1" applyBorder="1" applyAlignment="1">
      <x:alignment wrapText="1"/>
    </x:xf>
    <x:xf numFmtId="0" fontId="12" fillId="17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0" fillId="19" borderId="0" xfId="0" applyNumberFormat="1" applyFont="1" applyFill="1" applyBorder="1"/>
    <x:xf numFmtId="0" fontId="21" fillId="19" borderId="0" xfId="0" applyNumberFormat="1" applyFont="1" applyFill="1" applyBorder="1"/>
    <x:xf numFmtId="0" fontId="22" fillId="0" borderId="0" xfId="0" applyNumberFormat="1" applyFont="1" applyFill="1" applyBorder="1"/>
    <x:xf numFmtId="0" fontId="15" fillId="0" borderId="9" xfId="0" applyNumberFormat="1" applyFont="1" applyFill="1" applyBorder="1"/>
    <x:xf numFmtId="0" fontId="21" fillId="19" borderId="9" xfId="0" applyNumberFormat="1" applyFont="1" applyFill="1" applyBorder="1"/>
    <x:xf numFmtId="0" fontId="22" fillId="0" borderId="9" xfId="0" applyNumberFormat="1" applyFont="1" applyFill="1" applyBorder="1"/>
    <x:xf numFmtId="0" fontId="15" fillId="0" borderId="9" xfId="0" applyNumberFormat="1" applyFont="1" applyFill="1" applyBorder="1" applyAlignment="1">
      <x:alignment wrapText="1"/>
    </x:xf>
    <x:xf numFmtId="0" fontId="21" fillId="19" borderId="9" xfId="0" applyNumberFormat="1" applyFont="1" applyFill="1" applyBorder="1" applyAlignment="1">
      <x:alignment wrapText="1"/>
    </x:xf>
    <x:xf numFmtId="0" fontId="22" fillId="0" borderId="9" xfId="0" applyNumberFormat="1" applyFont="1" applyFill="1" applyBorder="1" applyAlignment="1">
      <x:alignment wrapText="1"/>
    </x:xf>
    <x:xf numFmtId="0" fontId="15" fillId="0" borderId="9" xfId="0" applyNumberFormat="1" applyFont="1" applyFill="1" applyBorder="1" applyAlignment="1">
      <x:alignment vertical="center" wrapText="1"/>
    </x:xf>
    <x:xf numFmtId="0" fontId="21" fillId="19" borderId="9" xfId="0" applyNumberFormat="1" applyFont="1" applyFill="1" applyBorder="1" applyAlignment="1">
      <x:alignment vertical="center" wrapText="1"/>
    </x:xf>
    <x:xf numFmtId="0" fontId="22" fillId="0" borderId="9" xfId="0" applyNumberFormat="1" applyFont="1" applyFill="1" applyBorder="1" applyAlignment="1">
      <x:alignment vertical="center" wrapText="1"/>
    </x:xf>
    <x:xf numFmtId="0" fontId="11" fillId="22" borderId="0" xfId="0" applyNumberFormat="1" applyFont="1" applyFill="1" applyBorder="1" applyAlignment="1">
      <x:alignment vertical="center" wrapText="1"/>
    </x:xf>
    <x:xf numFmtId="0" fontId="11" fillId="22" borderId="0" xfId="0" applyNumberFormat="1" applyFont="1" applyFill="1" applyBorder="1" applyAlignment="1">
      <x:alignment vertical="center"/>
    </x:xf>
    <x:xf numFmtId="164" fontId="13" fillId="23" borderId="9" xfId="0" applyNumberFormat="1" applyFont="1" applyFill="1" applyBorder="1" applyAlignment="1">
      <x:alignment vertical="center" wrapText="1"/>
    </x:xf>
    <x:xf numFmtId="0" fontId="4" fillId="23" borderId="2" xfId="0" applyNumberFormat="1" applyFont="1" applyFill="1" applyBorder="1" applyAlignment="1">
      <x:alignment vertical="center" wrapText="1"/>
    </x:xf>
    <x:xf numFmtId="200" fontId="13" fillId="23" borderId="9" xfId="0" applyNumberFormat="1" applyFont="1" applyFill="1" applyBorder="1" applyAlignment="1">
      <x:alignment vertical="center" wrapText="1"/>
    </x:xf>
    <x:xf numFmtId="164" fontId="14" fillId="23" borderId="9" xfId="0" applyNumberFormat="1" applyFont="1" applyFill="1" applyBorder="1" applyAlignment="1">
      <x:alignment vertical="center" wrapText="1"/>
    </x:xf>
    <x:xf numFmtId="9" fontId="4" fillId="23" borderId="5" xfId="0" applyNumberFormat="1" applyFont="1" applyFill="1" applyBorder="1" applyAlignment="1">
      <x:alignment vertical="center" wrapText="1"/>
    </x:xf>
    <x:xf numFmtId="164" fontId="4" fillId="23" borderId="6" xfId="0" applyNumberFormat="1" applyFont="1" applyFill="1" applyBorder="1" applyAlignment="1">
      <x:alignment vertical="center" wrapText="1"/>
    </x:xf>
    <x:xf numFmtId="165" fontId="4" fillId="23" borderId="5" xfId="0" applyNumberFormat="1" applyFont="1" applyFill="1" applyBorder="1" applyAlignment="1">
      <x:alignment vertical="center" wrapText="1"/>
    </x:xf>
    <x:xf numFmtId="201" fontId="14" fillId="23" borderId="9" xfId="0" applyNumberFormat="1" applyFont="1" applyFill="1" applyBorder="1" applyAlignment="1">
      <x:alignment vertical="center" wrapText="1"/>
    </x:xf>
    <x:xf numFmtId="0" fontId="12" fillId="22" borderId="9" xfId="0" applyNumberFormat="1" applyFont="1" applyFill="1" applyBorder="1" applyAlignment="1">
      <x:alignment vertical="center" wrapText="1"/>
    </x:xf>
    <x:xf numFmtId="164" fontId="13" fillId="24" borderId="9" xfId="0" applyNumberFormat="1" applyFont="1" applyFill="1" applyBorder="1" applyAlignment="1">
      <x:alignment vertical="center" wrapText="1"/>
    </x:xf>
    <x:xf numFmtId="200" fontId="13" fillId="24" borderId="9" xfId="0" applyNumberFormat="1" applyFont="1" applyFill="1" applyBorder="1" applyAlignment="1">
      <x:alignment vertical="center" wrapText="1"/>
    </x:xf>
    <x:xf numFmtId="164" fontId="14" fillId="25" borderId="9" xfId="0" applyNumberFormat="1" applyFont="1" applyFill="1" applyBorder="1" applyAlignment="1">
      <x:alignment vertical="center" wrapText="1"/>
    </x:xf>
    <x:xf numFmtId="201" fontId="14" fillId="25" borderId="9" xfId="0" applyNumberFormat="1" applyFont="1" applyFill="1" applyBorder="1" applyAlignment="1">
      <x:alignment vertical="center" wrapText="1"/>
    </x:xf>
    <x:xf numFmtId="0" fontId="12" fillId="22" borderId="9" xfId="0" applyNumberFormat="1" applyFont="1" applyFill="1" applyBorder="1" applyAlignment="1">
      <x:alignment horizontal="center" vertical="center" wrapText="1"/>
    </x:xf>
    <x:xf numFmtId="0" fontId="15" fillId="26" borderId="9" xfId="0" applyNumberFormat="1" applyFont="1" applyFill="1" applyBorder="1" applyAlignment="1">
      <x:alignment vertical="center" wrapText="1"/>
    </x:xf>
    <x:xf numFmtId="0" fontId="17" fillId="26" borderId="9" xfId="0" applyNumberFormat="1" applyFont="1" applyFill="1" applyBorder="1" applyAlignment="1">
      <x:alignment vertical="center" wrapText="1"/>
    </x:xf>
    <x:xf numFmtId="0" fontId="16" fillId="27" borderId="9" xfId="0" applyNumberFormat="1" applyFont="1" applyFill="1" applyBorder="1" applyAlignment="1">
      <x:alignment vertical="center" wrapText="1"/>
    </x:xf>
    <x:xf numFmtId="0" fontId="17" fillId="27" borderId="9" xfId="0" applyNumberFormat="1" applyFont="1" applyFill="1" applyBorder="1" applyAlignment="1">
      <x:alignment vertical="center" wrapText="1"/>
    </x:xf>
    <x:xf numFmtId="1" fontId="14" fillId="25" borderId="9" xfId="0" applyNumberFormat="1" applyFont="1" applyFill="1" applyBorder="1" applyAlignment="1">
      <x:alignment vertical="center" wrapText="1"/>
    </x:xf>
    <x:xf numFmtId="0" fontId="18" fillId="25" borderId="9" xfId="0" applyNumberFormat="1" applyFont="1" applyFill="1" applyBorder="1" applyAlignment="1">
      <x:alignment vertical="center" wrapText="1"/>
    </x:xf>
    <x:xf numFmtId="0" fontId="19" fillId="27" borderId="9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1" fillId="22" borderId="0" xfId="0" applyNumberFormat="1" applyFont="1" applyFill="1" applyBorder="1"/>
    <x:xf numFmtId="0" fontId="0" fillId="27" borderId="0" xfId="0" applyNumberFormat="1" applyFont="1" applyFill="1" applyBorder="1"/>
    <x:xf numFmtId="0" fontId="20" fillId="27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21" fillId="25" borderId="0" xfId="0" applyNumberFormat="1" applyFont="1" applyFill="1" applyBorder="1"/>
    <x:xf numFmtId="0" fontId="21" fillId="25" borderId="9" xfId="0" applyNumberFormat="1" applyFont="1" applyFill="1" applyBorder="1"/>
    <x:xf numFmtId="0" fontId="21" fillId="25" borderId="9" xfId="0" applyNumberFormat="1" applyFont="1" applyFill="1" applyBorder="1" applyAlignment="1">
      <x:alignment wrapText="1"/>
    </x:xf>
    <x:xf numFmtId="0" fontId="21" fillId="25" borderId="9" xfId="0" applyNumberFormat="1" applyFont="1" applyFill="1" applyBorder="1" applyAlignment="1">
      <x:alignment vertical="center" wrapText="1"/>
    </x:xf>
    <x:xf numFmtId="0" fontId="11" fillId="28" borderId="0" xfId="0" applyNumberFormat="1" applyFont="1" applyFill="1" applyBorder="1" applyAlignment="1">
      <x:alignment vertical="center" wrapText="1"/>
    </x:xf>
    <x:xf numFmtId="0" fontId="11" fillId="28" borderId="0" xfId="0" applyNumberFormat="1" applyFont="1" applyFill="1" applyBorder="1" applyAlignment="1">
      <x:alignment vertical="center"/>
    </x:xf>
    <x:xf numFmtId="164" fontId="13" fillId="29" borderId="9" xfId="0" applyNumberFormat="1" applyFont="1" applyFill="1" applyBorder="1" applyAlignment="1">
      <x:alignment vertical="center" wrapText="1"/>
    </x:xf>
    <x:xf numFmtId="0" fontId="4" fillId="29" borderId="2" xfId="0" applyNumberFormat="1" applyFont="1" applyFill="1" applyBorder="1" applyAlignment="1">
      <x:alignment vertical="center" wrapText="1"/>
    </x:xf>
    <x:xf numFmtId="200" fontId="13" fillId="29" borderId="9" xfId="0" applyNumberFormat="1" applyFont="1" applyFill="1" applyBorder="1" applyAlignment="1">
      <x:alignment vertical="center" wrapText="1"/>
    </x:xf>
    <x:xf numFmtId="164" fontId="14" fillId="29" borderId="9" xfId="0" applyNumberFormat="1" applyFont="1" applyFill="1" applyBorder="1" applyAlignment="1">
      <x:alignment vertical="center" wrapText="1"/>
    </x:xf>
    <x:xf numFmtId="9" fontId="4" fillId="29" borderId="5" xfId="0" applyNumberFormat="1" applyFont="1" applyFill="1" applyBorder="1" applyAlignment="1">
      <x:alignment vertical="center" wrapText="1"/>
    </x:xf>
    <x:xf numFmtId="164" fontId="4" fillId="29" borderId="6" xfId="0" applyNumberFormat="1" applyFont="1" applyFill="1" applyBorder="1" applyAlignment="1">
      <x:alignment vertical="center" wrapText="1"/>
    </x:xf>
    <x:xf numFmtId="165" fontId="4" fillId="29" borderId="5" xfId="0" applyNumberFormat="1" applyFont="1" applyFill="1" applyBorder="1" applyAlignment="1">
      <x:alignment vertical="center" wrapText="1"/>
    </x:xf>
    <x:xf numFmtId="201" fontId="14" fillId="29" borderId="9" xfId="0" applyNumberFormat="1" applyFont="1" applyFill="1" applyBorder="1" applyAlignment="1">
      <x:alignment vertical="center" wrapText="1"/>
    </x:xf>
    <x:xf numFmtId="0" fontId="12" fillId="28" borderId="9" xfId="0" applyNumberFormat="1" applyFont="1" applyFill="1" applyBorder="1" applyAlignment="1">
      <x:alignment vertical="center" wrapText="1"/>
    </x:xf>
    <x:xf numFmtId="164" fontId="13" fillId="30" borderId="9" xfId="0" applyNumberFormat="1" applyFont="1" applyFill="1" applyBorder="1" applyAlignment="1">
      <x:alignment vertical="center" wrapText="1"/>
    </x:xf>
    <x:xf numFmtId="200" fontId="13" fillId="30" borderId="9" xfId="0" applyNumberFormat="1" applyFont="1" applyFill="1" applyBorder="1" applyAlignment="1">
      <x:alignment vertical="center" wrapText="1"/>
    </x:xf>
    <x:xf numFmtId="164" fontId="14" fillId="31" borderId="9" xfId="0" applyNumberFormat="1" applyFont="1" applyFill="1" applyBorder="1" applyAlignment="1">
      <x:alignment vertical="center" wrapText="1"/>
    </x:xf>
    <x:xf numFmtId="201" fontId="14" fillId="31" borderId="9" xfId="0" applyNumberFormat="1" applyFont="1" applyFill="1" applyBorder="1" applyAlignment="1">
      <x:alignment vertical="center" wrapText="1"/>
    </x:xf>
    <x:xf numFmtId="0" fontId="12" fillId="28" borderId="9" xfId="0" applyNumberFormat="1" applyFont="1" applyFill="1" applyBorder="1" applyAlignment="1">
      <x:alignment horizontal="center" vertical="center" wrapText="1"/>
    </x:xf>
    <x:xf numFmtId="0" fontId="15" fillId="32" borderId="9" xfId="0" applyNumberFormat="1" applyFont="1" applyFill="1" applyBorder="1" applyAlignment="1">
      <x:alignment vertical="center" wrapText="1"/>
    </x:xf>
    <x:xf numFmtId="0" fontId="17" fillId="32" borderId="9" xfId="0" applyNumberFormat="1" applyFont="1" applyFill="1" applyBorder="1" applyAlignment="1">
      <x:alignment vertical="center" wrapText="1"/>
    </x:xf>
    <x:xf numFmtId="0" fontId="16" fillId="33" borderId="9" xfId="0" applyNumberFormat="1" applyFont="1" applyFill="1" applyBorder="1" applyAlignment="1">
      <x:alignment vertical="center" wrapText="1"/>
    </x:xf>
    <x:xf numFmtId="0" fontId="17" fillId="33" borderId="9" xfId="0" applyNumberFormat="1" applyFont="1" applyFill="1" applyBorder="1" applyAlignment="1">
      <x:alignment vertical="center" wrapText="1"/>
    </x:xf>
    <x:xf numFmtId="1" fontId="14" fillId="31" borderId="9" xfId="0" applyNumberFormat="1" applyFont="1" applyFill="1" applyBorder="1" applyAlignment="1">
      <x:alignment vertical="center" wrapText="1"/>
    </x:xf>
    <x:xf numFmtId="0" fontId="18" fillId="31" borderId="9" xfId="0" applyNumberFormat="1" applyFont="1" applyFill="1" applyBorder="1" applyAlignment="1">
      <x:alignment vertical="center" wrapText="1"/>
    </x:xf>
    <x:xf numFmtId="0" fontId="19" fillId="33" borderId="9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1" fillId="28" borderId="0" xfId="0" applyNumberFormat="1" applyFont="1" applyFill="1" applyBorder="1"/>
    <x:xf numFmtId="0" fontId="0" fillId="33" borderId="0" xfId="0" applyNumberFormat="1" applyFont="1" applyFill="1" applyBorder="1"/>
    <x:xf numFmtId="0" fontId="20" fillId="33" borderId="0" xfId="0" applyNumberFormat="1" applyFont="1" applyFill="1" applyBorder="1"/>
    <x:xf numFmtId="0" fontId="12" fillId="28" borderId="0" xfId="0" applyNumberFormat="1" applyFont="1" applyFill="1" applyBorder="1"/>
    <x:xf numFmtId="0" fontId="12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9" xfId="0" applyNumberFormat="1" applyFont="1" applyFill="1" applyBorder="1"/>
    <x:xf numFmtId="0" fontId="21" fillId="31" borderId="9" xfId="0" applyNumberFormat="1" applyFont="1" applyFill="1" applyBorder="1" applyAlignment="1">
      <x:alignment wrapText="1"/>
    </x:xf>
    <x:xf numFmtId="0" fontId="21" fillId="31" borderId="9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2" fontId="4" fillId="34" borderId="0" xfId="0" applyNumberFormat="1" applyFont="1" applyFill="1" applyBorder="1" applyAlignment="1">
      <x:alignment vertical="center"/>
    </x:xf>
    <x:xf numFmtId="202" fontId="23" fillId="3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 wrapText="1"/>
    </x:xf>
    <x:xf numFmtId="202" fontId="4" fillId="35" borderId="0" xfId="0" applyNumberFormat="1" applyFont="1" applyFill="1" applyBorder="1" applyAlignment="1">
      <x:alignment vertical="center"/>
    </x:xf>
    <x:xf numFmtId="202" fontId="23" fillId="35" borderId="0" xfId="0" applyNumberFormat="1" applyFont="1" applyFill="1" applyBorder="1" applyAlignment="1">
      <x:alignment vertical="center"/>
    </x:xf>
    <x:xf numFmtId="202" fontId="4" fillId="36" borderId="0" xfId="0" applyNumberFormat="1" applyFont="1" applyFill="1" applyBorder="1" applyAlignment="1">
      <x:alignment vertical="center"/>
    </x:xf>
    <x:xf numFmtId="202" fontId="4" fillId="3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c3b5468314324" /><Relationship Type="http://schemas.openxmlformats.org/officeDocument/2006/relationships/theme" Target="/xl/theme/theme1.xml" Id="Rbbe9626db442409b" /><Relationship Type="http://schemas.openxmlformats.org/officeDocument/2006/relationships/sharedStrings" Target="/xl/sharedStrings.xml" Id="R511773542db546c4" /><Relationship Type="http://schemas.openxmlformats.org/officeDocument/2006/relationships/worksheet" Target="/xl/worksheets/sheet1.xml" Id="Rc7cf5238ee2c472b" /><Relationship Type="http://schemas.openxmlformats.org/officeDocument/2006/relationships/worksheet" Target="/xl/worksheets/sheet2.xml" Id="Rfb555b6cbac84ebb" /><Relationship Type="http://schemas.openxmlformats.org/officeDocument/2006/relationships/worksheet" Target="/xl/worksheets/sheet3.xml" Id="Rfd63eceeab1346a8" /><Relationship Type="http://schemas.openxmlformats.org/officeDocument/2006/relationships/worksheet" Target="/xl/worksheets/sheet4.xml" Id="R1e7f5eec196c4bf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2" customWidth="1"/>
    <x:col min="3" max="3" width="18" customWidth="1"/>
    <x:col min="4" max="4" width="22" customWidth="1"/>
    <x:col min="5" max="5" width="34" customWidth="1"/>
    <x:col min="6" max="6" width="34" customWidth="1"/>
  </x:cols>
  <x:sheetData>
    <x:row r="1" ht="32" customHeight="1">
      <x:c r="A1" s="174" t="inlineStr">
        <x:is>
          <x:t xml:space="preserve">Anchor &amp; Oak Pricing Lab</x:t>
        </x:is>
      </x:c>
      <x:c r="B1" s="175" t="n"/>
      <x:c r="C1" s="175" t="n"/>
      <x:c r="D1" s="175" t="n"/>
      <x:c r="E1" s="175" t="n"/>
      <x:c r="F1" s="175" t="n"/>
    </x:row>
    <x:row r="2" ht="24" customHeight="1">
      <x:c r="A2" s="47" t="inlineStr">
        <x:is>
          <x:t xml:space="preserve">BUS123 MATH M04 L01 - Markups, Markdowns, and Break-Even</x:t>
        </x:is>
      </x:c>
      <x:c r="B2" s="46" t="n"/>
      <x:c r="C2" s="46" t="n"/>
      <x:c r="D2" s="46" t="n"/>
      <x:c r="E2" s="46" t="n"/>
      <x:c r="F2" s="46" t="n"/>
    </x:row>
    <x:row r="3" ht="42" customHeight="1">
      <x:c r="A3" s="48" t="str">
        <x:v>Build and label your own live models, then compare with the slide reveals.</x:v>
      </x:c>
      <x:c r="B3" s="46" t="n"/>
      <x:c r="C3" s="46" t="n"/>
      <x:c r="D3" s="46" t="n"/>
      <x:c r="E3" s="46" t="n"/>
      <x:c r="F3" s="46" t="n"/>
    </x:row>
    <x:row r="4" ht="28" customHeight="1">
      <x:c r="A4" s="5" t="inlineStr">
        <x:is>
          <x:t xml:space="preserve">Step</x:t>
        </x:is>
      </x:c>
      <x:c r="B4" s="5" t="inlineStr">
        <x:is>
          <x:t xml:space="preserve">Student move</x:t>
        </x:is>
      </x:c>
      <x:c r="C4" s="5" t="inlineStr">
        <x:is>
          <x:t xml:space="preserve"/>
        </x:is>
      </x:c>
      <x:c r="D4" s="5" t="inlineStr">
        <x:is>
          <x:t xml:space="preserve"/>
        </x:is>
      </x:c>
      <x:c r="E4" s="5" t="inlineStr">
        <x:is>
          <x:t xml:space="preserve"/>
        </x:is>
      </x:c>
      <x:c r="F4" s="5" t="inlineStr">
        <x:is>
          <x:t xml:space="preserve"/>
        </x:is>
      </x:c>
    </x:row>
    <x:row r="5" ht="48" customHeight="1">
      <x:c r="A5" s="6" t="inlineStr">
        <x:is>
          <x:t xml:space="preserve">What to do first</x:t>
        </x:is>
      </x:c>
      <x:c r="B5" s="209" t="str">
        <x:v>Open Live You Try It during the slide pauses. Read each new scenario and choose your own model layout.</x:v>
      </x:c>
      <x:c r="C5" s="210" t="n"/>
      <x:c r="D5" s="210" t="n"/>
      <x:c r="E5" s="210" t="n"/>
      <x:c r="F5" s="210" t="n"/>
    </x:row>
    <x:row r="6" ht="48" customHeight="1">
      <x:c r="A6" s="6" t="str">
        <x:v>Build your model</x:v>
      </x:c>
      <x:c r="B6" s="209" t="str">
        <x:v>Write labels, enter inputs, and calculate with cell references. Format money, percentages, and whole guests.</x:v>
      </x:c>
      <x:c r="C6" s="210" t="n"/>
      <x:c r="D6" s="210" t="n"/>
      <x:c r="E6" s="210" t="n"/>
      <x:c r="F6" s="210" t="n"/>
    </x:row>
    <x:row r="7" ht="48" customHeight="1">
      <x:c r="A7" s="6" t="inlineStr">
        <x:is>
          <x:t xml:space="preserve">Then level up</x:t>
        </x:is>
      </x:c>
      <x:c r="B7" s="209" t="str">
        <x:v>After live practice, use Class Challenge for scenarios that combine pricing and break-even.</x:v>
      </x:c>
      <x:c r="C7" s="210" t="n"/>
      <x:c r="D7" s="210" t="n"/>
      <x:c r="E7" s="210" t="n"/>
      <x:c r="F7" s="210" t="n"/>
    </x:row>
    <x:row r="8" ht="48" customHeight="1">
      <x:c r="A8" s="6" t="inlineStr">
        <x:is>
          <x:t xml:space="preserve">Remember</x:t>
        </x:is>
      </x:c>
      <x:c r="B8" s="209" t="str">
        <x:v>Compare logic and answers with the slide reveal. Different cell locations are valid.</x:v>
      </x:c>
      <x:c r="C8" s="210" t="n"/>
      <x:c r="D8" s="210" t="n"/>
      <x:c r="E8" s="210" t="n"/>
      <x:c r="F8" s="210" t="n"/>
    </x:row>
    <x:row r="10" ht="36" customHeight="1">
      <x:c r="A10" s="9" t="inlineStr">
        <x:is>
          <x:t xml:space="preserve">Learning Targets</x:t>
        </x:is>
      </x:c>
      <x:c r="B10" s="10" t="n"/>
      <x:c r="C10" s="10" t="n"/>
      <x:c r="D10" s="10" t="n"/>
      <x:c r="E10" s="10" t="n"/>
      <x:c r="F10" s="10" t="n"/>
    </x:row>
    <x:row r="11" ht="36" customHeight="1">
      <x:c r="A11" s="10" t="inlineStr">
        <x:is>
          <x:t xml:space="preserve">I can</x:t>
        </x:is>
      </x:c>
      <x:c r="B11" s="50" t="inlineStr">
        <x:is>
          <x:t xml:space="preserve">Calculate markup based on cost and selling price.</x:t>
        </x:is>
      </x:c>
      <x:c r="C11" s="8" t="n"/>
      <x:c r="D11" s="8" t="n"/>
      <x:c r="E11" s="8" t="n"/>
      <x:c r="F11" s="8" t="n"/>
    </x:row>
    <x:row r="12" ht="36" customHeight="1">
      <x:c r="A12" s="10" t="inlineStr">
        <x:is>
          <x:t xml:space="preserve">I can</x:t>
        </x:is>
      </x:c>
      <x:c r="B12" s="50" t="inlineStr">
        <x:is>
          <x:t xml:space="preserve">Calculate markdowns from original selling price.</x:t>
        </x:is>
      </x:c>
      <x:c r="C12" s="8" t="n"/>
      <x:c r="D12" s="8" t="n"/>
      <x:c r="E12" s="8" t="n"/>
      <x:c r="F12" s="8" t="n"/>
    </x:row>
    <x:row r="13" ht="36" customHeight="1">
      <x:c r="A13" s="10" t="inlineStr">
        <x:is>
          <x:t xml:space="preserve">I can</x:t>
        </x:is>
      </x:c>
      <x:c r="B13" s="50" t="inlineStr">
        <x:is>
          <x:t xml:space="preserve">Use contribution margin to estimate break-even units.</x:t>
        </x:is>
      </x:c>
      <x:c r="C13" s="8" t="n"/>
      <x:c r="D13" s="8" t="n"/>
      <x:c r="E13" s="8" t="n"/>
      <x:c r="F13" s="8" t="n"/>
    </x:row>
    <x:row r="14" ht="36" customHeight="1">
      <x:c r="A14" s="10" t="inlineStr">
        <x:is>
          <x:t xml:space="preserve">I can</x:t>
        </x:is>
      </x:c>
      <x:c r="B14" s="50" t="inlineStr">
        <x:is>
          <x:t xml:space="preserve">Explain how pricing assumptions affect an event decision.</x:t>
        </x:is>
      </x:c>
      <x:c r="C14" s="8" t="n"/>
      <x:c r="D14" s="8" t="n"/>
      <x:c r="E14" s="8" t="n"/>
      <x:c r="F14" s="8" t="n"/>
    </x:row>
  </x:sheetData>
  <x:mergeCells>
    <x:mergeCell ref="A2:F2"/>
    <x:mergeCell ref="B12:F12"/>
    <x:mergeCell ref="B7:F7"/>
    <x:mergeCell ref="B6:F6"/>
    <x:mergeCell ref="A1:F1"/>
    <x:mergeCell ref="B11:F11"/>
    <x:mergeCell ref="B5:F5"/>
    <x:mergeCell ref="B14:F14"/>
    <x:mergeCell ref="A3:F3"/>
    <x:mergeCell ref="B8:F8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hidden="0" customWidth="1"/>
    <x:col min="2" max="2" width="32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215" t="str">
        <x:v>Live You Try It</x:v>
      </x:c>
      <x:c r="B1" s="215"/>
      <x:c r="C1" s="215"/>
      <x:c r="D1" s="215"/>
      <x:c r="E1" s="215"/>
      <x:c r="F1" s="215"/>
    </x:row>
    <x:row r="2" ht="32" customHeight="1">
      <x:c r="A2" s="216" t="str">
        <x:v>Choose your own cells. Label inputs, enter values, and build formulas using cell references.</x:v>
      </x:c>
      <x:c r="B2" s="216"/>
      <x:c r="C2" s="216"/>
      <x:c r="D2" s="216"/>
      <x:c r="E2" s="216"/>
      <x:c r="F2" s="216"/>
    </x:row>
    <x:row r="3" ht="32" customHeight="1">
      <x:c r="A3" s="216" t="str">
        <x:v>Explain your result, then compare with the slide reveal. Use the blank space below each scenario.</x:v>
      </x:c>
      <x:c r="B3" s="216"/>
      <x:c r="C3" s="216"/>
      <x:c r="D3" s="216"/>
      <x:c r="E3" s="216"/>
      <x:c r="F3" s="216"/>
    </x:row>
    <x:row r="4" ht="30" customHeight="1">
      <x:c r="A4" s="218" t="str">
        <x:v>Markup — Set the catering-package price</x:v>
      </x:c>
      <x:c r="B4" s="218"/>
      <x:c r="C4" s="218"/>
      <x:c r="D4" s="218"/>
      <x:c r="E4" s="218"/>
      <x:c r="F4" s="218"/>
    </x:row>
    <x:row r="5" ht="32" customHeight="1">
      <x:c r="A5" s="220" t="str">
        <x:v>Anchor &amp; Oak is pricing a boxed catering package. Each package costs $24, and the company wants a 35% markup on cost. What selling price should it charge?</x:v>
      </x:c>
      <x:c r="B5" s="220"/>
      <x:c r="C5" s="220"/>
      <x:c r="D5" s="220"/>
      <x:c r="E5" s="220"/>
      <x:c r="F5" s="220"/>
    </x:row>
    <x:row r="6" ht="32" customHeight="1">
      <x:c r="A6" s="220"/>
      <x:c r="B6" s="220"/>
      <x:c r="C6" s="220"/>
      <x:c r="D6" s="220"/>
      <x:c r="E6" s="220"/>
      <x:c r="F6" s="220"/>
    </x:row>
    <x:row r="7" ht="24" customHeight="1">
      <x:c r="A7" s="213"/>
      <x:c r="B7" s="213"/>
      <x:c r="C7" s="213"/>
      <x:c r="D7" s="213"/>
      <x:c r="E7" s="213"/>
      <x:c r="F7" s="213"/>
    </x:row>
    <x:row r="8" ht="24" customHeight="1">
      <x:c r="A8" s="213"/>
      <x:c r="B8" s="213"/>
      <x:c r="C8" s="213"/>
      <x:c r="D8" s="213"/>
      <x:c r="E8" s="213"/>
      <x:c r="F8" s="213"/>
    </x:row>
    <x:row r="9" ht="24" customHeight="1">
      <x:c r="A9" s="213"/>
      <x:c r="B9" s="213"/>
      <x:c r="C9" s="213"/>
      <x:c r="D9" s="213"/>
      <x:c r="E9" s="213"/>
      <x:c r="F9" s="213"/>
    </x:row>
    <x:row r="10" ht="24" customHeight="1">
      <x:c r="A10" s="213"/>
      <x:c r="B10" s="213"/>
      <x:c r="C10" s="213"/>
      <x:c r="D10" s="213"/>
      <x:c r="E10" s="213"/>
      <x:c r="F10" s="213"/>
    </x:row>
    <x:row r="11" ht="24" customHeight="1">
      <x:c r="A11" s="213"/>
      <x:c r="B11" s="213"/>
      <x:c r="C11" s="213"/>
      <x:c r="D11" s="213"/>
      <x:c r="E11" s="213"/>
      <x:c r="F11" s="213"/>
    </x:row>
    <x:row r="12" ht="24" customHeight="1">
      <x:c r="A12" s="213"/>
      <x:c r="B12" s="213"/>
      <x:c r="C12" s="213"/>
      <x:c r="D12" s="213"/>
      <x:c r="E12" s="213"/>
      <x:c r="F12" s="213"/>
    </x:row>
    <x:row r="13" ht="24" customHeight="1">
      <x:c r="A13" s="213"/>
      <x:c r="B13" s="213"/>
      <x:c r="C13" s="213"/>
      <x:c r="D13" s="213"/>
      <x:c r="E13" s="213"/>
      <x:c r="F13" s="213"/>
    </x:row>
    <x:row r="14" ht="24" customHeight="1">
      <x:c r="A14" s="213"/>
      <x:c r="B14" s="213"/>
      <x:c r="C14" s="213"/>
      <x:c r="D14" s="213"/>
      <x:c r="E14" s="213"/>
      <x:c r="F14" s="213"/>
    </x:row>
    <x:row r="15" ht="24" customHeight="1">
      <x:c r="A15" s="213"/>
      <x:c r="B15" s="213"/>
      <x:c r="C15" s="213"/>
      <x:c r="D15" s="213"/>
      <x:c r="E15" s="213"/>
      <x:c r="F15" s="213"/>
    </x:row>
    <x:row r="16" ht="24" customHeight="1">
      <x:c r="A16" s="213"/>
      <x:c r="B16" s="213"/>
      <x:c r="C16" s="213"/>
      <x:c r="D16" s="213"/>
      <x:c r="E16" s="213"/>
      <x:c r="F16" s="213"/>
    </x:row>
    <x:row r="17" ht="24" customHeight="1">
      <x:c r="A17" s="213"/>
      <x:c r="B17" s="213"/>
      <x:c r="C17" s="213"/>
      <x:c r="D17" s="213"/>
      <x:c r="E17" s="213"/>
      <x:c r="F17" s="213"/>
    </x:row>
    <x:row r="18" ht="30" customHeight="1">
      <x:c r="A18" s="218" t="str">
        <x:v>Markdown — Price the late-ticket promotion</x:v>
      </x:c>
      <x:c r="B18" s="218"/>
      <x:c r="C18" s="218"/>
      <x:c r="D18" s="218"/>
      <x:c r="E18" s="218"/>
      <x:c r="F18" s="218"/>
    </x:row>
    <x:row r="19" ht="32" customHeight="1">
      <x:c r="A19" s="220" t="str">
        <x:v>Anchor &amp; Oak has unsold seats for a tasting event. The original ticket price is $64, and the company offers a 25% markdown. What is the promotional ticket price?</x:v>
      </x:c>
      <x:c r="B19" s="220"/>
      <x:c r="C19" s="220"/>
      <x:c r="D19" s="220"/>
      <x:c r="E19" s="220"/>
      <x:c r="F19" s="220"/>
    </x:row>
    <x:row r="20" ht="32" customHeight="1">
      <x:c r="A20" s="220"/>
      <x:c r="B20" s="220"/>
      <x:c r="C20" s="220"/>
      <x:c r="D20" s="220"/>
      <x:c r="E20" s="220"/>
      <x:c r="F20" s="220"/>
    </x:row>
    <x:row r="21" ht="24" customHeight="1">
      <x:c r="A21" s="213"/>
      <x:c r="B21" s="213"/>
      <x:c r="C21" s="213"/>
      <x:c r="D21" s="213"/>
      <x:c r="E21" s="213"/>
      <x:c r="F21" s="213"/>
    </x:row>
    <x:row r="22" ht="24" customHeight="1">
      <x:c r="A22" s="213"/>
      <x:c r="B22" s="213"/>
      <x:c r="C22" s="213"/>
      <x:c r="D22" s="213"/>
      <x:c r="E22" s="213"/>
      <x:c r="F22" s="213"/>
    </x:row>
    <x:row r="23" ht="24" customHeight="1">
      <x:c r="A23" s="213"/>
      <x:c r="B23" s="213"/>
      <x:c r="C23" s="213"/>
      <x:c r="D23" s="213"/>
      <x:c r="E23" s="213"/>
      <x:c r="F23" s="213"/>
    </x:row>
    <x:row r="24" ht="24" customHeight="1">
      <x:c r="A24" s="213"/>
      <x:c r="B24" s="213"/>
      <x:c r="C24" s="213"/>
      <x:c r="D24" s="213"/>
      <x:c r="E24" s="213"/>
      <x:c r="F24" s="213"/>
    </x:row>
    <x:row r="25" ht="24" customHeight="1">
      <x:c r="A25" s="213"/>
      <x:c r="B25" s="213"/>
      <x:c r="C25" s="213"/>
      <x:c r="D25" s="213"/>
      <x:c r="E25" s="213"/>
      <x:c r="F25" s="213"/>
    </x:row>
    <x:row r="26" ht="24" customHeight="1">
      <x:c r="A26" s="213"/>
      <x:c r="B26" s="213"/>
      <x:c r="C26" s="213"/>
      <x:c r="D26" s="213"/>
      <x:c r="E26" s="213"/>
      <x:c r="F26" s="213"/>
    </x:row>
    <x:row r="27" ht="24" customHeight="1">
      <x:c r="A27" s="213"/>
      <x:c r="B27" s="213"/>
      <x:c r="C27" s="213"/>
      <x:c r="D27" s="213"/>
      <x:c r="E27" s="213"/>
      <x:c r="F27" s="213"/>
    </x:row>
    <x:row r="28" ht="24" customHeight="1">
      <x:c r="A28" s="213"/>
      <x:c r="B28" s="213"/>
      <x:c r="C28" s="213"/>
      <x:c r="D28" s="213"/>
      <x:c r="E28" s="213"/>
      <x:c r="F28" s="213"/>
    </x:row>
    <x:row r="29" ht="24" customHeight="1">
      <x:c r="A29" s="213"/>
      <x:c r="B29" s="213"/>
      <x:c r="C29" s="213"/>
      <x:c r="D29" s="213"/>
      <x:c r="E29" s="213"/>
      <x:c r="F29" s="213"/>
    </x:row>
    <x:row r="30" ht="24" customHeight="1">
      <x:c r="A30" s="213"/>
      <x:c r="B30" s="213"/>
      <x:c r="C30" s="213"/>
      <x:c r="D30" s="213"/>
      <x:c r="E30" s="213"/>
      <x:c r="F30" s="213"/>
    </x:row>
    <x:row r="31" ht="30" customHeight="1">
      <x:c r="A31" s="218" t="str">
        <x:v>Break-even — Find the minimum event attendance</x:v>
      </x:c>
      <x:c r="B31" s="218"/>
      <x:c r="C31" s="218"/>
      <x:c r="D31" s="218"/>
      <x:c r="E31" s="218"/>
      <x:c r="F31" s="218"/>
    </x:row>
    <x:row r="32" ht="32" customHeight="1">
      <x:c r="A32" s="220" t="str">
        <x:v>Anchor &amp; Oak plans a community dinner. Venue, permits, and base staffing total $4,250. Tickets sell for $58 per guest; food and service cost $32 per guest. How many whole guests are needed to cover the event costs?</x:v>
      </x:c>
      <x:c r="B32" s="220"/>
      <x:c r="C32" s="220"/>
      <x:c r="D32" s="220"/>
      <x:c r="E32" s="220"/>
      <x:c r="F32" s="220"/>
    </x:row>
    <x:row r="33" ht="32" customHeight="1">
      <x:c r="A33" s="220"/>
      <x:c r="B33" s="220"/>
      <x:c r="C33" s="220"/>
      <x:c r="D33" s="220"/>
      <x:c r="E33" s="220"/>
      <x:c r="F33" s="220"/>
    </x:row>
    <x:row r="34" ht="24" customHeight="1">
      <x:c r="A34" s="213"/>
      <x:c r="B34" s="213"/>
      <x:c r="C34" s="213"/>
      <x:c r="D34" s="213"/>
      <x:c r="E34" s="213"/>
      <x:c r="F34" s="213"/>
    </x:row>
    <x:row r="35" ht="24" customHeight="1">
      <x:c r="A35" s="213"/>
      <x:c r="B35" s="213"/>
      <x:c r="C35" s="213"/>
      <x:c r="D35" s="213"/>
      <x:c r="E35" s="213"/>
      <x:c r="F35" s="213"/>
    </x:row>
    <x:row r="36" ht="24" customHeight="1">
      <x:c r="A36" s="213"/>
      <x:c r="B36" s="213"/>
      <x:c r="C36" s="213"/>
      <x:c r="D36" s="213"/>
      <x:c r="E36" s="213"/>
      <x:c r="F36" s="213"/>
    </x:row>
    <x:row r="37" ht="24" customHeight="1">
      <x:c r="A37" s="213"/>
      <x:c r="B37" s="213"/>
      <x:c r="C37" s="213"/>
      <x:c r="D37" s="213"/>
      <x:c r="E37" s="213"/>
      <x:c r="F37" s="213"/>
    </x:row>
    <x:row r="38" ht="24" customHeight="1">
      <x:c r="A38" s="213"/>
      <x:c r="B38" s="213"/>
      <x:c r="C38" s="213"/>
      <x:c r="D38" s="213"/>
      <x:c r="E38" s="213"/>
      <x:c r="F38" s="213"/>
    </x:row>
    <x:row r="39" ht="24" customHeight="1">
      <x:c r="A39" s="213"/>
      <x:c r="B39" s="213"/>
      <x:c r="C39" s="213"/>
      <x:c r="D39" s="213"/>
      <x:c r="E39" s="213"/>
      <x:c r="F39" s="213"/>
    </x:row>
    <x:row r="40" ht="24" customHeight="1">
      <x:c r="A40" s="213"/>
      <x:c r="B40" s="213"/>
      <x:c r="C40" s="213"/>
      <x:c r="D40" s="213"/>
      <x:c r="E40" s="213"/>
      <x:c r="F40" s="213"/>
    </x:row>
    <x:row r="41" ht="24" customHeight="1">
      <x:c r="A41" s="213"/>
      <x:c r="B41" s="213"/>
      <x:c r="C41" s="213"/>
      <x:c r="D41" s="213"/>
      <x:c r="E41" s="213"/>
      <x:c r="F41" s="213"/>
    </x:row>
    <x:row r="42" ht="24" customHeight="1">
      <x:c r="A42" s="213"/>
      <x:c r="B42" s="213"/>
      <x:c r="C42" s="213"/>
      <x:c r="D42" s="213"/>
      <x:c r="E42" s="213"/>
      <x:c r="F42" s="213"/>
    </x:row>
    <x:row r="43" ht="24" customHeight="1">
      <x:c r="A43" s="213"/>
      <x:c r="B43" s="213"/>
      <x:c r="C43" s="213"/>
      <x:c r="D43" s="213"/>
      <x:c r="E43" s="213"/>
      <x:c r="F43" s="213"/>
    </x:row>
    <x:row r="44" ht="24" customHeight="1">
      <x:c r="A44" s="213"/>
      <x:c r="B44" s="213"/>
      <x:c r="C44" s="213"/>
      <x:c r="D44" s="213"/>
      <x:c r="E44" s="213"/>
      <x:c r="F44" s="213"/>
    </x:row>
    <x:row r="45" ht="24" customHeight="1">
      <x:c r="A45" s="213"/>
      <x:c r="B45" s="213"/>
      <x:c r="C45" s="213"/>
      <x:c r="D45" s="213"/>
      <x:c r="E45" s="213"/>
      <x:c r="F45" s="213"/>
    </x:row>
    <x:row r="46" ht="24" customHeight="1">
      <x:c r="A46" s="213"/>
      <x:c r="B46" s="213"/>
      <x:c r="C46" s="213"/>
      <x:c r="D46" s="213"/>
      <x:c r="E46" s="213"/>
      <x:c r="F46" s="213"/>
    </x:row>
  </x:sheetData>
  <x:mergeCells>
    <x:mergeCell ref="A1:F1"/>
    <x:mergeCell ref="A2:F2"/>
    <x:mergeCell ref="A3:F3"/>
    <x:mergeCell ref="A4:F4"/>
    <x:mergeCell ref="A5:F6"/>
    <x:mergeCell ref="A18:F18"/>
    <x:mergeCell ref="A19:F20"/>
    <x:mergeCell ref="A31:F31"/>
    <x:mergeCell ref="A32:F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34" hidden="0" customWidth="1"/>
    <x:col min="3" max="3" width="34" hidden="0" customWidth="1"/>
    <x:col min="4" max="4" width="23" hidden="0" customWidth="1"/>
    <x:col min="5" max="5" width="26" hidden="0" customWidth="1"/>
    <x:col min="6" max="6" width="28" hidden="0" customWidth="1"/>
  </x:cols>
  <x:sheetData>
    <x:row r="1" ht="32" customHeight="1">
      <x:c r="A1" s="174" t="inlineStr">
        <x:is>
          <x:t xml:space="preserve">Class Challenge</x:t>
        </x:is>
      </x:c>
      <x:c r="B1" s="175" t="n"/>
      <x:c r="C1" s="175" t="n"/>
      <x:c r="D1" s="175" t="n"/>
      <x:c r="E1" s="175" t="n"/>
      <x:c r="F1" s="175" t="n"/>
    </x:row>
    <x:row r="2" ht="24" customHeight="1">
      <x:c r="A2" s="47" t="inlineStr">
        <x:is>
          <x:t xml:space="preserve">Next-level pricing scenarios for Anchor &amp; Oak Events</x:t>
        </x:is>
      </x:c>
      <x:c r="B2" s="46" t="n"/>
      <x:c r="C2" s="46" t="n"/>
      <x:c r="D2" s="46" t="n"/>
      <x:c r="E2" s="46" t="n"/>
      <x:c r="F2" s="46" t="n"/>
    </x:row>
    <x:row r="3" ht="42" customHeight="1">
      <x:c r="A3" s="48" t="inlineStr">
        <x:is>
          <x:t xml:space="preserve">These formulas combine ideas from the lesson. Use the Live You Try It tab as a model, then explain the business meaning in your own words.</x:t>
        </x:is>
      </x:c>
      <x:c r="B3" s="46" t="n"/>
      <x:c r="C3" s="46" t="n"/>
      <x:c r="D3" s="46" t="n"/>
      <x:c r="E3" s="46" t="n"/>
      <x:c r="F3" s="46" t="n"/>
    </x:row>
    <x:row r="4" ht="30" customHeight="1">
      <x:c r="A4" s="189" t="str">
        <x:v>Scenario</x:v>
      </x:c>
      <x:c r="B4" s="189" t="str">
        <x:v>Business question</x:v>
      </x:c>
      <x:c r="C4" s="189" t="str">
        <x:v>Given inputs</x:v>
      </x:c>
      <x:c r="D4" s="189" t="str">
        <x:v>Your formula / result</x:v>
      </x:c>
      <x:c r="E4" s="189" t="str">
        <x:v>Decision note</x:v>
      </x:c>
      <x:c r="F4" s="189" t="str">
        <x:v>Formula check</x:v>
      </x:c>
    </x:row>
    <x:row r="5" ht="52" customHeight="1">
      <x:c r="A5" s="190" t="str">
        <x:v>Required 1</x:v>
      </x:c>
      <x:c r="B5" s="191" t="str">
        <x:v>Find the waste-adjusted package price</x:v>
      </x:c>
      <x:c r="C5" s="191" t="str">
        <x:v>120 produced; $18 cost; 45% markup; 15% waste</x:v>
      </x:c>
      <x:c r="D5" s="187"/>
      <x:c r="E5" s="195"/>
      <x:c r="F5" s="196" t="str">
        <x:f>IF(D5="","Build a formula","Formula entered - verify the result")</x:f>
        <x:v>Build a formula</x:v>
      </x:c>
    </x:row>
    <x:row r="6" ht="52" customHeight="1">
      <x:c r="A6" s="190" t="str">
        <x:v>Required 2</x:v>
      </x:c>
      <x:c r="B6" s="191" t="str">
        <x:v>Find break-even after a 10% ticket markdown</x:v>
      </x:c>
      <x:c r="C6" s="191" t="str">
        <x:v>$48 ticket; 10% markdown; $27 VC; $3,600 FC</x:v>
      </x:c>
      <x:c r="D6" s="194"/>
      <x:c r="E6" s="195"/>
      <x:c r="F6" s="196" t="str">
        <x:f>IF(D6="","Build a formula","Formula entered - verify the result")</x:f>
        <x:v>Build a formula</x:v>
      </x:c>
    </x:row>
    <x:row r="7" ht="52" customHeight="1">
      <x:c r="A7" s="190" t="str">
        <x:v>Required 3</x:v>
      </x:c>
      <x:c r="B7" s="191" t="str">
        <x:v>Find units for a $1,200 profit target after markdown</x:v>
      </x:c>
      <x:c r="C7" s="191" t="str">
        <x:v>$52 price; 20% markdown; $24 VC; $2,500 FC</x:v>
      </x:c>
      <x:c r="D7" s="194"/>
      <x:c r="E7" s="195"/>
      <x:c r="F7" s="196" t="str">
        <x:f>IF(D7="","Build a formula","Formula entered - verify the result")</x:f>
        <x:v>Build a formula</x:v>
      </x:c>
    </x:row>
    <x:row r="8" ht="52" customHeight="1">
      <x:c r="A8" s="190" t="str">
        <x:v>Required 4</x:v>
      </x:c>
      <x:c r="B8" s="191" t="str">
        <x:v>Find profit at 200 regular-price guests</x:v>
      </x:c>
      <x:c r="C8" s="191" t="str">
        <x:v>$48 price; $27 VC; $3,600 FC; 200 guests</x:v>
      </x:c>
      <x:c r="D8" s="194"/>
      <x:c r="E8" s="195"/>
      <x:c r="F8" s="196" t="str">
        <x:f>IF(D8="","Build a formula","Formula entered - verify the result")</x:f>
        <x:v>Build a formula</x:v>
      </x:c>
    </x:row>
    <x:row r="9" ht="52" customHeight="1">
      <x:c r="A9" s="192" t="str">
        <x:v>Extension 1</x:v>
      </x:c>
      <x:c r="B9" s="193" t="str">
        <x:v>Find regular-price contribution margin</x:v>
      </x:c>
      <x:c r="C9" s="193" t="str">
        <x:v>$48 price; $27 variable cost</x:v>
      </x:c>
      <x:c r="D9" s="187"/>
      <x:c r="E9" s="195"/>
      <x:c r="F9" s="196" t="str">
        <x:f>IF(D9="","Build a formula","Formula entered - verify the result")</x:f>
        <x:v>Build a formula</x:v>
      </x:c>
    </x:row>
    <x:row r="10" ht="52" customHeight="1">
      <x:c r="A10" s="192" t="str">
        <x:v>Extension 2</x:v>
      </x:c>
      <x:c r="B10" s="193" t="str">
        <x:v>Find markup on cost needed for a $30 price</x:v>
      </x:c>
      <x:c r="C10" s="193" t="str">
        <x:v>$18 cost; $30 selling price</x:v>
      </x:c>
      <x:c r="D10" s="187"/>
      <x:c r="E10" s="195"/>
      <x:c r="F10" s="196" t="str">
        <x:f>IF(D10="","Build a formula","Formula entered - verify the result")</x:f>
        <x:v>Build a formula</x:v>
      </x:c>
    </x:row>
    <x:row r="11" ht="52" customHeight="1">
      <x:c r="A11" s="192" t="str">
        <x:v>Extension 3</x:v>
      </x:c>
      <x:c r="B11" s="193" t="str">
        <x:v>Find the minimum ticket price for 150 guests</x:v>
      </x:c>
      <x:c r="C11" s="193" t="str">
        <x:v>$3,600 FC; $27 VC; 150 guests</x:v>
      </x:c>
      <x:c r="D11" s="194"/>
      <x:c r="E11" s="195"/>
      <x:c r="F11" s="196" t="str">
        <x:f>IF(D11="","Build a formula","Formula entered - verify the result")</x:f>
        <x:v>Build a formula</x:v>
      </x:c>
    </x:row>
    <x:row r="12" ht="52" customHeight="1">
      <x:c r="A12" s="192" t="str">
        <x:v>Extension 4</x:v>
      </x:c>
      <x:c r="B12" s="193" t="str">
        <x:v>Find extra guests needed for $1,000 more profit</x:v>
      </x:c>
      <x:c r="C12" s="193" t="str">
        <x:v>$21 contribution margin; $1,000 target</x:v>
      </x:c>
      <x:c r="D12" s="187"/>
      <x:c r="E12" s="195"/>
      <x:c r="F12" s="196" t="str">
        <x:f>IF(D12="","Build a formula","Formula entered - verify the result")</x:f>
        <x:v>Build a formula</x:v>
      </x:c>
    </x:row>
    <x:row r="13" ht="48" customHeight="1">
      <x:c r="A13"/>
      <x:c r="B13"/>
      <x:c r="C13"/>
      <x:c r="D13"/>
      <x:c r="E13"/>
      <x:c r="F13"/>
    </x:row>
    <x:row r="14" ht="48" customHeight="1">
      <x:c r="A14"/>
      <x:c r="B14"/>
      <x:c r="C14"/>
      <x:c r="D14"/>
      <x:c r="E14"/>
      <x:c r="F14"/>
    </x:row>
    <x:row r="15" ht="48" customHeight="1">
      <x:c r="A15"/>
      <x:c r="B15"/>
      <x:c r="C15"/>
      <x:c r="D15"/>
      <x:c r="E15"/>
      <x:c r="F15"/>
    </x:row>
    <x:row r="16" ht="48" customHeight="1">
      <x:c r="A16"/>
      <x:c r="B16"/>
      <x:c r="C16"/>
      <x:c r="D16"/>
      <x:c r="E16"/>
      <x:c r="F16"/>
    </x:row>
    <x:row r="17" ht="48" customHeight="1">
      <x:c r="A17"/>
      <x:c r="B17"/>
      <x:c r="C17"/>
      <x:c r="D17"/>
      <x:c r="E17"/>
      <x:c r="F17"/>
    </x:row>
    <x:row r="18" ht="48" customHeight="1">
      <x:c r="A18"/>
      <x:c r="B18"/>
      <x:c r="C18"/>
      <x:c r="D18"/>
      <x:c r="E18"/>
      <x:c r="F18"/>
    </x:row>
    <x:row r="19" ht="48" customHeight="1">
      <x:c r="A19"/>
      <x:c r="B19"/>
      <x:c r="C19"/>
      <x:c r="D19"/>
      <x:c r="E19"/>
      <x:c r="F19"/>
    </x:row>
  </x:sheetData>
  <x:mergeCells>
    <x:mergeCell ref="A3:F3"/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38" hidden="0" customWidth="1"/>
    <x:col min="3" max="3" width="37" hidden="0" customWidth="1"/>
    <x:col min="4" max="4" width="34" hidden="0" customWidth="1"/>
    <x:col min="5" max="5" width="34" customWidth="1"/>
    <x:col min="6" max="6" width="34" customWidth="1"/>
  </x:cols>
  <x:sheetData>
    <x:row r="1" ht="32" customHeight="1">
      <x:c r="A1" s="175" t="str">
        <x:v>MATH M04 · Formula Reference Card</x:v>
      </x:c>
      <x:c r="B1" s="175"/>
      <x:c r="C1" s="175"/>
      <x:c r="D1" s="175"/>
    </x:row>
    <x:row r="2" ht="28" customHeight="1">
      <x:c r="A2" s="200" t="str">
        <x:v>Name the base first, then choose the Excel pattern that matches the decision.</x:v>
      </x:c>
      <x:c r="B2" s="200"/>
      <x:c r="C2" s="200"/>
      <x:c r="D2" s="200"/>
    </x:row>
    <x:row r="3" ht="30" customHeight="1">
      <x:c r="A3" s="184" t="str">
        <x:v>Concept</x:v>
      </x:c>
      <x:c r="B3" s="184" t="str">
        <x:v>Excel pattern</x:v>
      </x:c>
      <x:c r="C3" s="184" t="str">
        <x:v>Plain meaning</x:v>
      </x:c>
      <x:c r="D3" s="184" t="str">
        <x:v>Watch out</x:v>
      </x:c>
    </x:row>
    <x:row r="4" ht="44" customHeight="1">
      <x:c r="A4" s="136" t="str">
        <x:v>Markup amount</x:v>
      </x:c>
      <x:c r="B4" s="208" t="str">
        <x:v>=SellingPrice-Cost</x:v>
      </x:c>
      <x:c r="C4" s="138" t="str">
        <x:v>Dollar amount added above cost</x:v>
      </x:c>
      <x:c r="D4" s="138" t="str">
        <x:v>This is an amount, not a rate</x:v>
      </x:c>
    </x:row>
    <x:row r="5" ht="44" customHeight="1">
      <x:c r="A5" s="136" t="str">
        <x:v>Markup on cost</x:v>
      </x:c>
      <x:c r="B5" s="208" t="str">
        <x:v>=MarkupAmount/Cost</x:v>
      </x:c>
      <x:c r="C5" s="138" t="str">
        <x:v>Markup measured against cost</x:v>
      </x:c>
      <x:c r="D5" s="138" t="str">
        <x:v>Cost is the denominator</x:v>
      </x:c>
    </x:row>
    <x:row r="6" ht="44" customHeight="1">
      <x:c r="A6" s="136" t="str">
        <x:v>Selling price from markup</x:v>
      </x:c>
      <x:c r="B6" s="208" t="str">
        <x:v>=Cost*(1+MarkupRate)</x:v>
      </x:c>
      <x:c r="C6" s="138" t="str">
        <x:v>Build a selling price up from cost</x:v>
      </x:c>
      <x:c r="D6" s="138" t="str">
        <x:v>Enter 45% as 45%, not 45</x:v>
      </x:c>
    </x:row>
    <x:row r="7" ht="44" customHeight="1">
      <x:c r="A7" s="136" t="str">
        <x:v>Markdown price</x:v>
      </x:c>
      <x:c r="B7" s="208" t="str">
        <x:v>=OriginalPrice*(1-MarkdownRate)</x:v>
      </x:c>
      <x:c r="C7" s="138" t="str">
        <x:v>Reduce the original selling price</x:v>
      </x:c>
      <x:c r="D7" s="138" t="str">
        <x:v>Original price is the base</x:v>
      </x:c>
    </x:row>
    <x:row r="8" ht="44" customHeight="1">
      <x:c r="A8" s="136" t="str">
        <x:v>Sellable units</x:v>
      </x:c>
      <x:c r="B8" s="208" t="str">
        <x:v>=ProducedUnits*(1-WasteRate)</x:v>
      </x:c>
      <x:c r="C8" s="138" t="str">
        <x:v>Remove expected waste from production</x:v>
      </x:c>
      <x:c r="D8" s="138" t="str">
        <x:v>Do not divide revenue by all produced units</x:v>
      </x:c>
    </x:row>
    <x:row r="9" ht="44" customHeight="1">
      <x:c r="A9" s="136" t="str">
        <x:v>Contribution margin</x:v>
      </x:c>
      <x:c r="B9" s="208" t="str">
        <x:v>=SellingPrice-VariableCost</x:v>
      </x:c>
      <x:c r="C9" s="138" t="str">
        <x:v>Amount each unit contributes to fixed cost and profit</x:v>
      </x:c>
      <x:c r="D9" s="138" t="str">
        <x:v>Subtract variable cost per unit</x:v>
      </x:c>
    </x:row>
    <x:row r="10" ht="44" customHeight="1">
      <x:c r="A10" s="136" t="str">
        <x:v>Break-even units</x:v>
      </x:c>
      <x:c r="B10" s="208" t="str">
        <x:v>=ROUNDUP(FixedCosts/ContributionMargin,0)</x:v>
      </x:c>
      <x:c r="C10" s="138" t="str">
        <x:v>Whole units required to cover fixed costs</x:v>
      </x:c>
      <x:c r="D10" s="138" t="str">
        <x:v>Round up, never down</x:v>
      </x:c>
    </x:row>
    <x:row r="11" ht="44" customHeight="1">
      <x:c r="A11" s="136" t="str">
        <x:v>Break-even revenue</x:v>
      </x:c>
      <x:c r="B11" s="208" t="str">
        <x:v>=BreakEvenUnits*SellingPrice</x:v>
      </x:c>
      <x:c r="C11" s="138" t="str">
        <x:v>Sales dollars at break-even volume</x:v>
      </x:c>
      <x:c r="D11" s="138" t="str">
        <x:v>Use the rounded whole-unit volume</x:v>
      </x:c>
    </x:row>
  </x:sheetData>
  <x:mergeCells>
    <x:mergeCell ref="A1:D1"/>
    <x:mergeCell ref="A2:D2"/>
  </x:mergeCells>
  <x:pageMargins left="0.7" right="0.7" top="0.75" bottom="0.75" header="0.3" footer="0.3"/>
</x:worksheet>
</file>