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Live You Try It" sheetId="3" state="visible" r:id="rId3"/>
    <sheet xmlns:r="http://schemas.openxmlformats.org/officeDocument/2006/relationships" name="Core Functions" sheetId="4" state="visible" r:id="rId4"/>
    <sheet xmlns:r="http://schemas.openxmlformats.org/officeDocument/2006/relationships" name="Dynamic Arrays" sheetId="5" state="visible" r:id="rId5"/>
    <sheet xmlns:r="http://schemas.openxmlformats.org/officeDocument/2006/relationships" name="Reporting Lab" sheetId="6" state="visible" r:id="rId6"/>
    <sheet xmlns:r="http://schemas.openxmlformats.org/officeDocument/2006/relationships" name="Class Challenge" sheetId="7" state="visible" r:id="rId7"/>
    <sheet xmlns:r="http://schemas.openxmlformats.org/officeDocument/2006/relationships" name="FormulaReferenceCard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"/>
    <numFmt numFmtId="166" formatCode="0.0%"/>
  </numFmts>
  <fonts count="11">
    <font>
      <name val="Carlito"/>
      <sz val="11"/>
    </font>
    <font>
      <name val="Carlito"/>
      <b val="1"/>
      <color rgb="FFB8843D"/>
      <sz val="11"/>
    </font>
    <font>
      <name val="Carlito"/>
      <color rgb="FF1A1F2C"/>
      <sz val="11"/>
    </font>
    <font>
      <name val="Carlito"/>
      <b val="1"/>
      <color rgb="FF355773"/>
      <sz val="11"/>
    </font>
    <font>
      <name val="Aptos Display"/>
      <b val="1"/>
      <color rgb="00FFFFFF"/>
      <sz val="16"/>
    </font>
    <font>
      <name val="Aptos Display"/>
      <b val="1"/>
      <color rgb="00FFFFFF"/>
      <sz val="12"/>
    </font>
    <font>
      <name val="Aptos"/>
      <b val="1"/>
      <color rgb="00FFFFFF"/>
    </font>
    <font>
      <name val="Aptos"/>
      <b val="1"/>
      <color rgb="00B8843D"/>
    </font>
    <font>
      <name val="Aptos"/>
      <i val="1"/>
      <color rgb="004A5567"/>
    </font>
    <font>
      <name val="Aptos"/>
      <b val="1"/>
      <color rgb="001A1F2C"/>
    </font>
    <font>
      <name val="Aptos"/>
      <b val="1"/>
      <color rgb="00355773"/>
    </font>
  </fonts>
  <fills count="18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000E1116"/>
      </patternFill>
    </fill>
    <fill>
      <patternFill patternType="solid">
        <fgColor rgb="004A7C5E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EEE5"/>
      </patternFill>
    </fill>
    <fill>
      <patternFill patternType="solid">
        <fgColor rgb="00E2F0D9"/>
      </patternFill>
    </fill>
    <fill>
      <patternFill patternType="solid">
        <fgColor rgb="00EAF3EC"/>
      </patternFill>
    </fill>
    <fill>
      <patternFill patternType="solid">
        <fgColor rgb="009C4A2B"/>
      </patternFill>
    </fill>
  </fills>
  <borders count="6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9B458"/>
      </left>
      <right style="thin">
        <color rgb="00C9B458"/>
      </right>
      <top style="thin">
        <color rgb="00C9B458"/>
      </top>
      <bottom style="thin">
        <color rgb="00C9B458"/>
      </bottom>
    </border>
    <border>
      <left style="medium">
        <color rgb="004A7C5E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A9D18E"/>
      </left>
      <right style="thin">
        <color rgb="00A9D18E"/>
      </right>
      <top style="thin">
        <color rgb="00A9D18E"/>
      </top>
      <bottom style="thin">
        <color rgb="00A9D18E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1" fillId="6" borderId="0" pivotButton="0" quotePrefix="0" xfId="0"/>
    <xf numFmtId="0" fontId="1" fillId="6" borderId="1" pivotButton="0" quotePrefix="0" xfId="0"/>
    <xf numFmtId="0" fontId="1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2" fillId="7" borderId="1" pivotButton="0" quotePrefix="0" xfId="0"/>
    <xf numFmtId="0" fontId="2" fillId="7" borderId="1" applyAlignment="1" pivotButton="0" quotePrefix="0" xfId="0">
      <alignment wrapText="1"/>
    </xf>
    <xf numFmtId="0" fontId="2" fillId="8" borderId="1" applyAlignment="1" pivotButton="0" quotePrefix="0" xfId="0">
      <alignment wrapText="1"/>
    </xf>
    <xf numFmtId="0" fontId="3" fillId="8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4" fillId="10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6" fillId="11" borderId="0" pivotButton="0" quotePrefix="0" xfId="0"/>
    <xf numFmtId="0" fontId="7" fillId="1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12" borderId="3" applyAlignment="1" pivotButton="0" quotePrefix="0" xfId="0">
      <alignment horizontal="center" vertical="center" wrapText="1"/>
    </xf>
    <xf numFmtId="164" fontId="0" fillId="13" borderId="4" applyAlignment="1" pivotButton="0" quotePrefix="0" xfId="0">
      <alignment horizontal="center" vertical="center" wrapText="1"/>
    </xf>
    <xf numFmtId="0" fontId="8" fillId="14" borderId="2" applyAlignment="1" pivotButton="0" quotePrefix="0" xfId="0">
      <alignment vertical="top" wrapText="1"/>
    </xf>
    <xf numFmtId="0" fontId="9" fillId="15" borderId="5" applyAlignment="1" pivotButton="0" quotePrefix="0" xfId="0">
      <alignment vertical="center" wrapText="1"/>
    </xf>
    <xf numFmtId="0" fontId="0" fillId="13" borderId="4" applyAlignment="1" pivotButton="0" quotePrefix="0" xfId="0">
      <alignment horizontal="center" vertical="center" wrapText="1"/>
    </xf>
    <xf numFmtId="3" fontId="0" fillId="13" borderId="4" applyAlignment="1" pivotButton="0" quotePrefix="0" xfId="0">
      <alignment horizontal="center" vertical="center" wrapText="1"/>
    </xf>
    <xf numFmtId="2" fontId="0" fillId="13" borderId="4" applyAlignment="1" pivotButton="0" quotePrefix="0" xfId="0">
      <alignment horizontal="center" vertical="center" wrapText="1"/>
    </xf>
    <xf numFmtId="0" fontId="6" fillId="10" borderId="0" pivotButton="0" quotePrefix="0" xfId="0"/>
    <xf numFmtId="0" fontId="10" fillId="16" borderId="0" pivotButton="0" quotePrefix="0" xfId="0"/>
    <xf numFmtId="0" fontId="0" fillId="14" borderId="0" applyAlignment="1" pivotButton="0" quotePrefix="0" xfId="0">
      <alignment vertical="center" wrapText="1"/>
    </xf>
    <xf numFmtId="0" fontId="6" fillId="17" borderId="0" pivotButton="0" quotePrefix="0" xfId="0"/>
    <xf numFmtId="164" fontId="0" fillId="12" borderId="3" applyAlignment="1" pivotButton="0" quotePrefix="0" xfId="0">
      <alignment horizontal="center" vertical="center" wrapText="1"/>
    </xf>
    <xf numFmtId="165" fontId="0" fillId="13" borderId="4" applyAlignment="1" pivotButton="0" quotePrefix="0" xfId="0">
      <alignment horizontal="center" vertical="center" wrapText="1"/>
    </xf>
    <xf numFmtId="166" fontId="0" fillId="13" borderId="4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92" customWidth="1" min="2" max="2"/>
  </cols>
  <sheetData>
    <row r="1">
      <c r="A1" t="inlineStr">
        <is>
          <t>BUS123 - Solving Business Problems with Technology</t>
        </is>
      </c>
    </row>
    <row r="2">
      <c r="A2" t="inlineStr">
        <is>
          <t>EXCEL-M03-L01 - Excel Functions for Business Analysis</t>
        </is>
      </c>
    </row>
    <row r="4">
      <c r="A4" t="inlineStr">
        <is>
          <t>Purpose</t>
        </is>
      </c>
      <c r="B4" t="inlineStr">
        <is>
          <t>Use Excel functions to summarize, clean, filter, and report business data.</t>
        </is>
      </c>
    </row>
    <row r="6" ht="26" customHeight="1">
      <c r="A6" t="inlineStr">
        <is>
          <t>Student Tasks</t>
        </is>
      </c>
      <c r="B6" s="22" t="inlineStr">
        <is>
          <t>1. Open Live You Try It during the slide pauses. Enter the slide givens into yellow cells first, then build formulas from those cells.</t>
        </is>
      </c>
    </row>
    <row r="7" ht="26" customHeight="1">
      <c r="B7" s="22" t="inlineStr">
        <is>
          <t>2. Use Raw Data, Core Functions, Dynamic Arrays, and Reporting Lab as additional practice for choosing Excel functions.</t>
        </is>
      </c>
    </row>
    <row r="8" ht="26" customHeight="1">
      <c r="B8" s="22" t="inlineStr">
        <is>
          <t>3. Complete Class Challenge as the graded / next-level activity. Scenario text gives the required inputs; yellow input cells and blue final-answer cells start blank.</t>
        </is>
      </c>
    </row>
    <row r="9" ht="26" customHeight="1">
      <c r="B9" s="22" t="inlineStr">
        <is>
          <t>4. Use the FormulaReferenceCard only as a syntax reminder after you have tried the problem.</t>
        </is>
      </c>
    </row>
    <row r="10" ht="26" customHeight="1"/>
    <row r="11" ht="26" customHeight="1">
      <c r="A11" t="inlineStr">
        <is>
          <t>Case Companies</t>
        </is>
      </c>
      <c r="B11" t="inlineStr">
        <is>
          <t>Anchor &amp; Oak Events</t>
        </is>
      </c>
      <c r="C11" t="inlineStr">
        <is>
          <t>Tidal Goods Co.</t>
        </is>
      </c>
      <c r="D11" t="inlineStr">
        <is>
          <t>Harborside Medical Center</t>
        </is>
      </c>
    </row>
    <row r="12" ht="26" customHeight="1">
      <c r="B12" t="inlineStr">
        <is>
          <t>Meridian Advisory Group</t>
        </is>
      </c>
    </row>
    <row r="13" ht="26" customHeight="1"/>
    <row r="14" ht="26" customHeight="1">
      <c r="A14" t="inlineStr">
        <is>
          <t>Color Guide</t>
        </is>
      </c>
      <c r="B14" t="inlineStr">
        <is>
          <t>Yellow cells are student input cells.</t>
        </is>
      </c>
    </row>
    <row r="15" ht="26" customHeight="1">
      <c r="B15" t="inlineStr">
        <is>
          <t>Blue cells are student final answer cells.</t>
        </is>
      </c>
    </row>
    <row r="16" ht="26" customHeight="1">
      <c r="B16" t="inlineStr">
        <is>
          <t>Green cells contain self-check feedback formulas.</t>
        </is>
      </c>
    </row>
    <row r="17" ht="26" customHeight="1"/>
    <row r="18" ht="26" customHeight="1">
      <c r="A18" t="inlineStr">
        <is>
          <t>Submission Reminder</t>
        </is>
      </c>
      <c r="B18" t="inlineStr">
        <is>
          <t>Save the completed workbook with your name before uploading to Canvas.</t>
        </is>
      </c>
    </row>
    <row r="19" ht="26" customHeight="1"/>
    <row r="20" ht="26" customHeight="1">
      <c r="A20" t="inlineStr">
        <is>
          <t>This workbook intentionally uses only student-facing data. It does not contain answer keys or hidden grading notes.</t>
        </is>
      </c>
      <c r="B20" t="inlineStr">
        <is>
          <t>This workbook intentionally uses only student-facing data. It does not contain answer keys, grading maps, or hidden instructor notes.</t>
        </is>
      </c>
    </row>
    <row r="21" ht="26" customHeight="1"/>
    <row r="22" ht="26" customHeight="1">
      <c r="A22" t="inlineStr">
        <is>
          <t>Start with the Raw Data tab, then move left to right through the workbook.</t>
        </is>
      </c>
      <c r="B22" t="inlineStr">
        <is>
          <t>Suggested flow: START HERE, Raw Data, Live You Try It, existing practice tabs, Class Challenge, FormulaReferenceCard.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Record ID</t>
        </is>
      </c>
      <c r="C1" t="inlineStr">
        <is>
          <t>Month</t>
        </is>
      </c>
      <c r="D1" t="inlineStr">
        <is>
          <t>Category</t>
        </is>
      </c>
      <c r="E1" t="inlineStr">
        <is>
          <t>Department</t>
        </is>
      </c>
      <c r="F1" t="inlineStr">
        <is>
          <t>Region</t>
        </is>
      </c>
      <c r="G1" t="inlineStr">
        <is>
          <t>Status</t>
        </is>
      </c>
      <c r="H1" t="inlineStr">
        <is>
          <t>Amount</t>
        </is>
      </c>
    </row>
    <row r="2">
      <c r="A2" t="inlineStr">
        <is>
          <t>Anchor &amp; Oak Events</t>
        </is>
      </c>
      <c r="B2" t="inlineStr">
        <is>
          <t>AO-001</t>
        </is>
      </c>
      <c r="C2" t="inlineStr">
        <is>
          <t>Jan</t>
        </is>
      </c>
      <c r="D2" t="inlineStr">
        <is>
          <t>Wedding</t>
        </is>
      </c>
      <c r="E2" t="inlineStr">
        <is>
          <t>Events</t>
        </is>
      </c>
      <c r="F2" t="inlineStr">
        <is>
          <t>North</t>
        </is>
      </c>
      <c r="G2" t="inlineStr">
        <is>
          <t>Complete</t>
        </is>
      </c>
      <c r="H2" t="n">
        <v>35700</v>
      </c>
    </row>
    <row r="3">
      <c r="A3" t="inlineStr">
        <is>
          <t>Anchor &amp; Oak Events</t>
        </is>
      </c>
      <c r="B3" t="inlineStr">
        <is>
          <t>AO-002</t>
        </is>
      </c>
      <c r="C3" t="inlineStr">
        <is>
          <t>Feb</t>
        </is>
      </c>
      <c r="D3" t="inlineStr">
        <is>
          <t>Corporate</t>
        </is>
      </c>
      <c r="E3" t="inlineStr">
        <is>
          <t>Events</t>
        </is>
      </c>
      <c r="F3" t="inlineStr">
        <is>
          <t>North</t>
        </is>
      </c>
      <c r="G3" t="inlineStr">
        <is>
          <t>Complete</t>
        </is>
      </c>
      <c r="H3" t="n">
        <v>21400</v>
      </c>
    </row>
    <row r="4">
      <c r="A4" t="inlineStr">
        <is>
          <t>Anchor &amp; Oak Events</t>
        </is>
      </c>
      <c r="B4" t="inlineStr">
        <is>
          <t>AO-003</t>
        </is>
      </c>
      <c r="C4" t="inlineStr">
        <is>
          <t>Mar</t>
        </is>
      </c>
      <c r="D4" t="inlineStr">
        <is>
          <t>Private</t>
        </is>
      </c>
      <c r="E4" t="inlineStr">
        <is>
          <t>Events</t>
        </is>
      </c>
      <c r="F4" t="inlineStr">
        <is>
          <t>South</t>
        </is>
      </c>
      <c r="G4" t="inlineStr">
        <is>
          <t>Complete</t>
        </is>
      </c>
      <c r="H4" t="n">
        <v>29500</v>
      </c>
    </row>
    <row r="5">
      <c r="A5" t="inlineStr">
        <is>
          <t>Anchor &amp; Oak Events</t>
        </is>
      </c>
      <c r="B5" t="inlineStr">
        <is>
          <t>AO-004</t>
        </is>
      </c>
      <c r="C5" t="inlineStr">
        <is>
          <t>Apr</t>
        </is>
      </c>
      <c r="D5" t="inlineStr">
        <is>
          <t>Wedding</t>
        </is>
      </c>
      <c r="E5" t="inlineStr">
        <is>
          <t>Events</t>
        </is>
      </c>
      <c r="F5" t="inlineStr">
        <is>
          <t>South</t>
        </is>
      </c>
      <c r="G5" t="inlineStr">
        <is>
          <t>Complete</t>
        </is>
      </c>
      <c r="H5" t="n">
        <v>43300</v>
      </c>
    </row>
    <row r="6">
      <c r="A6" t="inlineStr">
        <is>
          <t>Anchor &amp; Oak Events</t>
        </is>
      </c>
      <c r="B6" t="inlineStr">
        <is>
          <t>AO-005</t>
        </is>
      </c>
      <c r="C6" t="inlineStr">
        <is>
          <t>May</t>
        </is>
      </c>
      <c r="D6" t="inlineStr">
        <is>
          <t>Corporate</t>
        </is>
      </c>
      <c r="E6" t="inlineStr">
        <is>
          <t>Events</t>
        </is>
      </c>
      <c r="F6" t="inlineStr">
        <is>
          <t>North</t>
        </is>
      </c>
      <c r="G6" t="inlineStr">
        <is>
          <t>Complete</t>
        </is>
      </c>
      <c r="H6" t="n">
        <v>54600</v>
      </c>
    </row>
    <row r="7">
      <c r="A7" t="inlineStr">
        <is>
          <t>Anchor &amp; Oak Events</t>
        </is>
      </c>
      <c r="B7" t="inlineStr">
        <is>
          <t>AO-006</t>
        </is>
      </c>
      <c r="C7" t="inlineStr">
        <is>
          <t>Jun</t>
        </is>
      </c>
      <c r="D7" t="inlineStr">
        <is>
          <t>Wedding</t>
        </is>
      </c>
      <c r="E7" t="inlineStr">
        <is>
          <t>Events</t>
        </is>
      </c>
      <c r="F7" t="inlineStr">
        <is>
          <t>North</t>
        </is>
      </c>
      <c r="G7" t="inlineStr">
        <is>
          <t>Complete</t>
        </is>
      </c>
      <c r="H7" t="n">
        <v>67200</v>
      </c>
    </row>
    <row r="8">
      <c r="A8" t="inlineStr">
        <is>
          <t>Anchor &amp; Oak Events</t>
        </is>
      </c>
      <c r="B8" t="inlineStr">
        <is>
          <t>AO-007</t>
        </is>
      </c>
      <c r="C8" t="inlineStr">
        <is>
          <t>Jul</t>
        </is>
      </c>
      <c r="D8" t="inlineStr">
        <is>
          <t>Wedding</t>
        </is>
      </c>
      <c r="E8" t="inlineStr">
        <is>
          <t>Events</t>
        </is>
      </c>
      <c r="F8" t="inlineStr">
        <is>
          <t>South</t>
        </is>
      </c>
      <c r="G8" t="inlineStr">
        <is>
          <t>Complete</t>
        </is>
      </c>
      <c r="H8" t="n">
        <v>74500</v>
      </c>
    </row>
    <row r="9">
      <c r="A9" t="inlineStr">
        <is>
          <t>Anchor &amp; Oak Events</t>
        </is>
      </c>
      <c r="B9" t="inlineStr">
        <is>
          <t>AO-008</t>
        </is>
      </c>
      <c r="C9" t="inlineStr">
        <is>
          <t>Aug</t>
        </is>
      </c>
      <c r="D9" t="inlineStr">
        <is>
          <t>Private</t>
        </is>
      </c>
      <c r="E9" t="inlineStr">
        <is>
          <t>Events</t>
        </is>
      </c>
      <c r="F9" t="inlineStr">
        <is>
          <t>South</t>
        </is>
      </c>
      <c r="G9" t="inlineStr">
        <is>
          <t>Complete</t>
        </is>
      </c>
      <c r="H9" t="n">
        <v>63800</v>
      </c>
    </row>
    <row r="10">
      <c r="A10" t="inlineStr">
        <is>
          <t>Anchor &amp; Oak Events</t>
        </is>
      </c>
      <c r="B10" t="inlineStr">
        <is>
          <t>AO-009</t>
        </is>
      </c>
      <c r="C10" t="inlineStr">
        <is>
          <t>Sep</t>
        </is>
      </c>
      <c r="D10" t="inlineStr">
        <is>
          <t>Corporate</t>
        </is>
      </c>
      <c r="E10" t="inlineStr">
        <is>
          <t>Events</t>
        </is>
      </c>
      <c r="F10" t="inlineStr">
        <is>
          <t>North</t>
        </is>
      </c>
      <c r="G10" t="inlineStr">
        <is>
          <t>Complete</t>
        </is>
      </c>
      <c r="H10" t="n">
        <v>47200</v>
      </c>
    </row>
    <row r="11">
      <c r="A11" t="inlineStr">
        <is>
          <t>Anchor &amp; Oak Events</t>
        </is>
      </c>
      <c r="B11" t="inlineStr">
        <is>
          <t>AO-010</t>
        </is>
      </c>
      <c r="C11" t="inlineStr">
        <is>
          <t>Oct</t>
        </is>
      </c>
      <c r="D11" t="inlineStr">
        <is>
          <t>Private</t>
        </is>
      </c>
      <c r="E11" t="inlineStr">
        <is>
          <t>Events</t>
        </is>
      </c>
      <c r="F11" t="inlineStr">
        <is>
          <t>North</t>
        </is>
      </c>
      <c r="G11" t="inlineStr">
        <is>
          <t>Complete</t>
        </is>
      </c>
      <c r="H11" t="n">
        <v>40400</v>
      </c>
    </row>
    <row r="12">
      <c r="A12" t="inlineStr">
        <is>
          <t>Anchor &amp; Oak Events</t>
        </is>
      </c>
      <c r="B12" t="inlineStr">
        <is>
          <t>AO-011</t>
        </is>
      </c>
      <c r="C12" t="inlineStr">
        <is>
          <t>Nov</t>
        </is>
      </c>
      <c r="D12" t="inlineStr">
        <is>
          <t>Corporate</t>
        </is>
      </c>
      <c r="E12" t="inlineStr">
        <is>
          <t>Events</t>
        </is>
      </c>
      <c r="F12" t="inlineStr">
        <is>
          <t>South</t>
        </is>
      </c>
      <c r="G12" t="inlineStr">
        <is>
          <t>Pending</t>
        </is>
      </c>
      <c r="H12" t="n">
        <v>38600</v>
      </c>
    </row>
    <row r="13">
      <c r="A13" t="inlineStr">
        <is>
          <t>Anchor &amp; Oak Events</t>
        </is>
      </c>
      <c r="B13" t="inlineStr">
        <is>
          <t>AO-012</t>
        </is>
      </c>
      <c r="C13" t="inlineStr">
        <is>
          <t>Dec</t>
        </is>
      </c>
      <c r="D13" t="inlineStr">
        <is>
          <t>Wedding</t>
        </is>
      </c>
      <c r="E13" t="inlineStr">
        <is>
          <t>Events</t>
        </is>
      </c>
      <c r="F13" t="inlineStr">
        <is>
          <t>North</t>
        </is>
      </c>
      <c r="G13" t="inlineStr">
        <is>
          <t>Pending</t>
        </is>
      </c>
      <c r="H13" t="n">
        <v>51200</v>
      </c>
    </row>
    <row r="14">
      <c r="A14" t="inlineStr">
        <is>
          <t>Tidal Goods Co.</t>
        </is>
      </c>
      <c r="B14" t="inlineStr">
        <is>
          <t>TG-001</t>
        </is>
      </c>
      <c r="C14" t="inlineStr">
        <is>
          <t>Jan</t>
        </is>
      </c>
      <c r="D14" t="inlineStr">
        <is>
          <t>Kitchen</t>
        </is>
      </c>
      <c r="E14" t="inlineStr">
        <is>
          <t>Retail</t>
        </is>
      </c>
      <c r="F14" t="inlineStr">
        <is>
          <t>North</t>
        </is>
      </c>
      <c r="G14" t="inlineStr">
        <is>
          <t>Complete</t>
        </is>
      </c>
      <c r="H14" t="n">
        <v>8400</v>
      </c>
    </row>
    <row r="15">
      <c r="A15" t="inlineStr">
        <is>
          <t>Tidal Goods Co.</t>
        </is>
      </c>
      <c r="B15" t="inlineStr">
        <is>
          <t>TG-002</t>
        </is>
      </c>
      <c r="C15" t="inlineStr">
        <is>
          <t>Jan</t>
        </is>
      </c>
      <c r="D15" t="inlineStr">
        <is>
          <t>Storage</t>
        </is>
      </c>
      <c r="E15" t="inlineStr">
        <is>
          <t>Retail</t>
        </is>
      </c>
      <c r="F15" t="inlineStr">
        <is>
          <t>North</t>
        </is>
      </c>
      <c r="G15" t="inlineStr">
        <is>
          <t>Complete</t>
        </is>
      </c>
      <c r="H15" t="n">
        <v>5100</v>
      </c>
    </row>
    <row r="16">
      <c r="A16" t="inlineStr">
        <is>
          <t>Tidal Goods Co.</t>
        </is>
      </c>
      <c r="B16" t="inlineStr">
        <is>
          <t>TG-003</t>
        </is>
      </c>
      <c r="C16" t="inlineStr">
        <is>
          <t>Feb</t>
        </is>
      </c>
      <c r="D16" t="inlineStr">
        <is>
          <t>Kitchen</t>
        </is>
      </c>
      <c r="E16" t="inlineStr">
        <is>
          <t>Retail</t>
        </is>
      </c>
      <c r="F16" t="inlineStr">
        <is>
          <t>South</t>
        </is>
      </c>
      <c r="G16" t="inlineStr">
        <is>
          <t>Complete</t>
        </is>
      </c>
      <c r="H16" t="n">
        <v>3900</v>
      </c>
    </row>
    <row r="17">
      <c r="A17" t="inlineStr">
        <is>
          <t>Tidal Goods Co.</t>
        </is>
      </c>
      <c r="B17" t="inlineStr">
        <is>
          <t>TG-004</t>
        </is>
      </c>
      <c r="C17" t="inlineStr">
        <is>
          <t>Feb</t>
        </is>
      </c>
      <c r="D17" t="inlineStr">
        <is>
          <t>Kitchen</t>
        </is>
      </c>
      <c r="E17" t="inlineStr">
        <is>
          <t>Retail</t>
        </is>
      </c>
      <c r="F17" t="inlineStr">
        <is>
          <t>North</t>
        </is>
      </c>
      <c r="G17" t="inlineStr">
        <is>
          <t>Complete</t>
        </is>
      </c>
      <c r="H17" t="n">
        <v>6200</v>
      </c>
    </row>
    <row r="18">
      <c r="A18" t="inlineStr">
        <is>
          <t>Tidal Goods Co.</t>
        </is>
      </c>
      <c r="B18" t="inlineStr">
        <is>
          <t>TG-005</t>
        </is>
      </c>
      <c r="C18" t="inlineStr">
        <is>
          <t>Mar</t>
        </is>
      </c>
      <c r="D18" t="inlineStr">
        <is>
          <t>Outdoor</t>
        </is>
      </c>
      <c r="E18" t="inlineStr">
        <is>
          <t>Retail</t>
        </is>
      </c>
      <c r="F18" t="inlineStr">
        <is>
          <t>South</t>
        </is>
      </c>
      <c r="G18" t="inlineStr">
        <is>
          <t>Complete</t>
        </is>
      </c>
      <c r="H18" t="n">
        <v>7600</v>
      </c>
    </row>
    <row r="19">
      <c r="A19" t="inlineStr">
        <is>
          <t>Tidal Goods Co.</t>
        </is>
      </c>
      <c r="B19" t="inlineStr">
        <is>
          <t>TG-006</t>
        </is>
      </c>
      <c r="C19" t="inlineStr">
        <is>
          <t>Mar</t>
        </is>
      </c>
      <c r="D19" t="inlineStr">
        <is>
          <t>Storage</t>
        </is>
      </c>
      <c r="E19" t="inlineStr">
        <is>
          <t>Retail</t>
        </is>
      </c>
      <c r="F19" t="inlineStr">
        <is>
          <t>North</t>
        </is>
      </c>
      <c r="G19" t="inlineStr">
        <is>
          <t>Pending</t>
        </is>
      </c>
      <c r="H19" t="n">
        <v>4100</v>
      </c>
    </row>
    <row r="20">
      <c r="A20" t="inlineStr">
        <is>
          <t>Harborside Medical Center</t>
        </is>
      </c>
      <c r="B20" t="inlineStr">
        <is>
          <t>HM-001</t>
        </is>
      </c>
      <c r="C20" t="inlineStr">
        <is>
          <t>Jan</t>
        </is>
      </c>
      <c r="D20" t="inlineStr">
        <is>
          <t>Medicare</t>
        </is>
      </c>
      <c r="E20" t="inlineStr">
        <is>
          <t>Billing</t>
        </is>
      </c>
      <c r="F20" t="inlineStr">
        <is>
          <t>North</t>
        </is>
      </c>
      <c r="G20" t="inlineStr">
        <is>
          <t>Open</t>
        </is>
      </c>
      <c r="H20" t="n">
        <v>620</v>
      </c>
    </row>
    <row r="21">
      <c r="A21" t="inlineStr">
        <is>
          <t>Harborside Medical Center</t>
        </is>
      </c>
      <c r="B21" t="inlineStr">
        <is>
          <t>HM-002</t>
        </is>
      </c>
      <c r="C21" t="inlineStr">
        <is>
          <t>Jan</t>
        </is>
      </c>
      <c r="D21" t="inlineStr">
        <is>
          <t>Commercial</t>
        </is>
      </c>
      <c r="E21" t="inlineStr">
        <is>
          <t>Billing</t>
        </is>
      </c>
      <c r="F21" t="inlineStr">
        <is>
          <t>North</t>
        </is>
      </c>
      <c r="G21" t="inlineStr">
        <is>
          <t>Closed</t>
        </is>
      </c>
      <c r="H21" t="n">
        <v>240</v>
      </c>
    </row>
    <row r="22">
      <c r="A22" t="inlineStr">
        <is>
          <t>Harborside Medical Center</t>
        </is>
      </c>
      <c r="B22" t="inlineStr">
        <is>
          <t>HM-003</t>
        </is>
      </c>
      <c r="C22" t="inlineStr">
        <is>
          <t>Feb</t>
        </is>
      </c>
      <c r="D22" t="inlineStr">
        <is>
          <t>Medicaid</t>
        </is>
      </c>
      <c r="E22" t="inlineStr">
        <is>
          <t>Billing</t>
        </is>
      </c>
      <c r="F22" t="inlineStr">
        <is>
          <t>South</t>
        </is>
      </c>
      <c r="G22" t="inlineStr">
        <is>
          <t>Open</t>
        </is>
      </c>
      <c r="H22" t="n">
        <v>780</v>
      </c>
    </row>
    <row r="23">
      <c r="A23" t="inlineStr">
        <is>
          <t>Harborside Medical Center</t>
        </is>
      </c>
      <c r="B23" t="inlineStr">
        <is>
          <t>HM-004</t>
        </is>
      </c>
      <c r="C23" t="inlineStr">
        <is>
          <t>Feb</t>
        </is>
      </c>
      <c r="D23" t="inlineStr">
        <is>
          <t>Medicare</t>
        </is>
      </c>
      <c r="E23" t="inlineStr">
        <is>
          <t>Billing</t>
        </is>
      </c>
      <c r="F23" t="inlineStr">
        <is>
          <t>South</t>
        </is>
      </c>
      <c r="G23" t="inlineStr">
        <is>
          <t>Closed</t>
        </is>
      </c>
      <c r="H23" t="n">
        <v>510</v>
      </c>
    </row>
    <row r="24">
      <c r="A24" t="inlineStr">
        <is>
          <t>Harborside Medical Center</t>
        </is>
      </c>
      <c r="B24" t="inlineStr">
        <is>
          <t>HM-005</t>
        </is>
      </c>
      <c r="C24" t="inlineStr">
        <is>
          <t>Mar</t>
        </is>
      </c>
      <c r="D24" t="inlineStr">
        <is>
          <t>Commercial</t>
        </is>
      </c>
      <c r="E24" t="inlineStr">
        <is>
          <t>Billing</t>
        </is>
      </c>
      <c r="F24" t="inlineStr">
        <is>
          <t>North</t>
        </is>
      </c>
      <c r="G24" t="inlineStr">
        <is>
          <t>Open</t>
        </is>
      </c>
      <c r="H24" t="n">
        <v>940</v>
      </c>
    </row>
    <row r="25">
      <c r="A25" t="inlineStr">
        <is>
          <t>Harborside Medical Center</t>
        </is>
      </c>
      <c r="B25" t="inlineStr">
        <is>
          <t>HM-006</t>
        </is>
      </c>
      <c r="C25" t="inlineStr">
        <is>
          <t>Mar</t>
        </is>
      </c>
      <c r="D25" t="inlineStr">
        <is>
          <t>Medicare</t>
        </is>
      </c>
      <c r="E25" t="inlineStr">
        <is>
          <t>Billing</t>
        </is>
      </c>
      <c r="F25" t="inlineStr">
        <is>
          <t>North</t>
        </is>
      </c>
      <c r="G25" t="inlineStr">
        <is>
          <t>Open</t>
        </is>
      </c>
      <c r="H25" t="n">
        <v>450</v>
      </c>
    </row>
    <row r="26">
      <c r="A26" t="inlineStr">
        <is>
          <t>Meridian Advisory Group</t>
        </is>
      </c>
      <c r="B26" t="inlineStr">
        <is>
          <t>MA-001</t>
        </is>
      </c>
      <c r="C26" t="inlineStr">
        <is>
          <t>Jan</t>
        </is>
      </c>
      <c r="D26" t="inlineStr">
        <is>
          <t>Payroll</t>
        </is>
      </c>
      <c r="E26" t="inlineStr">
        <is>
          <t>Advisory</t>
        </is>
      </c>
      <c r="F26" t="inlineStr">
        <is>
          <t>North</t>
        </is>
      </c>
      <c r="G26" t="inlineStr">
        <is>
          <t>Complete</t>
        </is>
      </c>
      <c r="H26" t="n">
        <v>4800</v>
      </c>
    </row>
    <row r="27">
      <c r="A27" t="inlineStr">
        <is>
          <t>Meridian Advisory Group</t>
        </is>
      </c>
      <c r="B27" t="inlineStr">
        <is>
          <t>MA-002</t>
        </is>
      </c>
      <c r="C27" t="inlineStr">
        <is>
          <t>Jan</t>
        </is>
      </c>
      <c r="D27" t="inlineStr">
        <is>
          <t>Payroll</t>
        </is>
      </c>
      <c r="E27" t="inlineStr">
        <is>
          <t>Advisory</t>
        </is>
      </c>
      <c r="F27" t="inlineStr">
        <is>
          <t>South</t>
        </is>
      </c>
      <c r="G27" t="inlineStr">
        <is>
          <t>Complete</t>
        </is>
      </c>
      <c r="H27" t="n">
        <v>5200</v>
      </c>
    </row>
    <row r="28">
      <c r="A28" t="inlineStr">
        <is>
          <t>Meridian Advisory Group</t>
        </is>
      </c>
      <c r="B28" t="inlineStr">
        <is>
          <t>MA-003</t>
        </is>
      </c>
      <c r="C28" t="inlineStr">
        <is>
          <t>Feb</t>
        </is>
      </c>
      <c r="D28" t="inlineStr">
        <is>
          <t>Benefits</t>
        </is>
      </c>
      <c r="E28" t="inlineStr">
        <is>
          <t>Advisory</t>
        </is>
      </c>
      <c r="F28" t="inlineStr">
        <is>
          <t>North</t>
        </is>
      </c>
      <c r="G28" t="inlineStr">
        <is>
          <t>Pending</t>
        </is>
      </c>
      <c r="H28" t="n">
        <v>3100</v>
      </c>
    </row>
    <row r="29">
      <c r="A29" t="inlineStr">
        <is>
          <t>Meridian Advisory Group</t>
        </is>
      </c>
      <c r="B29" t="inlineStr">
        <is>
          <t>MA-004</t>
        </is>
      </c>
      <c r="C29" t="inlineStr">
        <is>
          <t>Feb</t>
        </is>
      </c>
      <c r="D29" t="inlineStr">
        <is>
          <t>Payroll</t>
        </is>
      </c>
      <c r="E29" t="inlineStr">
        <is>
          <t>Advisory</t>
        </is>
      </c>
      <c r="F29" t="inlineStr">
        <is>
          <t>South</t>
        </is>
      </c>
      <c r="G29" t="inlineStr">
        <is>
          <t>Complete</t>
        </is>
      </c>
      <c r="H29" t="n">
        <v>6100</v>
      </c>
    </row>
    <row r="30">
      <c r="A30" t="inlineStr">
        <is>
          <t>Meridian Advisory Group</t>
        </is>
      </c>
      <c r="B30" t="inlineStr">
        <is>
          <t>MA-005</t>
        </is>
      </c>
      <c r="C30" t="inlineStr">
        <is>
          <t>Mar</t>
        </is>
      </c>
      <c r="D30" t="inlineStr">
        <is>
          <t>Tax</t>
        </is>
      </c>
      <c r="E30" t="inlineStr">
        <is>
          <t>Advisory</t>
        </is>
      </c>
      <c r="F30" t="inlineStr">
        <is>
          <t>North</t>
        </is>
      </c>
      <c r="G30" t="inlineStr">
        <is>
          <t>Complete</t>
        </is>
      </c>
      <c r="H30" t="n">
        <v>7300</v>
      </c>
    </row>
    <row r="31">
      <c r="A31" t="inlineStr">
        <is>
          <t>Meridian Advisory Group</t>
        </is>
      </c>
      <c r="B31" t="inlineStr">
        <is>
          <t>MA-006</t>
        </is>
      </c>
      <c r="C31" t="inlineStr">
        <is>
          <t>Mar</t>
        </is>
      </c>
      <c r="D31" t="inlineStr">
        <is>
          <t>Benefits</t>
        </is>
      </c>
      <c r="E31" t="inlineStr">
        <is>
          <t>Advisory</t>
        </is>
      </c>
      <c r="F31" t="inlineStr">
        <is>
          <t>South</t>
        </is>
      </c>
      <c r="G31" t="inlineStr">
        <is>
          <t>Pending</t>
        </is>
      </c>
      <c r="H31" t="n">
        <v>2800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4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44" customWidth="1" min="12" max="12"/>
  </cols>
  <sheetData>
    <row r="1" ht="28" customHeight="1">
      <c r="A1" s="23" t="inlineStr">
        <is>
          <t>EXCEL-M03-L01 - Live You Try It</t>
        </is>
      </c>
    </row>
    <row r="2" ht="24" customHeight="1">
      <c r="A2" s="24" t="inlineStr">
        <is>
          <t>Self-graded Excel pauses. Enter slide givens into yellow cells first, then build formulas using cell references.</t>
        </is>
      </c>
    </row>
    <row r="4">
      <c r="A4" s="25" t="inlineStr">
        <is>
          <t>Practice Rows</t>
        </is>
      </c>
    </row>
    <row r="6">
      <c r="A6" s="26" t="inlineStr">
        <is>
          <t>Pause</t>
        </is>
      </c>
      <c r="B6" s="26" t="inlineStr">
        <is>
          <t>Slide</t>
        </is>
      </c>
      <c r="C6" s="26" t="inlineStr">
        <is>
          <t>Build This</t>
        </is>
      </c>
      <c r="D6" s="26" t="inlineStr">
        <is>
          <t>Input 1</t>
        </is>
      </c>
      <c r="E6" s="26" t="inlineStr">
        <is>
          <t>Input 2</t>
        </is>
      </c>
      <c r="F6" s="26" t="inlineStr">
        <is>
          <t>Input 3</t>
        </is>
      </c>
      <c r="G6" s="26" t="inlineStr">
        <is>
          <t>Input 4</t>
        </is>
      </c>
      <c r="H6" s="26" t="inlineStr">
        <is>
          <t>Input 5</t>
        </is>
      </c>
      <c r="I6" s="26" t="inlineStr">
        <is>
          <t>Input 6</t>
        </is>
      </c>
      <c r="J6" s="26" t="inlineStr">
        <is>
          <t>Your Formula / Answer</t>
        </is>
      </c>
      <c r="K6" s="26" t="inlineStr">
        <is>
          <t>Formula Hint</t>
        </is>
      </c>
      <c r="L6" s="26" t="inlineStr">
        <is>
          <t>Feedback</t>
        </is>
      </c>
    </row>
    <row r="7" ht="48" customHeight="1">
      <c r="A7" s="27" t="inlineStr">
        <is>
          <t>SUM</t>
        </is>
      </c>
      <c r="B7" s="27" t="inlineStr">
        <is>
          <t>14</t>
        </is>
      </c>
      <c r="C7" s="27" t="inlineStr">
        <is>
          <t>Use the six visible Anchor &amp; Oak monthly revenues to total Jan-Jun revenue.</t>
        </is>
      </c>
      <c r="D7" s="28" t="n"/>
      <c r="E7" s="28" t="n"/>
      <c r="F7" s="28" t="n"/>
      <c r="G7" s="28" t="n"/>
      <c r="H7" s="28" t="n"/>
      <c r="I7" s="28" t="n"/>
      <c r="J7" s="29" t="n"/>
      <c r="K7" s="30" t="inlineStr">
        <is>
          <t>Reference all six yellow revenue cells with SUM.</t>
        </is>
      </c>
      <c r="L7" s="31">
        <f>IF(J7="","Enter the SUM formula.",IF(ABS(J7-251700)&lt;0.01,"Correct - Jan-Jun revenue totals 251,700.","Check that all six slide values are included."))</f>
        <v/>
      </c>
    </row>
    <row r="8" ht="48" customHeight="1">
      <c r="A8" s="27" t="inlineStr">
        <is>
          <t>SUMIFS</t>
        </is>
      </c>
      <c r="B8" s="27" t="inlineStr">
        <is>
          <t>23</t>
        </is>
      </c>
      <c r="C8" s="27" t="inlineStr">
        <is>
          <t>Use the Tidal sales rows to total Kitchen sales in the North region.</t>
        </is>
      </c>
      <c r="D8" s="28" t="n"/>
      <c r="E8" s="28" t="n"/>
      <c r="F8" s="28" t="n"/>
      <c r="G8" s="28" t="n"/>
      <c r="H8" s="28" t="n"/>
      <c r="I8" s="28" t="n"/>
      <c r="J8" s="29" t="n"/>
      <c r="K8" s="30" t="inlineStr">
        <is>
          <t>Kitchen North appears in the first and fourth slide rows.</t>
        </is>
      </c>
      <c r="L8" s="31">
        <f>IF(J8="","Enter a formula.",IF(ABS(J8-14600)&lt;0.01,"Correct - Kitchen North sales total 14,600.","Check which rows are both Kitchen and North."))</f>
        <v/>
      </c>
    </row>
    <row r="9" ht="48" customHeight="1">
      <c r="A9" s="27" t="inlineStr">
        <is>
          <t>XLOOKUP</t>
        </is>
      </c>
      <c r="B9" s="27" t="inlineStr">
        <is>
          <t>26</t>
        </is>
      </c>
      <c r="C9" s="27" t="inlineStr">
        <is>
          <t>Use the employee table to return the name for employee M102.</t>
        </is>
      </c>
      <c r="D9" s="28" t="n"/>
      <c r="E9" s="28" t="n"/>
      <c r="F9" s="28" t="n"/>
      <c r="G9" s="28" t="n"/>
      <c r="H9" s="28" t="n"/>
      <c r="I9" s="28" t="n"/>
      <c r="J9" s="32" t="n"/>
      <c r="K9" s="30" t="inlineStr">
        <is>
          <t>Put IDs in one lookup row and names in the row beside each ID.</t>
        </is>
      </c>
      <c r="L9" s="31">
        <f>IF(J9="","Enter the XLOOKUP formula.",IF(J9="Blake","Correct - M102 returns Blake.","Check the lookup and return ranges."))</f>
        <v/>
      </c>
    </row>
    <row r="10" ht="48" customHeight="1">
      <c r="A10" s="27" t="inlineStr">
        <is>
          <t>SEQUENCE</t>
        </is>
      </c>
      <c r="B10" s="27" t="inlineStr">
        <is>
          <t>32</t>
        </is>
      </c>
      <c r="C10" s="27" t="inlineStr">
        <is>
          <t>Create shift numbers 1 through 12, then total the generated sequence.</t>
        </is>
      </c>
      <c r="D10" s="28" t="n"/>
      <c r="E10" s="28" t="n"/>
      <c r="F10" s="28" t="n"/>
      <c r="G10" s="28" t="n"/>
      <c r="H10" s="28" t="n"/>
      <c r="I10" s="28" t="n"/>
      <c r="J10" s="33" t="n"/>
      <c r="K10" s="30" t="inlineStr">
        <is>
          <t>A sequence from 1 through 12 totals 78.</t>
        </is>
      </c>
      <c r="L10" s="31">
        <f>IF(J10="","Enter a formula using SEQUENCE.",IF(J10=78,"Correct - the 1 to 12 sequence totals 78.","Check the sequence length."))</f>
        <v/>
      </c>
    </row>
    <row r="11" ht="48" customHeight="1">
      <c r="A11" s="27" t="inlineStr">
        <is>
          <t>SUMPRODUCT</t>
        </is>
      </c>
      <c r="B11" s="27" t="inlineStr">
        <is>
          <t>33</t>
        </is>
      </c>
      <c r="C11" s="27" t="inlineStr">
        <is>
          <t>Calculate total inventory value for Tote, Mug, and Apron.</t>
        </is>
      </c>
      <c r="D11" s="28" t="n"/>
      <c r="E11" s="28" t="n"/>
      <c r="F11" s="28" t="n"/>
      <c r="G11" s="28" t="n"/>
      <c r="H11" s="28" t="n"/>
      <c r="I11" s="28" t="n"/>
      <c r="J11" s="29" t="n"/>
      <c r="K11" s="30" t="inlineStr">
        <is>
          <t>Multiply quantity by cost for each item, then add the products.</t>
        </is>
      </c>
      <c r="L11" s="31">
        <f>IF(J11="","Enter the SUMPRODUCT-style formula.",IF(ABS(J11-939)&lt;0.01,"Correct - total inventory value is 939.","Check each quantity times cost pair."))</f>
        <v/>
      </c>
    </row>
    <row r="12" ht="48" customHeight="1">
      <c r="A12" s="27" t="inlineStr">
        <is>
          <t>ROUND</t>
        </is>
      </c>
      <c r="B12" s="27" t="inlineStr">
        <is>
          <t>34</t>
        </is>
      </c>
      <c r="C12" s="27" t="inlineStr">
        <is>
          <t>Round the messy report number to two decimal places.</t>
        </is>
      </c>
      <c r="D12" s="28" t="n"/>
      <c r="E12" s="28" t="n"/>
      <c r="F12" s="28" t="n"/>
      <c r="G12" s="28" t="n"/>
      <c r="H12" s="28" t="n"/>
      <c r="I12" s="28" t="n"/>
      <c r="J12" s="34" t="n"/>
      <c r="K12" s="30" t="inlineStr">
        <is>
          <t>ROUND needs the number first and digits second.</t>
        </is>
      </c>
      <c r="L12" s="31">
        <f>IF(J12="","Enter the ROUND formula.",IF(ABS(J12-13.75)&lt;0.001,"Correct - the rounded value is 13.75.","Check the digits argument."))</f>
        <v/>
      </c>
    </row>
    <row r="15">
      <c r="A15" s="35" t="inlineStr">
        <is>
          <t>Self-check score</t>
        </is>
      </c>
      <c r="B15" s="36">
        <f>COUNTIF(L7:L12,"Correct*")&amp;" of 6 complete"</f>
        <v/>
      </c>
    </row>
    <row r="17">
      <c r="A17" t="inlineStr">
        <is>
          <t>Reminder</t>
        </is>
      </c>
      <c r="B17" s="37" t="inlineStr">
        <is>
          <t>This tab is self-graded practice only. The private rubric does not grade Live You Try It.</t>
        </is>
      </c>
    </row>
    <row r="18"/>
  </sheetData>
  <mergeCells count="3">
    <mergeCell ref="B17:L18"/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Anchor &amp; Oak Events - Core Summary Functions</t>
        </is>
      </c>
    </row>
    <row r="3">
      <c r="A3" t="inlineStr">
        <is>
          <t>Month</t>
        </is>
      </c>
      <c r="B3" t="inlineStr">
        <is>
          <t>Revenue</t>
        </is>
      </c>
      <c r="C3" t="inlineStr">
        <is>
          <t>SUM Running Total</t>
        </is>
      </c>
      <c r="D3" t="inlineStr">
        <is>
          <t>Average Check</t>
        </is>
      </c>
      <c r="E3" t="inlineStr">
        <is>
          <t>Status</t>
        </is>
      </c>
      <c r="F3" t="inlineStr">
        <is>
          <t>Student Formula Notes</t>
        </is>
      </c>
      <c r="H3" t="inlineStr">
        <is>
          <t>Task</t>
        </is>
      </c>
      <c r="I3" t="inlineStr">
        <is>
          <t>Student Formula Cell</t>
        </is>
      </c>
      <c r="J3" t="inlineStr">
        <is>
          <t>Expected Skill</t>
        </is>
      </c>
    </row>
    <row r="4">
      <c r="A4" t="inlineStr">
        <is>
          <t>Jan</t>
        </is>
      </c>
      <c r="B4" t="n">
        <v>35700</v>
      </c>
      <c r="H4" t="inlineStr">
        <is>
          <t>Annual revenue total</t>
        </is>
      </c>
      <c r="I4" t="inlineStr">
        <is>
          <t>B18</t>
        </is>
      </c>
      <c r="J4" t="inlineStr">
        <is>
          <t>SUM</t>
        </is>
      </c>
    </row>
    <row r="5">
      <c r="A5" t="inlineStr">
        <is>
          <t>Feb</t>
        </is>
      </c>
      <c r="B5" t="n">
        <v>21400</v>
      </c>
      <c r="H5" t="inlineStr">
        <is>
          <t>Average monthly revenue</t>
        </is>
      </c>
      <c r="I5" t="inlineStr">
        <is>
          <t>B19</t>
        </is>
      </c>
      <c r="J5" t="inlineStr">
        <is>
          <t>AVERAGE</t>
        </is>
      </c>
    </row>
    <row r="6">
      <c r="A6" t="inlineStr">
        <is>
          <t>Mar</t>
        </is>
      </c>
      <c r="B6" t="n">
        <v>29500</v>
      </c>
      <c r="H6" t="inlineStr">
        <is>
          <t>Best month revenue</t>
        </is>
      </c>
      <c r="I6" t="inlineStr">
        <is>
          <t>B20</t>
        </is>
      </c>
      <c r="J6" t="inlineStr">
        <is>
          <t>MAX</t>
        </is>
      </c>
    </row>
    <row r="7">
      <c r="A7" t="inlineStr">
        <is>
          <t>Apr</t>
        </is>
      </c>
      <c r="B7" t="n">
        <v>43300</v>
      </c>
      <c r="H7" t="inlineStr">
        <is>
          <t>Slowest month revenue</t>
        </is>
      </c>
      <c r="I7" t="inlineStr">
        <is>
          <t>B21</t>
        </is>
      </c>
      <c r="J7" t="inlineStr">
        <is>
          <t>MIN</t>
        </is>
      </c>
    </row>
    <row r="8">
      <c r="A8" t="inlineStr">
        <is>
          <t>May</t>
        </is>
      </c>
      <c r="B8" t="n">
        <v>54600</v>
      </c>
      <c r="H8" t="inlineStr">
        <is>
          <t>Number of numeric months</t>
        </is>
      </c>
      <c r="I8" t="inlineStr">
        <is>
          <t>B22</t>
        </is>
      </c>
      <c r="J8" t="inlineStr">
        <is>
          <t>COUNT</t>
        </is>
      </c>
    </row>
    <row r="9">
      <c r="A9" t="inlineStr">
        <is>
          <t>Jun</t>
        </is>
      </c>
      <c r="B9" t="n">
        <v>67200</v>
      </c>
      <c r="H9" t="inlineStr">
        <is>
          <t>Number of month labels</t>
        </is>
      </c>
      <c r="I9" t="inlineStr">
        <is>
          <t>B23</t>
        </is>
      </c>
      <c r="J9" t="inlineStr">
        <is>
          <t>COUNTA</t>
        </is>
      </c>
    </row>
    <row r="10">
      <c r="A10" t="inlineStr">
        <is>
          <t>Jul</t>
        </is>
      </c>
      <c r="B10" t="n">
        <v>74500</v>
      </c>
    </row>
    <row r="11">
      <c r="A11" t="inlineStr">
        <is>
          <t>Aug</t>
        </is>
      </c>
      <c r="B11" t="n">
        <v>63800</v>
      </c>
    </row>
    <row r="12">
      <c r="A12" t="inlineStr">
        <is>
          <t>Sep</t>
        </is>
      </c>
      <c r="B12" t="n">
        <v>47200</v>
      </c>
    </row>
    <row r="13">
      <c r="A13" t="inlineStr">
        <is>
          <t>Oct</t>
        </is>
      </c>
      <c r="B13" t="n">
        <v>40400</v>
      </c>
    </row>
    <row r="14">
      <c r="A14" t="inlineStr">
        <is>
          <t>Nov</t>
        </is>
      </c>
      <c r="B14" t="n">
        <v>38600</v>
      </c>
    </row>
    <row r="15">
      <c r="A15" t="inlineStr">
        <is>
          <t>Dec</t>
        </is>
      </c>
      <c r="B15" t="n">
        <v>51200</v>
      </c>
    </row>
    <row r="17">
      <c r="A17" t="inlineStr">
        <is>
          <t>Summary Question</t>
        </is>
      </c>
      <c r="B17" t="inlineStr">
        <is>
          <t>Student Formula</t>
        </is>
      </c>
      <c r="D17" t="inlineStr">
        <is>
          <t>Feedback Check</t>
        </is>
      </c>
      <c r="E17" t="inlineStr">
        <is>
          <t>Result</t>
        </is>
      </c>
    </row>
    <row r="18">
      <c r="A18" t="inlineStr">
        <is>
          <t>Annual revenue total</t>
        </is>
      </c>
      <c r="B18" s="28" t="n"/>
      <c r="D18" t="inlineStr">
        <is>
          <t>SUM check</t>
        </is>
      </c>
      <c r="E18">
        <f>IF(B18="","Enter a formula",IF(ABS(B18-SUM(B4:B15))&lt;0.01,"Looks right","Check SUM range"))</f>
        <v/>
      </c>
    </row>
    <row r="19">
      <c r="A19" t="inlineStr">
        <is>
          <t>Average monthly revenue</t>
        </is>
      </c>
      <c r="B19" s="28" t="n"/>
      <c r="D19" t="inlineStr">
        <is>
          <t>AVERAGE check</t>
        </is>
      </c>
      <c r="E19">
        <f>IF(B19="","Enter a formula",IF(ABS(B19-AVERAGE(B4:B15))&lt;0.01,"Looks right","Check AVERAGE range"))</f>
        <v/>
      </c>
    </row>
    <row r="20">
      <c r="A20" t="inlineStr">
        <is>
          <t>Best month revenue</t>
        </is>
      </c>
      <c r="B20" s="28" t="n"/>
      <c r="D20" t="inlineStr">
        <is>
          <t>MAX check</t>
        </is>
      </c>
      <c r="E20">
        <f>IF(B20="","Enter a formula",IF(ABS(B20-MAX(B4:B15))&lt;0.01,"Looks right","Check MAX range"))</f>
        <v/>
      </c>
    </row>
    <row r="21">
      <c r="A21" t="inlineStr">
        <is>
          <t>Slowest month revenue</t>
        </is>
      </c>
      <c r="B21" s="28" t="n"/>
      <c r="D21" t="inlineStr">
        <is>
          <t>MIN check</t>
        </is>
      </c>
      <c r="E21">
        <f>IF(B21="","Enter a formula",IF(ABS(B21-MIN(B4:B15))&lt;0.01,"Looks right","Check MIN range"))</f>
        <v/>
      </c>
    </row>
    <row r="22">
      <c r="A22" t="inlineStr">
        <is>
          <t>Number of numeric months</t>
        </is>
      </c>
      <c r="B22" s="28" t="n"/>
      <c r="D22" t="inlineStr">
        <is>
          <t>COUNT check</t>
        </is>
      </c>
      <c r="E22">
        <f>IF(B22="","Enter a formula",IF(B22=COUNT(B4:B15),"Looks right","COUNT should count numeric cells"))</f>
        <v/>
      </c>
    </row>
    <row r="23">
      <c r="A23" t="inlineStr">
        <is>
          <t>Number of month labels</t>
        </is>
      </c>
      <c r="B23" s="28" t="n"/>
      <c r="D23" t="inlineStr">
        <is>
          <t>COUNTA check</t>
        </is>
      </c>
      <c r="E23">
        <f>IF(B23="","Enter a formula",IF(B23=COUNTA(A4:A15),"Looks right","COUNTA should count month labels"))</f>
        <v/>
      </c>
    </row>
    <row r="25">
      <c r="A25" t="inlineStr">
        <is>
          <t>Reflection Prompt</t>
        </is>
      </c>
    </row>
    <row r="26">
      <c r="A26" t="inlineStr">
        <is>
          <t>Which summary function best answers: "What is a normal month for Anchor &amp; Oak?"</t>
        </is>
      </c>
    </row>
    <row r="27">
      <c r="A27" t="inlineStr">
        <is>
          <t>Which month would you investigate first if you were managing staffing?</t>
        </is>
      </c>
    </row>
    <row r="28">
      <c r="A28" t="inlineStr">
        <is>
          <t>What formula risk appears if a student includes the header row?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Dynamic Arrays and Spill Practice</t>
        </is>
      </c>
    </row>
    <row r="3">
      <c r="A3" t="inlineStr">
        <is>
          <t>Company</t>
        </is>
      </c>
      <c r="B3" t="inlineStr">
        <is>
          <t>Record ID</t>
        </is>
      </c>
      <c r="C3" t="inlineStr">
        <is>
          <t>Month</t>
        </is>
      </c>
      <c r="D3" t="inlineStr">
        <is>
          <t>Category</t>
        </is>
      </c>
      <c r="E3" t="inlineStr">
        <is>
          <t>Region</t>
        </is>
      </c>
      <c r="F3" t="inlineStr">
        <is>
          <t>Amount</t>
        </is>
      </c>
      <c r="H3" t="inlineStr">
        <is>
          <t>Task</t>
        </is>
      </c>
      <c r="I3" t="inlineStr">
        <is>
          <t>Anchor Cell</t>
        </is>
      </c>
      <c r="J3" t="inlineStr">
        <is>
          <t>Formula Goal</t>
        </is>
      </c>
      <c r="K3" t="inlineStr">
        <is>
          <t>Student Notes</t>
        </is>
      </c>
    </row>
    <row r="4">
      <c r="A4" t="inlineStr">
        <is>
          <t>Anchor &amp; Oak Events</t>
        </is>
      </c>
      <c r="B4" t="inlineStr">
        <is>
          <t>AO-001</t>
        </is>
      </c>
      <c r="C4" t="inlineStr">
        <is>
          <t>Jan</t>
        </is>
      </c>
      <c r="D4" t="inlineStr">
        <is>
          <t>Wedding</t>
        </is>
      </c>
      <c r="E4" t="inlineStr">
        <is>
          <t>North</t>
        </is>
      </c>
      <c r="F4" t="n">
        <v>35700</v>
      </c>
      <c r="H4" t="inlineStr">
        <is>
          <t>Unique company list</t>
        </is>
      </c>
      <c r="I4" t="inlineStr">
        <is>
          <t>H16</t>
        </is>
      </c>
      <c r="J4" t="inlineStr">
        <is>
          <t>Use UNIQUE on Company column</t>
        </is>
      </c>
    </row>
    <row r="5">
      <c r="A5" t="inlineStr">
        <is>
          <t>Anchor &amp; Oak Events</t>
        </is>
      </c>
      <c r="B5" t="inlineStr">
        <is>
          <t>AO-002</t>
        </is>
      </c>
      <c r="C5" t="inlineStr">
        <is>
          <t>Feb</t>
        </is>
      </c>
      <c r="D5" t="inlineStr">
        <is>
          <t>Corporate</t>
        </is>
      </c>
      <c r="E5" t="inlineStr">
        <is>
          <t>North</t>
        </is>
      </c>
      <c r="F5" t="n">
        <v>21400</v>
      </c>
      <c r="H5" t="inlineStr">
        <is>
          <t>Sorted category list</t>
        </is>
      </c>
      <c r="I5" t="inlineStr">
        <is>
          <t>H23</t>
        </is>
      </c>
      <c r="J5" t="inlineStr">
        <is>
          <t>Use SORT and UNIQUE on Category column</t>
        </is>
      </c>
    </row>
    <row r="6">
      <c r="A6" t="inlineStr">
        <is>
          <t>Anchor &amp; Oak Events</t>
        </is>
      </c>
      <c r="B6" t="inlineStr">
        <is>
          <t>AO-003</t>
        </is>
      </c>
      <c r="C6" t="inlineStr">
        <is>
          <t>Mar</t>
        </is>
      </c>
      <c r="D6" t="inlineStr">
        <is>
          <t>Private</t>
        </is>
      </c>
      <c r="E6" t="inlineStr">
        <is>
          <t>South</t>
        </is>
      </c>
      <c r="F6" t="n">
        <v>29500</v>
      </c>
      <c r="H6" t="inlineStr">
        <is>
          <t>Filter high balances</t>
        </is>
      </c>
      <c r="I6" t="inlineStr">
        <is>
          <t>H32</t>
        </is>
      </c>
      <c r="J6" t="inlineStr">
        <is>
          <t>Use FILTER for Harborside amounts above 500</t>
        </is>
      </c>
    </row>
    <row r="7">
      <c r="A7" t="inlineStr">
        <is>
          <t>Anchor &amp; Oak Events</t>
        </is>
      </c>
      <c r="B7" t="inlineStr">
        <is>
          <t>AO-004</t>
        </is>
      </c>
      <c r="C7" t="inlineStr">
        <is>
          <t>Apr</t>
        </is>
      </c>
      <c r="D7" t="inlineStr">
        <is>
          <t>Wedding</t>
        </is>
      </c>
      <c r="E7" t="inlineStr">
        <is>
          <t>South</t>
        </is>
      </c>
      <c r="F7" t="n">
        <v>43300</v>
      </c>
      <c r="H7" t="inlineStr">
        <is>
          <t>Generate month numbers</t>
        </is>
      </c>
      <c r="I7" t="inlineStr">
        <is>
          <t>H43</t>
        </is>
      </c>
      <c r="J7" t="inlineStr">
        <is>
          <t>Use SEQUENCE for 12 months</t>
        </is>
      </c>
    </row>
    <row r="8">
      <c r="A8" t="inlineStr">
        <is>
          <t>Anchor &amp; Oak Events</t>
        </is>
      </c>
      <c r="B8" t="inlineStr">
        <is>
          <t>AO-005</t>
        </is>
      </c>
      <c r="C8" t="inlineStr">
        <is>
          <t>May</t>
        </is>
      </c>
      <c r="D8" t="inlineStr">
        <is>
          <t>Corporate</t>
        </is>
      </c>
      <c r="E8" t="inlineStr">
        <is>
          <t>North</t>
        </is>
      </c>
      <c r="F8" t="n">
        <v>54600</v>
      </c>
      <c r="H8" t="inlineStr">
        <is>
          <t>Reference a spill</t>
        </is>
      </c>
      <c r="I8" t="inlineStr">
        <is>
          <t>J16</t>
        </is>
      </c>
      <c r="J8" t="inlineStr">
        <is>
          <t>Use H16# in another formula or note</t>
        </is>
      </c>
    </row>
    <row r="9">
      <c r="A9" t="inlineStr">
        <is>
          <t>Anchor &amp; Oak Events</t>
        </is>
      </c>
      <c r="B9" t="inlineStr">
        <is>
          <t>AO-006</t>
        </is>
      </c>
      <c r="C9" t="inlineStr">
        <is>
          <t>Jun</t>
        </is>
      </c>
      <c r="D9" t="inlineStr">
        <is>
          <t>Wedding</t>
        </is>
      </c>
      <c r="E9" t="inlineStr">
        <is>
          <t>North</t>
        </is>
      </c>
      <c r="F9" t="n">
        <v>67200</v>
      </c>
    </row>
    <row r="10">
      <c r="A10" t="inlineStr">
        <is>
          <t>Anchor &amp; Oak Events</t>
        </is>
      </c>
      <c r="B10" t="inlineStr">
        <is>
          <t>AO-007</t>
        </is>
      </c>
      <c r="C10" t="inlineStr">
        <is>
          <t>Jul</t>
        </is>
      </c>
      <c r="D10" t="inlineStr">
        <is>
          <t>Wedding</t>
        </is>
      </c>
      <c r="E10" t="inlineStr">
        <is>
          <t>South</t>
        </is>
      </c>
      <c r="F10" t="n">
        <v>74500</v>
      </c>
      <c r="H10" t="inlineStr">
        <is>
          <t>Reminder</t>
        </is>
      </c>
      <c r="I10" t="inlineStr">
        <is>
          <t>Spill ranges need empty cells below/right.</t>
        </is>
      </c>
    </row>
    <row r="11">
      <c r="A11" t="inlineStr">
        <is>
          <t>Anchor &amp; Oak Events</t>
        </is>
      </c>
      <c r="B11" t="inlineStr">
        <is>
          <t>AO-008</t>
        </is>
      </c>
      <c r="C11" t="inlineStr">
        <is>
          <t>Aug</t>
        </is>
      </c>
      <c r="D11" t="inlineStr">
        <is>
          <t>Private</t>
        </is>
      </c>
      <c r="E11" t="inlineStr">
        <is>
          <t>South</t>
        </is>
      </c>
      <c r="F11" t="n">
        <v>63800</v>
      </c>
      <c r="H11" t="inlineStr">
        <is>
          <t>Hash sign</t>
        </is>
      </c>
      <c r="I11" t="inlineStr">
        <is>
          <t>Use the first spill cell plus #, such as H16#.</t>
        </is>
      </c>
    </row>
    <row r="12">
      <c r="A12" t="inlineStr">
        <is>
          <t>Anchor &amp; Oak Events</t>
        </is>
      </c>
      <c r="B12" t="inlineStr">
        <is>
          <t>AO-009</t>
        </is>
      </c>
      <c r="C12" t="inlineStr">
        <is>
          <t>Sep</t>
        </is>
      </c>
      <c r="D12" t="inlineStr">
        <is>
          <t>Corporate</t>
        </is>
      </c>
      <c r="E12" t="inlineStr">
        <is>
          <t>North</t>
        </is>
      </c>
      <c r="F12" t="n">
        <v>47200</v>
      </c>
      <c r="H12" t="inlineStr">
        <is>
          <t>If you get #SPILL!</t>
        </is>
      </c>
      <c r="I12" t="inlineStr">
        <is>
          <t>Look for blocked cells in the output area.</t>
        </is>
      </c>
    </row>
    <row r="13">
      <c r="A13" t="inlineStr">
        <is>
          <t>Anchor &amp; Oak Events</t>
        </is>
      </c>
      <c r="B13" t="inlineStr">
        <is>
          <t>AO-010</t>
        </is>
      </c>
      <c r="C13" t="inlineStr">
        <is>
          <t>Oct</t>
        </is>
      </c>
      <c r="D13" t="inlineStr">
        <is>
          <t>Private</t>
        </is>
      </c>
      <c r="E13" t="inlineStr">
        <is>
          <t>North</t>
        </is>
      </c>
      <c r="F13" t="n">
        <v>40400</v>
      </c>
      <c r="H13" t="inlineStr">
        <is>
          <t>Do not type results manually.</t>
        </is>
      </c>
      <c r="I13" t="inlineStr">
        <is>
          <t>Let Excel spill.</t>
        </is>
      </c>
    </row>
    <row r="14">
      <c r="A14" t="inlineStr">
        <is>
          <t>Anchor &amp; Oak Events</t>
        </is>
      </c>
      <c r="B14" t="inlineStr">
        <is>
          <t>AO-011</t>
        </is>
      </c>
      <c r="C14" t="inlineStr">
        <is>
          <t>Nov</t>
        </is>
      </c>
      <c r="D14" t="inlineStr">
        <is>
          <t>Corporate</t>
        </is>
      </c>
      <c r="E14" t="inlineStr">
        <is>
          <t>South</t>
        </is>
      </c>
      <c r="F14" t="n">
        <v>38600</v>
      </c>
    </row>
    <row r="15">
      <c r="A15" t="inlineStr">
        <is>
          <t>Anchor &amp; Oak Events</t>
        </is>
      </c>
      <c r="B15" t="inlineStr">
        <is>
          <t>AO-012</t>
        </is>
      </c>
      <c r="C15" t="inlineStr">
        <is>
          <t>Dec</t>
        </is>
      </c>
      <c r="D15" t="inlineStr">
        <is>
          <t>Wedding</t>
        </is>
      </c>
      <c r="E15" t="inlineStr">
        <is>
          <t>North</t>
        </is>
      </c>
      <c r="F15" t="n">
        <v>51200</v>
      </c>
      <c r="H15" t="inlineStr">
        <is>
          <t>Unique Companies - type formula in H16</t>
        </is>
      </c>
    </row>
    <row r="16">
      <c r="A16" t="inlineStr">
        <is>
          <t>Tidal Goods Co.</t>
        </is>
      </c>
      <c r="B16" t="inlineStr">
        <is>
          <t>TG-001</t>
        </is>
      </c>
      <c r="C16" t="inlineStr">
        <is>
          <t>Jan</t>
        </is>
      </c>
      <c r="D16" t="inlineStr">
        <is>
          <t>Kitchen</t>
        </is>
      </c>
      <c r="E16" t="inlineStr">
        <is>
          <t>North</t>
        </is>
      </c>
      <c r="F16" t="n">
        <v>8400</v>
      </c>
      <c r="H16" s="28" t="n"/>
    </row>
    <row r="17">
      <c r="A17" t="inlineStr">
        <is>
          <t>Tidal Goods Co.</t>
        </is>
      </c>
      <c r="B17" t="inlineStr">
        <is>
          <t>TG-002</t>
        </is>
      </c>
      <c r="C17" t="inlineStr">
        <is>
          <t>Jan</t>
        </is>
      </c>
      <c r="D17" t="inlineStr">
        <is>
          <t>Storage</t>
        </is>
      </c>
      <c r="E17" t="inlineStr">
        <is>
          <t>North</t>
        </is>
      </c>
      <c r="F17" t="n">
        <v>5100</v>
      </c>
      <c r="H17" s="28" t="n"/>
    </row>
    <row r="18">
      <c r="A18" t="inlineStr">
        <is>
          <t>Tidal Goods Co.</t>
        </is>
      </c>
      <c r="B18" t="inlineStr">
        <is>
          <t>TG-003</t>
        </is>
      </c>
      <c r="C18" t="inlineStr">
        <is>
          <t>Feb</t>
        </is>
      </c>
      <c r="D18" t="inlineStr">
        <is>
          <t>Kitchen</t>
        </is>
      </c>
      <c r="E18" t="inlineStr">
        <is>
          <t>South</t>
        </is>
      </c>
      <c r="F18" t="n">
        <v>3900</v>
      </c>
      <c r="H18" s="28" t="n"/>
    </row>
    <row r="19">
      <c r="A19" t="inlineStr">
        <is>
          <t>Tidal Goods Co.</t>
        </is>
      </c>
      <c r="B19" t="inlineStr">
        <is>
          <t>TG-004</t>
        </is>
      </c>
      <c r="C19" t="inlineStr">
        <is>
          <t>Feb</t>
        </is>
      </c>
      <c r="D19" t="inlineStr">
        <is>
          <t>Kitchen</t>
        </is>
      </c>
      <c r="E19" t="inlineStr">
        <is>
          <t>North</t>
        </is>
      </c>
      <c r="F19" t="n">
        <v>6200</v>
      </c>
      <c r="H19" s="28" t="n"/>
    </row>
    <row r="20">
      <c r="A20" t="inlineStr">
        <is>
          <t>Tidal Goods Co.</t>
        </is>
      </c>
      <c r="B20" t="inlineStr">
        <is>
          <t>TG-005</t>
        </is>
      </c>
      <c r="C20" t="inlineStr">
        <is>
          <t>Mar</t>
        </is>
      </c>
      <c r="D20" t="inlineStr">
        <is>
          <t>Outdoor</t>
        </is>
      </c>
      <c r="E20" t="inlineStr">
        <is>
          <t>South</t>
        </is>
      </c>
      <c r="F20" t="n">
        <v>7600</v>
      </c>
      <c r="H20" s="28" t="n"/>
    </row>
    <row r="21">
      <c r="A21" t="inlineStr">
        <is>
          <t>Tidal Goods Co.</t>
        </is>
      </c>
      <c r="B21" t="inlineStr">
        <is>
          <t>TG-006</t>
        </is>
      </c>
      <c r="C21" t="inlineStr">
        <is>
          <t>Mar</t>
        </is>
      </c>
      <c r="D21" t="inlineStr">
        <is>
          <t>Storage</t>
        </is>
      </c>
      <c r="E21" t="inlineStr">
        <is>
          <t>North</t>
        </is>
      </c>
      <c r="F21" t="n">
        <v>4100</v>
      </c>
      <c r="H21" s="28" t="n"/>
    </row>
    <row r="22">
      <c r="A22" t="inlineStr">
        <is>
          <t>Harborside Medical Center</t>
        </is>
      </c>
      <c r="B22" t="inlineStr">
        <is>
          <t>HM-001</t>
        </is>
      </c>
      <c r="C22" t="inlineStr">
        <is>
          <t>Jan</t>
        </is>
      </c>
      <c r="D22" t="inlineStr">
        <is>
          <t>Medicare</t>
        </is>
      </c>
      <c r="E22" t="inlineStr">
        <is>
          <t>North</t>
        </is>
      </c>
      <c r="F22" t="n">
        <v>620</v>
      </c>
      <c r="H22" t="inlineStr">
        <is>
          <t>Sorted Categories - type formula in H23</t>
        </is>
      </c>
    </row>
    <row r="23">
      <c r="A23" t="inlineStr">
        <is>
          <t>Harborside Medical Center</t>
        </is>
      </c>
      <c r="B23" t="inlineStr">
        <is>
          <t>HM-002</t>
        </is>
      </c>
      <c r="C23" t="inlineStr">
        <is>
          <t>Jan</t>
        </is>
      </c>
      <c r="D23" t="inlineStr">
        <is>
          <t>Commercial</t>
        </is>
      </c>
      <c r="E23" t="inlineStr">
        <is>
          <t>North</t>
        </is>
      </c>
      <c r="F23" t="n">
        <v>240</v>
      </c>
      <c r="H23" s="28" t="n"/>
    </row>
    <row r="24">
      <c r="A24" t="inlineStr">
        <is>
          <t>Harborside Medical Center</t>
        </is>
      </c>
      <c r="B24" t="inlineStr">
        <is>
          <t>HM-003</t>
        </is>
      </c>
      <c r="C24" t="inlineStr">
        <is>
          <t>Feb</t>
        </is>
      </c>
      <c r="D24" t="inlineStr">
        <is>
          <t>Medicaid</t>
        </is>
      </c>
      <c r="E24" t="inlineStr">
        <is>
          <t>South</t>
        </is>
      </c>
      <c r="F24" t="n">
        <v>780</v>
      </c>
      <c r="H24" s="28" t="n"/>
    </row>
    <row r="25">
      <c r="A25" t="inlineStr">
        <is>
          <t>Harborside Medical Center</t>
        </is>
      </c>
      <c r="B25" t="inlineStr">
        <is>
          <t>HM-004</t>
        </is>
      </c>
      <c r="C25" t="inlineStr">
        <is>
          <t>Feb</t>
        </is>
      </c>
      <c r="D25" t="inlineStr">
        <is>
          <t>Medicare</t>
        </is>
      </c>
      <c r="E25" t="inlineStr">
        <is>
          <t>South</t>
        </is>
      </c>
      <c r="F25" t="n">
        <v>510</v>
      </c>
      <c r="H25" s="28" t="n"/>
    </row>
    <row r="26">
      <c r="A26" t="inlineStr">
        <is>
          <t>Harborside Medical Center</t>
        </is>
      </c>
      <c r="B26" t="inlineStr">
        <is>
          <t>HM-005</t>
        </is>
      </c>
      <c r="C26" t="inlineStr">
        <is>
          <t>Mar</t>
        </is>
      </c>
      <c r="D26" t="inlineStr">
        <is>
          <t>Commercial</t>
        </is>
      </c>
      <c r="E26" t="inlineStr">
        <is>
          <t>North</t>
        </is>
      </c>
      <c r="F26" t="n">
        <v>940</v>
      </c>
      <c r="H26" s="28" t="n"/>
    </row>
    <row r="27">
      <c r="A27" t="inlineStr">
        <is>
          <t>Harborside Medical Center</t>
        </is>
      </c>
      <c r="B27" t="inlineStr">
        <is>
          <t>HM-006</t>
        </is>
      </c>
      <c r="C27" t="inlineStr">
        <is>
          <t>Mar</t>
        </is>
      </c>
      <c r="D27" t="inlineStr">
        <is>
          <t>Medicare</t>
        </is>
      </c>
      <c r="E27" t="inlineStr">
        <is>
          <t>North</t>
        </is>
      </c>
      <c r="F27" t="n">
        <v>450</v>
      </c>
      <c r="H27" s="28" t="n"/>
    </row>
    <row r="28">
      <c r="A28" t="inlineStr">
        <is>
          <t>Meridian Advisory Group</t>
        </is>
      </c>
      <c r="B28" t="inlineStr">
        <is>
          <t>MA-001</t>
        </is>
      </c>
      <c r="C28" t="inlineStr">
        <is>
          <t>Jan</t>
        </is>
      </c>
      <c r="D28" t="inlineStr">
        <is>
          <t>Payroll</t>
        </is>
      </c>
      <c r="E28" t="inlineStr">
        <is>
          <t>North</t>
        </is>
      </c>
      <c r="F28" t="n">
        <v>4800</v>
      </c>
      <c r="H28" s="28" t="n"/>
    </row>
    <row r="29">
      <c r="A29" t="inlineStr">
        <is>
          <t>Meridian Advisory Group</t>
        </is>
      </c>
      <c r="B29" t="inlineStr">
        <is>
          <t>MA-002</t>
        </is>
      </c>
      <c r="C29" t="inlineStr">
        <is>
          <t>Jan</t>
        </is>
      </c>
      <c r="D29" t="inlineStr">
        <is>
          <t>Payroll</t>
        </is>
      </c>
      <c r="E29" t="inlineStr">
        <is>
          <t>South</t>
        </is>
      </c>
      <c r="F29" t="n">
        <v>5200</v>
      </c>
    </row>
    <row r="30">
      <c r="A30" t="inlineStr">
        <is>
          <t>Meridian Advisory Group</t>
        </is>
      </c>
      <c r="B30" t="inlineStr">
        <is>
          <t>MA-003</t>
        </is>
      </c>
      <c r="C30" t="inlineStr">
        <is>
          <t>Feb</t>
        </is>
      </c>
      <c r="D30" t="inlineStr">
        <is>
          <t>Benefits</t>
        </is>
      </c>
      <c r="E30" t="inlineStr">
        <is>
          <t>North</t>
        </is>
      </c>
      <c r="F30" t="n">
        <v>3100</v>
      </c>
    </row>
    <row r="31">
      <c r="A31" t="inlineStr">
        <is>
          <t>Meridian Advisory Group</t>
        </is>
      </c>
      <c r="B31" t="inlineStr">
        <is>
          <t>MA-004</t>
        </is>
      </c>
      <c r="C31" t="inlineStr">
        <is>
          <t>Feb</t>
        </is>
      </c>
      <c r="D31" t="inlineStr">
        <is>
          <t>Payroll</t>
        </is>
      </c>
      <c r="E31" t="inlineStr">
        <is>
          <t>South</t>
        </is>
      </c>
      <c r="F31" t="n">
        <v>6100</v>
      </c>
      <c r="H31" s="28" t="inlineStr">
        <is>
          <t>Harborside Open Balances Above $500 - type formula in H32</t>
        </is>
      </c>
    </row>
    <row r="32">
      <c r="A32" t="inlineStr">
        <is>
          <t>Meridian Advisory Group</t>
        </is>
      </c>
      <c r="B32" t="inlineStr">
        <is>
          <t>MA-005</t>
        </is>
      </c>
      <c r="C32" t="inlineStr">
        <is>
          <t>Mar</t>
        </is>
      </c>
      <c r="D32" t="inlineStr">
        <is>
          <t>Tax</t>
        </is>
      </c>
      <c r="E32" t="inlineStr">
        <is>
          <t>North</t>
        </is>
      </c>
      <c r="F32" t="n">
        <v>7300</v>
      </c>
      <c r="H32" s="28" t="n"/>
    </row>
    <row r="33">
      <c r="A33" t="inlineStr">
        <is>
          <t>Meridian Advisory Group</t>
        </is>
      </c>
      <c r="B33" t="inlineStr">
        <is>
          <t>MA-006</t>
        </is>
      </c>
      <c r="C33" t="inlineStr">
        <is>
          <t>Mar</t>
        </is>
      </c>
      <c r="D33" t="inlineStr">
        <is>
          <t>Benefits</t>
        </is>
      </c>
      <c r="E33" t="inlineStr">
        <is>
          <t>South</t>
        </is>
      </c>
      <c r="F33" t="n">
        <v>2800</v>
      </c>
      <c r="H33" s="28" t="n"/>
    </row>
    <row r="34">
      <c r="H34" s="28" t="n"/>
    </row>
    <row r="35">
      <c r="H35" s="28" t="n"/>
    </row>
    <row r="36">
      <c r="H36" s="28" t="n"/>
    </row>
    <row r="37">
      <c r="H37" s="28" t="n"/>
    </row>
    <row r="38">
      <c r="H38" s="28" t="n"/>
    </row>
    <row r="39">
      <c r="H39" s="28" t="n"/>
    </row>
    <row r="40">
      <c r="H40" s="28" t="n"/>
    </row>
    <row r="41">
      <c r="H41" s="28" t="n"/>
    </row>
    <row r="42">
      <c r="H42" s="28" t="inlineStr">
        <is>
          <t>Month Numbers - type formula in H43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Reporting Lab - Choose the Function for the Business Question</t>
        </is>
      </c>
    </row>
    <row r="3">
      <c r="A3" t="inlineStr">
        <is>
          <t>Employee ID</t>
        </is>
      </c>
      <c r="B3" t="inlineStr">
        <is>
          <t>Employee Name</t>
        </is>
      </c>
      <c r="C3" t="inlineStr">
        <is>
          <t>Department</t>
        </is>
      </c>
      <c r="D3" t="inlineStr">
        <is>
          <t>Hourly Rate</t>
        </is>
      </c>
      <c r="E3" t="inlineStr">
        <is>
          <t>Hours Worked</t>
        </is>
      </c>
      <c r="G3" t="inlineStr">
        <is>
          <t>Question</t>
        </is>
      </c>
      <c r="H3" t="inlineStr">
        <is>
          <t>Formula Cell</t>
        </is>
      </c>
      <c r="I3" t="inlineStr">
        <is>
          <t>Expected Function</t>
        </is>
      </c>
      <c r="J3" t="inlineStr">
        <is>
          <t>Feedback</t>
        </is>
      </c>
    </row>
    <row r="4">
      <c r="A4" t="inlineStr">
        <is>
          <t>MA-101</t>
        </is>
      </c>
      <c r="B4" t="inlineStr">
        <is>
          <t>Avery Chen</t>
        </is>
      </c>
      <c r="C4" t="inlineStr">
        <is>
          <t>Payroll</t>
        </is>
      </c>
      <c r="D4" t="n">
        <v>32</v>
      </c>
      <c r="E4" t="n">
        <v>38</v>
      </c>
      <c r="G4" t="inlineStr">
        <is>
          <t>Tidal North Kitchen sales</t>
        </is>
      </c>
      <c r="H4" s="32" t="n"/>
      <c r="I4" t="inlineStr">
        <is>
          <t>SUMIFS</t>
        </is>
      </c>
      <c r="J4">
        <f>IF(H4="","Enter formula",IF(ABS(H4-SUMIFS('Raw Data'!H:H,'Raw Data'!D:D,"Kitchen",'Raw Data'!F:F,"North"))&lt;0.01,"Looks right","Check SUMIFS criteria"))</f>
        <v/>
      </c>
    </row>
    <row r="5">
      <c r="A5" t="inlineStr">
        <is>
          <t>MA-102</t>
        </is>
      </c>
      <c r="B5" t="inlineStr">
        <is>
          <t>Blake Ortiz</t>
        </is>
      </c>
      <c r="C5" t="inlineStr">
        <is>
          <t>Benefits</t>
        </is>
      </c>
      <c r="D5" t="n">
        <v>29</v>
      </c>
      <c r="E5" t="n">
        <v>41</v>
      </c>
      <c r="G5" t="inlineStr">
        <is>
          <t>Harborside open records</t>
        </is>
      </c>
      <c r="H5" s="32" t="n"/>
      <c r="I5" t="inlineStr">
        <is>
          <t>COUNTIFS</t>
        </is>
      </c>
      <c r="J5">
        <f>IF(H5="","Enter formula",IF(H5=COUNTIFS('Raw Data'!A:A,"Harborside Medical Center",'Raw Data'!G:G,"Open"),"Looks right","Check COUNTIFS criteria"))</f>
        <v/>
      </c>
    </row>
    <row r="6">
      <c r="A6" t="inlineStr">
        <is>
          <t>MA-103</t>
        </is>
      </c>
      <c r="B6" t="inlineStr">
        <is>
          <t>Casey Patel</t>
        </is>
      </c>
      <c r="C6" t="inlineStr">
        <is>
          <t>Tax</t>
        </is>
      </c>
      <c r="D6" t="n">
        <v>36</v>
      </c>
      <c r="E6" t="n">
        <v>45</v>
      </c>
      <c r="G6" t="inlineStr">
        <is>
          <t>Meridian overtime flag for MA-103</t>
        </is>
      </c>
      <c r="H6" s="32" t="n"/>
      <c r="I6" t="inlineStr">
        <is>
          <t>IF</t>
        </is>
      </c>
      <c r="J6">
        <f>IF(H6="","Enter formula",IF(H6="Overtime","Looks right","IF should flag &gt;40 hours"))</f>
        <v/>
      </c>
    </row>
    <row r="7">
      <c r="A7" t="inlineStr">
        <is>
          <t>MA-104</t>
        </is>
      </c>
      <c r="B7" t="inlineStr">
        <is>
          <t>Devon Reed</t>
        </is>
      </c>
      <c r="C7" t="inlineStr">
        <is>
          <t>Payroll</t>
        </is>
      </c>
      <c r="D7" t="n">
        <v>31</v>
      </c>
      <c r="E7" t="n">
        <v>40</v>
      </c>
      <c r="G7" t="inlineStr">
        <is>
          <t>Last day of current month</t>
        </is>
      </c>
      <c r="H7" s="32" t="n"/>
      <c r="I7" t="inlineStr">
        <is>
          <t>EOMONTH</t>
        </is>
      </c>
      <c r="J7">
        <f>IF(H7="","Enter formula",IF(H7=EOMONTH(TODAY(),0),"Looks right","Use EOMONTH(TODAY(),0)"))</f>
        <v/>
      </c>
    </row>
    <row r="8">
      <c r="A8" t="inlineStr">
        <is>
          <t>MA-105</t>
        </is>
      </c>
      <c r="B8" t="inlineStr">
        <is>
          <t>Emery Silva</t>
        </is>
      </c>
      <c r="C8" t="inlineStr">
        <is>
          <t>Benefits</t>
        </is>
      </c>
      <c r="D8" t="n">
        <v>28</v>
      </c>
      <c r="E8" t="n">
        <v>35</v>
      </c>
      <c r="G8" t="inlineStr">
        <is>
          <t>Text label: Company - Category - Region for first raw row</t>
        </is>
      </c>
      <c r="H8" s="32" t="n"/>
      <c r="I8" t="inlineStr">
        <is>
          <t>TEXTJOIN</t>
        </is>
      </c>
      <c r="J8">
        <f>IF(H8="","Enter formula",IF(H8="Anchor &amp; Oak Events - Wedding - North","Looks right","Check TEXTJOIN delimiter and source cells"))</f>
        <v/>
      </c>
    </row>
    <row r="10">
      <c r="A10" t="inlineStr">
        <is>
          <t>Lookup ID</t>
        </is>
      </c>
      <c r="B10" t="inlineStr">
        <is>
          <t>Student Formula</t>
        </is>
      </c>
      <c r="C10" t="inlineStr">
        <is>
          <t>Expected Function</t>
        </is>
      </c>
      <c r="D10" t="inlineStr">
        <is>
          <t>Feedback</t>
        </is>
      </c>
      <c r="G10" t="inlineStr">
        <is>
          <t>Hints</t>
        </is>
      </c>
    </row>
    <row r="11">
      <c r="A11" t="inlineStr">
        <is>
          <t>MA-103</t>
        </is>
      </c>
      <c r="B11" s="28" t="n"/>
      <c r="C11" t="inlineStr">
        <is>
          <t>XLOOKUP</t>
        </is>
      </c>
      <c r="D11">
        <f>IF(B11="","Enter formula",IF(B11="Casey Patel","Looks right","Check XLOOKUP lookup and return arrays"))</f>
        <v/>
      </c>
      <c r="G11" t="inlineStr">
        <is>
          <t>SUMIFS total uses Raw Data Amount as sum range.</t>
        </is>
      </c>
    </row>
    <row r="12">
      <c r="A12" t="inlineStr">
        <is>
          <t>MA-999</t>
        </is>
      </c>
      <c r="B12" s="28" t="n"/>
      <c r="C12" t="inlineStr">
        <is>
          <t>XLOOKUP with if_not_found</t>
        </is>
      </c>
      <c r="D12">
        <f>IF(B12="","Enter formula",IF(B12="Check ID","Looks right","Use if_not_found message: Check ID"))</f>
        <v/>
      </c>
      <c r="G12" t="inlineStr">
        <is>
          <t>COUNTIFS counts rows meeting multiple conditions.</t>
        </is>
      </c>
    </row>
    <row r="13">
      <c r="G13" t="inlineStr">
        <is>
          <t>IF should return Overtime when hours are greater than 40.</t>
        </is>
      </c>
    </row>
    <row r="14">
      <c r="G14" t="inlineStr">
        <is>
          <t>TEXTJOIN should include delimiter and ignore blanks.</t>
        </is>
      </c>
    </row>
    <row r="15">
      <c r="G15" t="inlineStr">
        <is>
          <t>Write formulas in the yellow Formula Cell references.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34" customWidth="1" min="10" max="10"/>
  </cols>
  <sheetData>
    <row r="1" ht="28" customHeight="1">
      <c r="A1" s="23" t="inlineStr">
        <is>
          <t>EXCEL-M03-L01 - Class Challenge</t>
        </is>
      </c>
    </row>
    <row r="2" ht="24" customHeight="1">
      <c r="A2" s="24" t="inlineStr">
        <is>
          <t>Read each scenario, enter the needed inputs into the yellow cells, then put the final numeric answer in the blue cell.</t>
        </is>
      </c>
    </row>
    <row r="4">
      <c r="A4" s="38" t="inlineStr">
        <is>
          <t>Graded / Next-Level Activity</t>
        </is>
      </c>
    </row>
    <row r="6">
      <c r="A6" s="26" t="inlineStr">
        <is>
          <t>#</t>
        </is>
      </c>
      <c r="B6" s="26" t="inlineStr">
        <is>
          <t>Scenario</t>
        </is>
      </c>
      <c r="C6" s="26" t="inlineStr">
        <is>
          <t>Input 1</t>
        </is>
      </c>
      <c r="D6" s="26" t="inlineStr">
        <is>
          <t>Input 2</t>
        </is>
      </c>
      <c r="E6" s="26" t="inlineStr">
        <is>
          <t>Input 3</t>
        </is>
      </c>
      <c r="F6" s="26" t="inlineStr">
        <is>
          <t>Input 4</t>
        </is>
      </c>
      <c r="G6" s="26" t="inlineStr">
        <is>
          <t>Input 5</t>
        </is>
      </c>
      <c r="H6" s="26" t="inlineStr">
        <is>
          <t>Input 6</t>
        </is>
      </c>
      <c r="I6" s="26" t="inlineStr">
        <is>
          <t>Final Answer</t>
        </is>
      </c>
      <c r="J6" s="26" t="inlineStr">
        <is>
          <t>Hint</t>
        </is>
      </c>
    </row>
    <row r="7" ht="58" customHeight="1">
      <c r="A7" s="27" t="n">
        <v>1</v>
      </c>
      <c r="B7" s="27" t="inlineStr">
        <is>
          <t>Anchor &amp; Oak shows Jan-Jun revenue of $35,700, $21,400, $29,500, $43,300, $54,600, and $67,200. Enter each monthly revenue and calculate the total.</t>
        </is>
      </c>
      <c r="C7" s="39" t="n"/>
      <c r="D7" s="39" t="n"/>
      <c r="E7" s="39" t="n"/>
      <c r="F7" s="39" t="n"/>
      <c r="G7" s="39" t="n"/>
      <c r="H7" s="39" t="n"/>
      <c r="I7" s="29" t="n"/>
      <c r="J7" s="30" t="inlineStr">
        <is>
          <t>Use SUM across all six input cells.</t>
        </is>
      </c>
    </row>
    <row r="8" ht="58" customHeight="1">
      <c r="A8" s="27" t="n">
        <v>2</v>
      </c>
      <c r="B8" s="27" t="inlineStr">
        <is>
          <t>Using the same Jan-Jun revenue figures from row 1, calculate the average visible monthly revenue.</t>
        </is>
      </c>
      <c r="C8" s="39" t="n"/>
      <c r="D8" s="39" t="n"/>
      <c r="E8" s="39" t="n"/>
      <c r="F8" s="39" t="n"/>
      <c r="G8" s="39" t="n"/>
      <c r="H8" s="39" t="n"/>
      <c r="I8" s="40" t="n"/>
      <c r="J8" s="30" t="inlineStr">
        <is>
          <t>Use AVERAGE across all six input cells.</t>
        </is>
      </c>
    </row>
    <row r="9" ht="58" customHeight="1">
      <c r="A9" s="27" t="n">
        <v>3</v>
      </c>
      <c r="B9" s="27" t="inlineStr">
        <is>
          <t>Using the same Jan-Jun revenue figures, identify the highest visible monthly revenue.</t>
        </is>
      </c>
      <c r="C9" s="39" t="n"/>
      <c r="D9" s="39" t="n"/>
      <c r="E9" s="39" t="n"/>
      <c r="F9" s="39" t="n"/>
      <c r="G9" s="39" t="n"/>
      <c r="H9" s="39" t="n"/>
      <c r="I9" s="29" t="n"/>
      <c r="J9" s="30" t="inlineStr">
        <is>
          <t>Use MAX on the six revenue cells.</t>
        </is>
      </c>
    </row>
    <row r="10" ht="58" customHeight="1">
      <c r="A10" s="27" t="n">
        <v>4</v>
      </c>
      <c r="B10" s="27" t="inlineStr">
        <is>
          <t>Using the same Jan-Jun revenue figures, identify the lowest visible monthly revenue.</t>
        </is>
      </c>
      <c r="C10" s="39" t="n"/>
      <c r="D10" s="39" t="n"/>
      <c r="E10" s="39" t="n"/>
      <c r="F10" s="39" t="n"/>
      <c r="G10" s="39" t="n"/>
      <c r="H10" s="39" t="n"/>
      <c r="I10" s="29" t="n"/>
      <c r="J10" s="30" t="inlineStr">
        <is>
          <t>Use MIN on the six revenue cells.</t>
        </is>
      </c>
    </row>
    <row r="11" ht="58" customHeight="1">
      <c r="A11" s="27" t="n">
        <v>5</v>
      </c>
      <c r="B11" s="27" t="inlineStr">
        <is>
          <t>Using the same Jan-Jun revenue figures, calculate the spread between the highest and lowest visible month.</t>
        </is>
      </c>
      <c r="C11" s="39" t="n"/>
      <c r="D11" s="39" t="n"/>
      <c r="E11" s="39" t="n"/>
      <c r="F11" s="39" t="n"/>
      <c r="G11" s="39" t="n"/>
      <c r="H11" s="39" t="n"/>
      <c r="I11" s="29" t="n"/>
      <c r="J11" s="30" t="inlineStr">
        <is>
          <t>Subtract MIN from MAX.</t>
        </is>
      </c>
    </row>
    <row r="12" ht="58" customHeight="1">
      <c r="A12" s="27" t="n">
        <v>6</v>
      </c>
      <c r="B12" s="27" t="inlineStr">
        <is>
          <t>Using the same Jan-Jun revenue figures, count how many numeric revenue entries are visible.</t>
        </is>
      </c>
      <c r="C12" s="39" t="n"/>
      <c r="D12" s="39" t="n"/>
      <c r="E12" s="39" t="n"/>
      <c r="F12" s="39" t="n"/>
      <c r="G12" s="39" t="n"/>
      <c r="H12" s="39" t="n"/>
      <c r="I12" s="33" t="n"/>
      <c r="J12" s="30" t="inlineStr">
        <is>
          <t>Use COUNT on the numeric cells.</t>
        </is>
      </c>
    </row>
    <row r="13" ht="58" customHeight="1">
      <c r="A13" s="27" t="n">
        <v>7</v>
      </c>
      <c r="B13" s="27" t="inlineStr">
        <is>
          <t>Tidal Goods shows sales rows: Kitchen North $8,400; Storage North $5,100; Kitchen South $3,900; Kitchen North $6,200. Calculate total Kitchen North sales.</t>
        </is>
      </c>
      <c r="C13" s="39" t="n"/>
      <c r="D13" s="39" t="n"/>
      <c r="E13" s="39" t="n"/>
      <c r="F13" s="39" t="n"/>
      <c r="G13" s="28" t="n"/>
      <c r="H13" s="28" t="n"/>
      <c r="I13" s="29" t="n"/>
      <c r="J13" s="30" t="inlineStr">
        <is>
          <t>Add the first and fourth sales amounts.</t>
        </is>
      </c>
    </row>
    <row r="14" ht="58" customHeight="1">
      <c r="A14" s="27" t="n">
        <v>8</v>
      </c>
      <c r="B14" s="27" t="inlineStr">
        <is>
          <t>Using the Tidal rows from row 7, calculate Kitchen North sales as a percent of all North-region sales.</t>
        </is>
      </c>
      <c r="C14" s="39" t="n"/>
      <c r="D14" s="39" t="n"/>
      <c r="E14" s="39" t="n"/>
      <c r="F14" s="39" t="n"/>
      <c r="G14" s="28" t="n"/>
      <c r="H14" s="28" t="n"/>
      <c r="I14" s="41" t="n"/>
      <c r="J14" s="30" t="inlineStr">
        <is>
          <t>Kitchen North divided by all North sales.</t>
        </is>
      </c>
    </row>
    <row r="15" ht="58" customHeight="1">
      <c r="A15" s="27" t="n">
        <v>9</v>
      </c>
      <c r="B15" s="27" t="inlineStr">
        <is>
          <t>Harborside reports 17 late records across 4 departments. Calculate the average late records per department.</t>
        </is>
      </c>
      <c r="C15" s="28" t="n"/>
      <c r="D15" s="28" t="n"/>
      <c r="E15" s="28" t="n"/>
      <c r="F15" s="28" t="n"/>
      <c r="G15" s="28" t="n"/>
      <c r="H15" s="28" t="n"/>
      <c r="I15" s="34" t="n"/>
      <c r="J15" s="30" t="inlineStr">
        <is>
          <t>Divide late records by departments.</t>
        </is>
      </c>
    </row>
    <row r="16" ht="58" customHeight="1">
      <c r="A16" s="27" t="n">
        <v>10</v>
      </c>
      <c r="B16" s="27" t="inlineStr">
        <is>
          <t>Harborside reports 1 urgent pattern out of 17 late records. Calculate the urgent-pattern share.</t>
        </is>
      </c>
      <c r="C16" s="28" t="n"/>
      <c r="D16" s="28" t="n"/>
      <c r="E16" s="28" t="n"/>
      <c r="F16" s="28" t="n"/>
      <c r="G16" s="28" t="n"/>
      <c r="H16" s="28" t="n"/>
      <c r="I16" s="41" t="n"/>
      <c r="J16" s="30" t="inlineStr">
        <is>
          <t>Urgent patterns divided by late records.</t>
        </is>
      </c>
    </row>
    <row r="17" ht="58" customHeight="1">
      <c r="A17" s="27" t="n">
        <v>11</v>
      </c>
      <c r="B17" s="27" t="inlineStr">
        <is>
          <t>Harborside needs shift numbers 1 through 12. Calculate the sum of that generated sequence.</t>
        </is>
      </c>
      <c r="C17" s="28" t="n"/>
      <c r="D17" s="28" t="n"/>
      <c r="E17" s="28" t="n"/>
      <c r="F17" s="28" t="n"/>
      <c r="G17" s="28" t="n"/>
      <c r="H17" s="28" t="n"/>
      <c r="I17" s="33" t="n"/>
      <c r="J17" s="30" t="inlineStr">
        <is>
          <t>Use SEQUENCE or the formula n*(n+1)/2.</t>
        </is>
      </c>
    </row>
    <row r="18" ht="58" customHeight="1">
      <c r="A18" s="27" t="n">
        <v>12</v>
      </c>
      <c r="B18" s="27" t="inlineStr">
        <is>
          <t>Tidal Goods inventory shows Tote 20 units at $18, Mug 45 units at $7, and Apron 12 units at $22. Calculate total inventory value.</t>
        </is>
      </c>
      <c r="C18" s="28" t="n"/>
      <c r="D18" s="28" t="n"/>
      <c r="E18" s="28" t="n"/>
      <c r="F18" s="28" t="n"/>
      <c r="G18" s="28" t="n"/>
      <c r="H18" s="28" t="n"/>
      <c r="I18" s="29" t="n"/>
      <c r="J18" s="30" t="inlineStr">
        <is>
          <t>Multiply each quantity by its cost, then add.</t>
        </is>
      </c>
    </row>
    <row r="19" ht="58" customHeight="1">
      <c r="A19" s="27" t="n">
        <v>13</v>
      </c>
      <c r="B19" s="27" t="inlineStr">
        <is>
          <t>Using the Tidal inventory data from row 12, calculate the highest single-item inventory value.</t>
        </is>
      </c>
      <c r="C19" s="28" t="n"/>
      <c r="D19" s="28" t="n"/>
      <c r="E19" s="28" t="n"/>
      <c r="F19" s="28" t="n"/>
      <c r="G19" s="28" t="n"/>
      <c r="H19" s="28" t="n"/>
      <c r="I19" s="29" t="n"/>
      <c r="J19" s="30" t="inlineStr">
        <is>
          <t>Find the largest quantity-times-cost product.</t>
        </is>
      </c>
    </row>
    <row r="20" ht="58" customHeight="1">
      <c r="A20" s="27" t="n">
        <v>14</v>
      </c>
      <c r="B20" s="27" t="inlineStr">
        <is>
          <t>Using the Tidal inventory data from row 12, calculate the Tote share of total inventory value.</t>
        </is>
      </c>
      <c r="C20" s="28" t="n"/>
      <c r="D20" s="28" t="n"/>
      <c r="E20" s="28" t="n"/>
      <c r="F20" s="28" t="n"/>
      <c r="G20" s="28" t="n"/>
      <c r="H20" s="28" t="n"/>
      <c r="I20" s="41" t="n"/>
      <c r="J20" s="30" t="inlineStr">
        <is>
          <t>Tote value divided by total inventory value.</t>
        </is>
      </c>
    </row>
    <row r="21" ht="58" customHeight="1">
      <c r="A21" s="27" t="n">
        <v>15</v>
      </c>
      <c r="B21" s="27" t="inlineStr">
        <is>
          <t>The report output shows 13.746892 and should be rounded to 2 decimal places. Calculate the rounded result.</t>
        </is>
      </c>
      <c r="C21" s="28" t="n"/>
      <c r="D21" s="28" t="n"/>
      <c r="E21" s="28" t="n"/>
      <c r="F21" s="28" t="n"/>
      <c r="G21" s="28" t="n"/>
      <c r="H21" s="28" t="n"/>
      <c r="I21" s="34" t="n"/>
      <c r="J21" s="30" t="inlineStr">
        <is>
          <t>Use ROUND(number, digits).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</cols>
  <sheetData>
    <row r="1" ht="31.5" customHeight="1">
      <c r="A1" s="14" t="inlineStr">
        <is>
          <t>Concept</t>
        </is>
      </c>
      <c r="B1" s="14" t="inlineStr">
        <is>
          <t>Excel Pattern</t>
        </is>
      </c>
      <c r="C1" s="14" t="inlineStr">
        <is>
          <t>Plain-English Meaning</t>
        </is>
      </c>
      <c r="D1" s="14" t="inlineStr">
        <is>
          <t>Watch Out For</t>
        </is>
      </c>
    </row>
    <row r="2" ht="31.5" customHeight="1">
      <c r="A2" s="18" t="inlineStr">
        <is>
          <t>SUM</t>
        </is>
      </c>
      <c r="B2" s="20" t="inlineStr">
        <is>
          <t>'=SUM(range)</t>
        </is>
      </c>
      <c r="C2" s="18" t="inlineStr">
        <is>
          <t>Adds numeric values in a range.</t>
        </is>
      </c>
      <c r="D2" s="21" t="inlineStr">
        <is>
          <t>Confirm the range includes all rows.</t>
        </is>
      </c>
    </row>
    <row r="3" ht="31.5" customHeight="1">
      <c r="A3" s="18" t="inlineStr">
        <is>
          <t>AVERAGE</t>
        </is>
      </c>
      <c r="B3" s="20" t="inlineStr">
        <is>
          <t>'=AVERAGE(range)</t>
        </is>
      </c>
      <c r="C3" s="18" t="inlineStr">
        <is>
          <t>Returns the mean of a numeric range.</t>
        </is>
      </c>
      <c r="D3" s="21" t="inlineStr">
        <is>
          <t>Blank cells are skipped.</t>
        </is>
      </c>
    </row>
    <row r="4" ht="31.5" customHeight="1">
      <c r="A4" s="18" t="inlineStr">
        <is>
          <t>IF</t>
        </is>
      </c>
      <c r="B4" s="20" t="inlineStr">
        <is>
          <t>'=IF(test,value_if_true,value_if_false)</t>
        </is>
      </c>
      <c r="C4" s="18" t="inlineStr">
        <is>
          <t>Returns one result when a test is true and another when false.</t>
        </is>
      </c>
      <c r="D4" s="21" t="inlineStr">
        <is>
          <t>Write the test before choosing outputs.</t>
        </is>
      </c>
    </row>
    <row r="5" ht="31.5" customHeight="1">
      <c r="A5" s="18" t="inlineStr">
        <is>
          <t>COUNTIFS</t>
        </is>
      </c>
      <c r="B5" s="20" t="inlineStr">
        <is>
          <t>'=COUNTIFS(criteria_range,criteria)</t>
        </is>
      </c>
      <c r="C5" s="18" t="inlineStr">
        <is>
          <t>Counts rows that meet criteria.</t>
        </is>
      </c>
      <c r="D5" s="21" t="inlineStr">
        <is>
          <t>Each criteria range must be the same size.</t>
        </is>
      </c>
    </row>
    <row r="6" ht="31.5" customHeight="1">
      <c r="A6" s="18" t="inlineStr">
        <is>
          <t>XLOOKUP</t>
        </is>
      </c>
      <c r="B6" s="20" t="inlineStr">
        <is>
          <t>'=XLOOKUP(lookup_value,lookup_array,return_array)</t>
        </is>
      </c>
      <c r="C6" s="18" t="inlineStr">
        <is>
          <t>Finds a matching record and returns the related value.</t>
        </is>
      </c>
      <c r="D6" s="21" t="inlineStr">
        <is>
          <t>Lookup and return arrays must line up by row.</t>
        </is>
      </c>
    </row>
    <row r="7" ht="31.5" customHeight="1">
      <c r="A7" s="18" t="inlineStr">
        <is>
          <t>FILTER</t>
        </is>
      </c>
      <c r="B7" s="20" t="inlineStr">
        <is>
          <t>'=FILTER(array,include)</t>
        </is>
      </c>
      <c r="C7" s="18" t="inlineStr">
        <is>
          <t>Spills only the rows that meet the filter rule.</t>
        </is>
      </c>
      <c r="D7" s="21" t="inlineStr">
        <is>
          <t>A spilled result needs empty cells below.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2026-06-30T12:30:55Z</dcterms:modified>
</cp:coreProperties>
</file>