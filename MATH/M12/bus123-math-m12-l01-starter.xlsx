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Live You Try It" sheetId="2" state="visible" r:id="rId2"/>
    <sheet xmlns:r="http://schemas.openxmlformats.org/officeDocument/2006/relationships" name="Class Challenge" sheetId="3" state="visible" r:id="rId3"/>
    <sheet xmlns:r="http://schemas.openxmlformats.org/officeDocument/2006/relationships" name="FormulaReferenceCar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3">
    <font>
      <name val="Calibri"/>
      <family val="2"/>
      <color theme="1"/>
      <sz val="11"/>
      <scheme val="minor"/>
    </font>
    <font>
      <name val="Aptos Display"/>
      <b val="1"/>
      <color rgb="00FFFFFF"/>
      <sz val="18"/>
    </font>
    <font>
      <name val="Aptos"/>
      <b val="1"/>
      <color rgb="004A7C5E"/>
      <sz val="13"/>
    </font>
    <font>
      <name val="Aptos"/>
      <b val="1"/>
      <color rgb="00FFFFFF"/>
      <sz val="12"/>
    </font>
    <font>
      <name val="Aptos"/>
      <b val="1"/>
      <color rgb="001A1F2C"/>
      <sz val="10"/>
    </font>
    <font>
      <name val="Aptos"/>
      <color rgb="004A5567"/>
      <sz val="10"/>
    </font>
    <font>
      <name val="Aptos"/>
      <b val="1"/>
      <color rgb="004A7C5E"/>
      <sz val="11"/>
    </font>
    <font>
      <name val="Aptos"/>
      <color rgb="001A1F2C"/>
      <sz val="11"/>
    </font>
    <font>
      <name val="Aptos"/>
      <i val="1"/>
      <color rgb="004A5567"/>
      <sz val="11"/>
    </font>
    <font>
      <name val="Aptos"/>
      <b val="1"/>
      <color rgb="00B8843D"/>
      <sz val="10"/>
    </font>
    <font>
      <name val="Aptos"/>
      <color rgb="001A1F2C"/>
      <sz val="10"/>
    </font>
    <font>
      <name val="Aptos"/>
      <b val="1"/>
      <color rgb="004A7C5E"/>
      <sz val="12"/>
    </font>
    <font>
      <name val="Aptos Mono"/>
      <b val="1"/>
      <color rgb="00355773"/>
      <sz val="10"/>
    </font>
  </fonts>
  <fills count="10">
    <fill>
      <patternFill/>
    </fill>
    <fill>
      <patternFill patternType="gray125"/>
    </fill>
    <fill>
      <patternFill patternType="solid">
        <fgColor rgb="000E1116"/>
      </patternFill>
    </fill>
    <fill>
      <patternFill patternType="solid">
        <fgColor rgb="004A7C5E"/>
      </patternFill>
    </fill>
    <fill>
      <patternFill patternType="solid">
        <fgColor rgb="00F2EEE5"/>
      </patternFill>
    </fill>
    <fill>
      <patternFill patternType="solid">
        <fgColor rgb="00FFFFFF"/>
      </patternFill>
    </fill>
    <fill>
      <patternFill patternType="solid">
        <fgColor rgb="00B8843D"/>
      </patternFill>
    </fill>
    <fill>
      <patternFill patternType="solid">
        <fgColor rgb="00FFF2CC"/>
      </patternFill>
    </fill>
    <fill>
      <patternFill patternType="solid">
        <fgColor rgb="00EAF3EC"/>
      </patternFill>
    </fill>
    <fill>
      <patternFill patternType="solid">
        <fgColor rgb="009C4A2B"/>
      </patternFill>
    </fill>
  </fills>
  <borders count="7">
    <border>
      <left/>
      <right/>
      <top/>
      <bottom/>
      <diagonal/>
    </border>
    <border>
      <left style="thin">
        <color rgb="00E5E1D6"/>
      </left>
      <right style="thin">
        <color rgb="00E5E1D6"/>
      </right>
      <top style="thin">
        <color rgb="00E5E1D6"/>
      </top>
      <bottom style="thin">
        <color rgb="00E5E1D6"/>
      </bottom>
    </border>
    <border>
      <left style="thin">
        <color rgb="00B8843D"/>
      </left>
      <right style="thin">
        <color rgb="00B8843D"/>
      </right>
      <top style="thin">
        <color rgb="00B8843D"/>
      </top>
      <bottom style="thin">
        <color rgb="00B8843D"/>
      </bottom>
    </border>
    <border>
      <left/>
      <right/>
      <top style="thin">
        <color rgb="00E5E1D6"/>
      </top>
      <bottom/>
      <diagonal/>
    </border>
    <border>
      <left/>
      <right style="thin">
        <color rgb="00E5E1D6"/>
      </right>
      <top style="thin">
        <color rgb="00E5E1D6"/>
      </top>
      <bottom/>
      <diagonal/>
    </border>
    <border>
      <left/>
      <right/>
      <top style="thin">
        <color rgb="00E5E1D6"/>
      </top>
      <bottom style="thin">
        <color rgb="00E5E1D6"/>
      </bottom>
      <diagonal/>
    </border>
    <border>
      <left/>
      <right style="thin">
        <color rgb="00E5E1D6"/>
      </right>
      <top style="thin">
        <color rgb="00E5E1D6"/>
      </top>
      <bottom style="thin">
        <color rgb="00E5E1D6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/>
    </xf>
    <xf numFmtId="0" fontId="4" fillId="4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top" wrapText="1"/>
    </xf>
    <xf numFmtId="0" fontId="3" fillId="6" borderId="0" applyAlignment="1" pivotButton="0" quotePrefix="0" xfId="0">
      <alignment horizontal="left"/>
    </xf>
    <xf numFmtId="0" fontId="6" fillId="0" borderId="0" pivotButton="0" quotePrefix="0" xfId="0"/>
    <xf numFmtId="0" fontId="7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9" fillId="2" borderId="2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 wrapText="1"/>
    </xf>
    <xf numFmtId="2" fontId="7" fillId="7" borderId="2" applyAlignment="1" pivotButton="0" quotePrefix="0" xfId="0">
      <alignment horizontal="center" vertical="center" wrapText="1"/>
    </xf>
    <xf numFmtId="0" fontId="5" fillId="8" borderId="1" applyAlignment="1" pivotButton="0" quotePrefix="0" xfId="0">
      <alignment vertical="top" wrapText="1"/>
    </xf>
    <xf numFmtId="0" fontId="3" fillId="9" borderId="0" applyAlignment="1" pivotButton="0" quotePrefix="0" xfId="0">
      <alignment horizontal="left"/>
    </xf>
    <xf numFmtId="164" fontId="7" fillId="7" borderId="2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top"/>
    </xf>
    <xf numFmtId="0" fontId="10" fillId="5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11" fillId="0" borderId="0" pivotButton="0" quotePrefix="0" xfId="0"/>
    <xf numFmtId="0" fontId="12" fillId="8" borderId="1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C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2" customWidth="1" min="3" max="3"/>
  </cols>
  <sheetData>
    <row r="2" ht="30" customHeight="1">
      <c r="B2" s="1" t="inlineStr">
        <is>
          <t>BUS123 · MATH-M12-L01  |  Business Statistics</t>
        </is>
      </c>
    </row>
    <row r="4">
      <c r="B4" s="2" t="inlineStr">
        <is>
          <t>Harborside Medical Center · Central Tendency, Dispersion &amp; Correlation</t>
        </is>
      </c>
    </row>
    <row r="6">
      <c r="B6" s="3" t="inlineStr">
        <is>
          <t>HOW TO USE THIS WORKBOOK</t>
        </is>
      </c>
    </row>
    <row r="7" ht="42" customHeight="1">
      <c r="B7" s="4" t="inlineStr">
        <is>
          <t>Live You Try It tab</t>
        </is>
      </c>
      <c r="C7" s="5" t="inlineStr">
        <is>
          <t>Use this during slides. First enter the slide givens into yellow input cells. Then build formulas in yellow answer cells that reference those inputs. Feedback cells are for self-check only.</t>
        </is>
      </c>
    </row>
    <row r="8" ht="42" customHeight="1">
      <c r="B8" s="4" t="inlineStr">
        <is>
          <t>Class Challenge tab</t>
        </is>
      </c>
      <c r="C8" s="5" t="inlineStr">
        <is>
          <t>This is the graded/next-level activity. Read each scenario, extract the required inputs into yellow cells, and leave final answers formula-driven.</t>
        </is>
      </c>
    </row>
    <row r="9" ht="42" customHeight="1">
      <c r="B9" s="4" t="inlineStr">
        <is>
          <t>FormulaReferenceCard tab</t>
        </is>
      </c>
      <c r="C9" s="5" t="inlineStr">
        <is>
          <t>Use this as a syntax reminder while you decide which calculation fits the business question.</t>
        </is>
      </c>
    </row>
    <row r="10" ht="42" customHeight="1">
      <c r="B10" s="4" t="inlineStr">
        <is>
          <t>Yellow cells</t>
        </is>
      </c>
      <c r="C10" s="5" t="inlineStr">
        <is>
          <t>These are your input or answer cells. They are blank in the public starter by design.</t>
        </is>
      </c>
    </row>
    <row r="12">
      <c r="B12" s="6" t="inlineStr">
        <is>
          <t>LEARNING OBJECTIVES</t>
        </is>
      </c>
    </row>
    <row r="13">
      <c r="B13" s="7" t="inlineStr">
        <is>
          <t>1.</t>
        </is>
      </c>
      <c r="C13" s="8" t="inlineStr">
        <is>
          <t>Calculate and interpret mean, median, and mode using Excel functions.</t>
        </is>
      </c>
    </row>
    <row r="14">
      <c r="B14" s="7" t="inlineStr">
        <is>
          <t>2.</t>
        </is>
      </c>
      <c r="C14" s="8" t="inlineStr">
        <is>
          <t>Calculate standard deviation and explain what a high or low value means in a business context.</t>
        </is>
      </c>
    </row>
    <row r="15">
      <c r="B15" s="7" t="inlineStr">
        <is>
          <t>3.</t>
        </is>
      </c>
      <c r="C15" s="8" t="inlineStr">
        <is>
          <t>Use spreadsheet formulas to compare variation across business datasets.</t>
        </is>
      </c>
    </row>
    <row r="16">
      <c r="B16" s="7" t="inlineStr">
        <is>
          <t>4.</t>
        </is>
      </c>
      <c r="C16" s="8" t="inlineStr">
        <is>
          <t>Distinguish correlation from causation when interpreting business data.</t>
        </is>
      </c>
    </row>
  </sheetData>
  <mergeCells count="4">
    <mergeCell ref="B12:C12"/>
    <mergeCell ref="B6:C6"/>
    <mergeCell ref="B4:C4"/>
    <mergeCell ref="B2:C2"/>
  </mergeCells>
  <pageMargins left="0.25" right="0.25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I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34" customWidth="1" min="8" max="8"/>
    <col width="38" customWidth="1" min="9" max="9"/>
  </cols>
  <sheetData>
    <row r="1" ht="24" customHeight="1"/>
    <row r="2" ht="24" customHeight="1">
      <c r="B2" s="1" t="inlineStr">
        <is>
          <t>Live You Try It · Self-Graded Excel Practice</t>
        </is>
      </c>
    </row>
    <row r="3" ht="24" customHeight="1"/>
    <row r="4" ht="34" customHeight="1">
      <c r="B4" s="9" t="inlineStr">
        <is>
          <t>Use this tab during the slide deck. Enter the exact slide givens into the yellow input cells first, then build formulas that reference those input cells.</t>
        </is>
      </c>
    </row>
    <row r="5" ht="24" customHeight="1"/>
    <row r="6" ht="24" customHeight="1">
      <c r="B6" s="3" t="inlineStr">
        <is>
          <t>PAUSE 1 · Slides 6-7 · Patient wait times</t>
        </is>
      </c>
    </row>
    <row r="7" ht="24" customHeight="1">
      <c r="B7" s="10" t="inlineStr">
        <is>
          <t>Enter slide givens</t>
        </is>
      </c>
      <c r="C7" s="10" t="inlineStr">
        <is>
          <t>Mon</t>
        </is>
      </c>
      <c r="D7" s="10" t="inlineStr">
        <is>
          <t>Tue</t>
        </is>
      </c>
      <c r="E7" s="10" t="inlineStr">
        <is>
          <t>Wed</t>
        </is>
      </c>
      <c r="F7" s="10" t="inlineStr">
        <is>
          <t>Thu</t>
        </is>
      </c>
      <c r="G7" s="10" t="inlineStr">
        <is>
          <t>Fri</t>
        </is>
      </c>
      <c r="H7" s="10" t="inlineStr">
        <is>
          <t>Hint</t>
        </is>
      </c>
      <c r="I7" s="10" t="inlineStr">
        <is>
          <t>Self-check feedback</t>
        </is>
      </c>
    </row>
    <row r="8" ht="24" customHeight="1">
      <c r="B8" s="4" t="inlineStr">
        <is>
          <t>Wait time inputs</t>
        </is>
      </c>
      <c r="C8" s="11" t="n"/>
      <c r="D8" s="11" t="n"/>
      <c r="E8" s="11" t="n"/>
      <c r="F8" s="11" t="n"/>
      <c r="G8" s="11" t="n"/>
    </row>
    <row r="9" ht="24" customHeight="1"/>
    <row r="10" ht="24" customHeight="1">
      <c r="B10" s="4" t="inlineStr">
        <is>
          <t>Mean wait time</t>
        </is>
      </c>
      <c r="C10" s="12" t="n"/>
      <c r="D10" s="5" t="inlineStr">
        <is>
          <t>Build =AVERAGE(C8:G8) by referencing C8:G8.</t>
        </is>
      </c>
      <c r="E10" s="21" t="n"/>
      <c r="F10" s="21" t="n"/>
      <c r="G10" s="21" t="n"/>
      <c r="H10" s="22" t="n"/>
      <c r="I10" s="13">
        <f>IF(COUNT($C$8:$G$8)&lt;5,"Enter all five wait times first",IF(ABS(C10-AVERAGE($C$8:$G$8))&lt;=0.01,"Looks right","Check the formula and input range"))</f>
        <v/>
      </c>
    </row>
    <row r="11" ht="24" customHeight="1">
      <c r="B11" s="4" t="inlineStr">
        <is>
          <t>Median wait time</t>
        </is>
      </c>
      <c r="C11" s="12" t="n"/>
      <c r="D11" s="5" t="inlineStr">
        <is>
          <t>Build =MEDIAN(C8:G8) by referencing C8:G8.</t>
        </is>
      </c>
      <c r="E11" s="21" t="n"/>
      <c r="F11" s="21" t="n"/>
      <c r="G11" s="21" t="n"/>
      <c r="H11" s="22" t="n"/>
      <c r="I11" s="13">
        <f>IF(COUNT($C$8:$G$8)&lt;5,"Enter all five wait times first",IF(ABS(C11-MEDIAN($C$8:$G$8))&lt;=0.01,"Looks right","Check the formula and input range"))</f>
        <v/>
      </c>
    </row>
    <row r="12" ht="24" customHeight="1">
      <c r="B12" s="4" t="inlineStr">
        <is>
          <t>Mean minus median</t>
        </is>
      </c>
      <c r="C12" s="12" t="n"/>
      <c r="D12" s="5" t="inlineStr">
        <is>
          <t>Build =C10-C11 by referencing C8:G8.</t>
        </is>
      </c>
      <c r="E12" s="21" t="n"/>
      <c r="F12" s="21" t="n"/>
      <c r="G12" s="21" t="n"/>
      <c r="H12" s="22" t="n"/>
      <c r="I12" s="13">
        <f>IF(COUNT($C$8:$G$8)&lt;5,"Enter all five wait times first",IF(ABS(C12-(AVERAGE($C$8:$G$8)-MEDIAN($C$8:$G$8)))&lt;=0.01,"Looks right","Check mean minus median"))</f>
        <v/>
      </c>
    </row>
    <row r="13" ht="24" customHeight="1"/>
    <row r="14" ht="24" customHeight="1"/>
    <row r="15" ht="24" customHeight="1">
      <c r="B15" s="6" t="inlineStr">
        <is>
          <t>PAUSE 2 · Slide 12 · Nurse overtime hours</t>
        </is>
      </c>
    </row>
    <row r="16" ht="24" customHeight="1">
      <c r="B16" s="10" t="inlineStr">
        <is>
          <t>Enter slide givens</t>
        </is>
      </c>
      <c r="C16" s="10" t="inlineStr">
        <is>
          <t>Rivera</t>
        </is>
      </c>
      <c r="D16" s="10" t="inlineStr">
        <is>
          <t>Chen</t>
        </is>
      </c>
      <c r="E16" s="10" t="inlineStr">
        <is>
          <t>O'Brien</t>
        </is>
      </c>
      <c r="F16" s="10" t="inlineStr">
        <is>
          <t>Patel</t>
        </is>
      </c>
      <c r="G16" s="10" t="inlineStr">
        <is>
          <t>Walsh</t>
        </is>
      </c>
      <c r="H16" s="10" t="inlineStr">
        <is>
          <t>Hint</t>
        </is>
      </c>
      <c r="I16" s="10" t="inlineStr">
        <is>
          <t>Self-check feedback</t>
        </is>
      </c>
    </row>
    <row r="17" ht="24" customHeight="1">
      <c r="B17" s="4" t="inlineStr">
        <is>
          <t>Overtime inputs</t>
        </is>
      </c>
      <c r="C17" s="11" t="n"/>
      <c r="D17" s="11" t="n"/>
      <c r="E17" s="11" t="n"/>
      <c r="F17" s="11" t="n"/>
      <c r="G17" s="11" t="n"/>
    </row>
    <row r="18" ht="24" customHeight="1"/>
    <row r="19" ht="24" customHeight="1">
      <c r="B19" s="4" t="inlineStr">
        <is>
          <t>Mean overtime</t>
        </is>
      </c>
      <c r="C19" s="12" t="n"/>
      <c r="D19" s="5" t="inlineStr">
        <is>
          <t>Use AVERAGE on the input range C17:G17.</t>
        </is>
      </c>
      <c r="E19" s="21" t="n"/>
      <c r="F19" s="21" t="n"/>
      <c r="G19" s="21" t="n"/>
      <c r="H19" s="22" t="n"/>
      <c r="I19" s="13">
        <f>IF(COUNT($C$17:$G$17)&lt;5,"Enter all five overtime values first",IF(ABS(C19-AVERAGE($C$17:$G$17))&lt;=0.01,"Looks right","Check the AVERAGE formula and range"))</f>
        <v/>
      </c>
    </row>
    <row r="20" ht="24" customHeight="1">
      <c r="B20" s="4" t="inlineStr">
        <is>
          <t>Sample SD</t>
        </is>
      </c>
      <c r="C20" s="12" t="n"/>
      <c r="D20" s="5" t="inlineStr">
        <is>
          <t>Use STDEV.S on the input range C17:G17.</t>
        </is>
      </c>
      <c r="E20" s="21" t="n"/>
      <c r="F20" s="21" t="n"/>
      <c r="G20" s="21" t="n"/>
      <c r="H20" s="22" t="n"/>
      <c r="I20" s="13">
        <f>IF(COUNT($C$17:$G$17)&lt;5,"Enter all five overtime values first",IF(ABS(C20-STDEV.S($C$17:$G$17))&lt;=0.01,"Looks right","Check the STDEV.S formula and range"))</f>
        <v/>
      </c>
    </row>
    <row r="21" ht="24" customHeight="1">
      <c r="B21" s="4" t="inlineStr">
        <is>
          <t>Population SD</t>
        </is>
      </c>
      <c r="C21" s="12" t="n"/>
      <c r="D21" s="5" t="inlineStr">
        <is>
          <t>Use STDEV.P on the input range C17:G17.</t>
        </is>
      </c>
      <c r="E21" s="21" t="n"/>
      <c r="F21" s="21" t="n"/>
      <c r="G21" s="21" t="n"/>
      <c r="H21" s="22" t="n"/>
      <c r="I21" s="13">
        <f>IF(COUNT($C$17:$G$17)&lt;5,"Enter all five overtime values first",IF(ABS(C21-STDEV.P($C$17:$G$17))&lt;=0.01,"Looks right","Check the STDEV.P formula and range"))</f>
        <v/>
      </c>
    </row>
    <row r="22" ht="24" customHeight="1"/>
    <row r="23" ht="24" customHeight="1"/>
    <row r="24" ht="24" customHeight="1">
      <c r="B24" s="14" t="inlineStr">
        <is>
          <t>PAUSE 3 · Slide 15 · Wait time vs. satisfaction</t>
        </is>
      </c>
    </row>
    <row r="25" ht="24" customHeight="1">
      <c r="B25" s="10" t="inlineStr">
        <is>
          <t>Day</t>
        </is>
      </c>
      <c r="C25" s="10" t="inlineStr">
        <is>
          <t>Mon</t>
        </is>
      </c>
      <c r="D25" s="10" t="inlineStr">
        <is>
          <t>Tue</t>
        </is>
      </c>
      <c r="E25" s="10" t="inlineStr">
        <is>
          <t>Wed</t>
        </is>
      </c>
      <c r="F25" s="10" t="inlineStr">
        <is>
          <t>Thu</t>
        </is>
      </c>
      <c r="G25" s="10" t="inlineStr">
        <is>
          <t>Fri</t>
        </is>
      </c>
      <c r="H25" s="10" t="inlineStr">
        <is>
          <t>Sat</t>
        </is>
      </c>
      <c r="I25" s="10" t="inlineStr">
        <is>
          <t>Sun</t>
        </is>
      </c>
    </row>
    <row r="26" ht="24" customHeight="1">
      <c r="B26" s="4" t="inlineStr">
        <is>
          <t>Wait inputs</t>
        </is>
      </c>
      <c r="C26" s="11" t="n"/>
      <c r="D26" s="11" t="n"/>
      <c r="E26" s="11" t="n"/>
      <c r="F26" s="11" t="n"/>
      <c r="G26" s="11" t="n"/>
      <c r="H26" s="11" t="n"/>
      <c r="I26" s="11" t="n"/>
    </row>
    <row r="27" ht="24" customHeight="1">
      <c r="B27" s="4" t="inlineStr">
        <is>
          <t>Satisfaction inputs</t>
        </is>
      </c>
      <c r="C27" s="15" t="n"/>
      <c r="D27" s="15" t="n"/>
      <c r="E27" s="15" t="n"/>
      <c r="F27" s="15" t="n"/>
      <c r="G27" s="15" t="n"/>
      <c r="H27" s="15" t="n"/>
      <c r="I27" s="15" t="n"/>
    </row>
    <row r="28" ht="24" customHeight="1"/>
    <row r="29" ht="24" customHeight="1">
      <c r="B29" s="4" t="inlineStr">
        <is>
          <t>Correlation coefficient</t>
        </is>
      </c>
      <c r="C29" s="12" t="n"/>
      <c r="D29" s="5" t="inlineStr">
        <is>
          <t>Use CORREL on the wait-time row and satisfaction row. Interpret the sign and strength in class.</t>
        </is>
      </c>
      <c r="E29" s="21" t="n"/>
      <c r="F29" s="21" t="n"/>
      <c r="G29" s="21" t="n"/>
      <c r="H29" s="22" t="n"/>
      <c r="I29" s="13">
        <f>IF(COUNT($C$26:$I$26)&lt;7,"Enter all wait times",IF(COUNT($C$27:$I$27)&lt;7,"Enter all satisfaction scores",IF(ABS(C29-CORREL($C$26:$I$26,$C$27:$I$27))&lt;=0.03,"Looks right","Check CORREL ranges")))</f>
        <v/>
      </c>
    </row>
    <row r="30" ht="24" customHeight="1"/>
  </sheetData>
  <mergeCells count="12">
    <mergeCell ref="D12:H12"/>
    <mergeCell ref="D21:H21"/>
    <mergeCell ref="D20:H20"/>
    <mergeCell ref="B15:I15"/>
    <mergeCell ref="B6:I6"/>
    <mergeCell ref="D10:H10"/>
    <mergeCell ref="B2:I2"/>
    <mergeCell ref="B24:I24"/>
    <mergeCell ref="D19:H19"/>
    <mergeCell ref="D11:H11"/>
    <mergeCell ref="D29:H29"/>
    <mergeCell ref="B4:I4"/>
  </mergeCells>
  <pageMargins left="0.25" right="0.25" top="0.5" bottom="0.5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F45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9" customWidth="1" min="2" max="2"/>
    <col width="74" customWidth="1" min="3" max="3"/>
    <col width="24" customWidth="1" min="4" max="4"/>
    <col width="18" customWidth="1" min="5" max="5"/>
    <col width="15" customWidth="1" min="6" max="6"/>
  </cols>
  <sheetData>
    <row r="2">
      <c r="B2" s="1" t="inlineStr">
        <is>
          <t>Class Challenge · Harborside Medical Statistics</t>
        </is>
      </c>
    </row>
    <row r="4">
      <c r="B4" s="9" t="inlineStr">
        <is>
          <t>Read each scenario, enter the required givens into the yellow input cells below, then calculate each final answer. Final answers are graded on numeric results, not one exact formula pattern.</t>
        </is>
      </c>
    </row>
    <row r="5">
      <c r="B5" s="10" t="inlineStr">
        <is>
          <t>#</t>
        </is>
      </c>
      <c r="C5" s="10" t="inlineStr">
        <is>
          <t>Scenario and required givens</t>
        </is>
      </c>
      <c r="D5" s="10" t="inlineStr">
        <is>
          <t>Target calculation</t>
        </is>
      </c>
      <c r="E5" s="10" t="inlineStr">
        <is>
          <t>Final answer</t>
        </is>
      </c>
      <c r="F5" s="10" t="inlineStr">
        <is>
          <t>Unit</t>
        </is>
      </c>
    </row>
    <row r="6" ht="48" customHeight="1">
      <c r="B6" s="16" t="inlineStr">
        <is>
          <t>1</t>
        </is>
      </c>
      <c r="C6" s="17" t="inlineStr">
        <is>
          <t>Slides 6-7 show Harborside wait times of 12, 15, 18, 11, and 42 minutes. Enter them below, then calculate the mean wait time.</t>
        </is>
      </c>
      <c r="D6" s="18" t="inlineStr">
        <is>
          <t>Mean wait time</t>
        </is>
      </c>
      <c r="E6" s="12" t="n"/>
      <c r="F6" s="17" t="inlineStr">
        <is>
          <t>minutes</t>
        </is>
      </c>
    </row>
    <row r="7" ht="48" customHeight="1">
      <c r="B7" s="16" t="inlineStr">
        <is>
          <t>2</t>
        </is>
      </c>
      <c r="C7" s="17" t="inlineStr">
        <is>
          <t>Using those same five wait times, calculate the median wait time.</t>
        </is>
      </c>
      <c r="D7" s="18" t="inlineStr">
        <is>
          <t>Median wait time</t>
        </is>
      </c>
      <c r="E7" s="12" t="n"/>
      <c r="F7" s="17" t="inlineStr">
        <is>
          <t>minutes</t>
        </is>
      </c>
    </row>
    <row r="8" ht="48" customHeight="1">
      <c r="B8" s="16" t="inlineStr">
        <is>
          <t>3</t>
        </is>
      </c>
      <c r="C8" s="17" t="inlineStr">
        <is>
          <t>Using those same five wait times, calculate how much higher the mean is than the median.</t>
        </is>
      </c>
      <c r="D8" s="18" t="inlineStr">
        <is>
          <t>Mean minus median</t>
        </is>
      </c>
      <c r="E8" s="12" t="n"/>
      <c r="F8" s="17" t="inlineStr">
        <is>
          <t>minutes</t>
        </is>
      </c>
    </row>
    <row r="9" ht="48" customHeight="1">
      <c r="B9" s="16" t="inlineStr">
        <is>
          <t>4</t>
        </is>
      </c>
      <c r="C9" s="17" t="inlineStr">
        <is>
          <t>The 42-minute day is the outlier discussed in the slides. Calculate the mean wait time after excluding that 42-minute day.</t>
        </is>
      </c>
      <c r="D9" s="18" t="inlineStr">
        <is>
          <t>Mean without outlier</t>
        </is>
      </c>
      <c r="E9" s="12" t="n"/>
      <c r="F9" s="17" t="inlineStr">
        <is>
          <t>minutes</t>
        </is>
      </c>
    </row>
    <row r="10" ht="48" customHeight="1">
      <c r="B10" s="16" t="inlineStr">
        <is>
          <t>5</t>
        </is>
      </c>
      <c r="C10" s="17" t="inlineStr">
        <is>
          <t>Using all five wait times from Slides 6-7, calculate the sample standard deviation.</t>
        </is>
      </c>
      <c r="D10" s="18" t="inlineStr">
        <is>
          <t>Wait-time sample SD</t>
        </is>
      </c>
      <c r="E10" s="12" t="n"/>
      <c r="F10" s="17" t="inlineStr">
        <is>
          <t>minutes</t>
        </is>
      </c>
    </row>
    <row r="11" ht="48" customHeight="1">
      <c r="B11" s="16" t="inlineStr">
        <is>
          <t>6</t>
        </is>
      </c>
      <c r="C11" s="17" t="inlineStr">
        <is>
          <t>Slide 10 shows Hospital A wait times of 18, 19, 20, 21, and 22 minutes. Enter them below, then calculate the mean.</t>
        </is>
      </c>
      <c r="D11" s="18" t="inlineStr">
        <is>
          <t>Hospital A mean</t>
        </is>
      </c>
      <c r="E11" s="12" t="n"/>
      <c r="F11" s="17" t="inlineStr">
        <is>
          <t>minutes</t>
        </is>
      </c>
    </row>
    <row r="12" ht="48" customHeight="1">
      <c r="B12" s="16" t="inlineStr">
        <is>
          <t>7</t>
        </is>
      </c>
      <c r="C12" s="17" t="inlineStr">
        <is>
          <t>Using Hospital A wait times of 18, 19, 20, 21, and 22 minutes, calculate the sample standard deviation.</t>
        </is>
      </c>
      <c r="D12" s="18" t="inlineStr">
        <is>
          <t>Hospital A sample SD</t>
        </is>
      </c>
      <c r="E12" s="12" t="n"/>
      <c r="F12" s="17" t="inlineStr">
        <is>
          <t>minutes</t>
        </is>
      </c>
    </row>
    <row r="13" ht="48" customHeight="1">
      <c r="B13" s="16" t="inlineStr">
        <is>
          <t>8</t>
        </is>
      </c>
      <c r="C13" s="17" t="inlineStr">
        <is>
          <t>Slide 10 shows Hospital B wait times of 2, 8, 20, 35, and 35 minutes. Enter them below, then calculate the mean.</t>
        </is>
      </c>
      <c r="D13" s="18" t="inlineStr">
        <is>
          <t>Hospital B mean</t>
        </is>
      </c>
      <c r="E13" s="12" t="n"/>
      <c r="F13" s="17" t="inlineStr">
        <is>
          <t>minutes</t>
        </is>
      </c>
    </row>
    <row r="14" ht="48" customHeight="1">
      <c r="B14" s="16" t="inlineStr">
        <is>
          <t>9</t>
        </is>
      </c>
      <c r="C14" s="17" t="inlineStr">
        <is>
          <t>Using Hospital B wait times of 2, 8, 20, 35, and 35 minutes, calculate the sample standard deviation.</t>
        </is>
      </c>
      <c r="D14" s="18" t="inlineStr">
        <is>
          <t>Hospital B sample SD</t>
        </is>
      </c>
      <c r="E14" s="12" t="n"/>
      <c r="F14" s="17" t="inlineStr">
        <is>
          <t>minutes</t>
        </is>
      </c>
    </row>
    <row r="15" ht="48" customHeight="1">
      <c r="B15" s="16" t="inlineStr">
        <is>
          <t>10</t>
        </is>
      </c>
      <c r="C15" s="17" t="inlineStr">
        <is>
          <t>Using your Hospital A and Hospital B standard deviations, calculate how many more minutes of spread Hospital B has than Hospital A.</t>
        </is>
      </c>
      <c r="D15" s="18" t="inlineStr">
        <is>
          <t>B SD minus A SD</t>
        </is>
      </c>
      <c r="E15" s="12" t="n"/>
      <c r="F15" s="17" t="inlineStr">
        <is>
          <t>minutes</t>
        </is>
      </c>
    </row>
    <row r="16" ht="48" customHeight="1">
      <c r="B16" s="16" t="inlineStr">
        <is>
          <t>11</t>
        </is>
      </c>
      <c r="C16" s="17" t="inlineStr">
        <is>
          <t>Slide 12 shows nurse overtime hours of 4, 6, 8, 10, and 12. Enter them below, then calculate the mean overtime hours.</t>
        </is>
      </c>
      <c r="D16" s="18" t="inlineStr">
        <is>
          <t>Overtime mean</t>
        </is>
      </c>
      <c r="E16" s="12" t="n"/>
      <c r="F16" s="17" t="inlineStr">
        <is>
          <t>hours</t>
        </is>
      </c>
    </row>
    <row r="17" ht="48" customHeight="1">
      <c r="B17" s="16" t="inlineStr">
        <is>
          <t>12</t>
        </is>
      </c>
      <c r="C17" s="17" t="inlineStr">
        <is>
          <t>Using the same nurse overtime hours of 4, 6, 8, 10, and 12, calculate the population standard deviation.</t>
        </is>
      </c>
      <c r="D17" s="18" t="inlineStr">
        <is>
          <t>Overtime population SD</t>
        </is>
      </c>
      <c r="E17" s="12" t="n"/>
      <c r="F17" s="17" t="inlineStr">
        <is>
          <t>hours</t>
        </is>
      </c>
    </row>
    <row r="18" ht="48" customHeight="1">
      <c r="B18" s="16" t="inlineStr">
        <is>
          <t>13</t>
        </is>
      </c>
      <c r="C18" s="17" t="inlineStr">
        <is>
          <t>Using the same nurse overtime hours of 4, 6, 8, 10, and 12, calculate the sample standard deviation.</t>
        </is>
      </c>
      <c r="D18" s="18" t="inlineStr">
        <is>
          <t>Overtime sample SD</t>
        </is>
      </c>
      <c r="E18" s="12" t="n"/>
      <c r="F18" s="17" t="inlineStr">
        <is>
          <t>hours</t>
        </is>
      </c>
    </row>
    <row r="19" ht="48" customHeight="1">
      <c r="B19" s="16" t="inlineStr">
        <is>
          <t>14</t>
        </is>
      </c>
      <c r="C19" s="17" t="inlineStr">
        <is>
          <t>Slide 15 shows seven wait times: 12, 15, 10, 22, 30, 8, and 18. Enter the seven-day table below, then calculate the average wait time.</t>
        </is>
      </c>
      <c r="D19" s="18" t="inlineStr">
        <is>
          <t>Seven-day average wait</t>
        </is>
      </c>
      <c r="E19" s="12" t="n"/>
      <c r="F19" s="17" t="inlineStr">
        <is>
          <t>minutes</t>
        </is>
      </c>
    </row>
    <row r="20" ht="48" customHeight="1">
      <c r="B20" s="16" t="inlineStr">
        <is>
          <t>15</t>
        </is>
      </c>
      <c r="C20" s="17" t="inlineStr">
        <is>
          <t>Slide 15 shows satisfaction scores of 8.4, 7.9, 8.8, 6.5, 5.2, 9.1, and 7.1. Enter them below, then calculate the sample standard deviation.</t>
        </is>
      </c>
      <c r="D20" s="18" t="inlineStr">
        <is>
          <t>Satisfaction sample SD</t>
        </is>
      </c>
      <c r="E20" s="12" t="n"/>
      <c r="F20" s="17" t="inlineStr">
        <is>
          <t>score points</t>
        </is>
      </c>
    </row>
    <row r="23">
      <c r="B23" s="3" t="inlineStr">
        <is>
          <t>INPUT AREA · Enter the givens from the scenarios above</t>
        </is>
      </c>
    </row>
    <row r="25">
      <c r="B25" s="4" t="inlineStr">
        <is>
          <t>Wait times from Slides 6-7</t>
        </is>
      </c>
      <c r="C25" s="21" t="n"/>
      <c r="D25" s="21" t="n"/>
      <c r="E25" s="21" t="n"/>
      <c r="F25" s="22" t="n"/>
    </row>
    <row r="26">
      <c r="B26" s="11" t="n"/>
      <c r="C26" s="11" t="n"/>
      <c r="D26" s="11" t="n"/>
      <c r="E26" s="11" t="n"/>
      <c r="F26" s="11" t="n"/>
    </row>
    <row r="28">
      <c r="B28" s="4" t="inlineStr">
        <is>
          <t>Hospital A wait times from Slide 10</t>
        </is>
      </c>
      <c r="C28" s="21" t="n"/>
      <c r="D28" s="21" t="n"/>
      <c r="E28" s="21" t="n"/>
      <c r="F28" s="22" t="n"/>
    </row>
    <row r="29">
      <c r="B29" s="11" t="n"/>
      <c r="C29" s="11" t="n"/>
      <c r="D29" s="11" t="n"/>
      <c r="E29" s="11" t="n"/>
      <c r="F29" s="11" t="n"/>
    </row>
    <row r="30">
      <c r="B30" s="4" t="inlineStr">
        <is>
          <t>Hospital B wait times from Slide 10</t>
        </is>
      </c>
      <c r="C30" s="21" t="n"/>
      <c r="D30" s="21" t="n"/>
      <c r="E30" s="21" t="n"/>
      <c r="F30" s="22" t="n"/>
    </row>
    <row r="31">
      <c r="B31" s="11" t="n"/>
      <c r="C31" s="11" t="n"/>
      <c r="D31" s="11" t="n"/>
      <c r="E31" s="11" t="n"/>
      <c r="F31" s="11" t="n"/>
    </row>
    <row r="33">
      <c r="B33" s="4" t="inlineStr">
        <is>
          <t>Nurse overtime hours from Slide 12</t>
        </is>
      </c>
      <c r="C33" s="21" t="n"/>
      <c r="D33" s="21" t="n"/>
      <c r="E33" s="21" t="n"/>
      <c r="F33" s="22" t="n"/>
    </row>
    <row r="34">
      <c r="B34" s="11" t="n"/>
      <c r="C34" s="11" t="n"/>
      <c r="D34" s="11" t="n"/>
      <c r="E34" s="11" t="n"/>
      <c r="F34" s="11" t="n"/>
    </row>
    <row r="36">
      <c r="B36" s="4" t="inlineStr">
        <is>
          <t>Seven-day data from Slide 15</t>
        </is>
      </c>
      <c r="C36" s="21" t="n"/>
      <c r="D36" s="21" t="n"/>
      <c r="E36" s="21" t="n"/>
      <c r="F36" s="22" t="n"/>
    </row>
    <row r="38">
      <c r="B38" s="10" t="inlineStr">
        <is>
          <t>Day</t>
        </is>
      </c>
      <c r="C38" s="10" t="inlineStr">
        <is>
          <t>Wait (min)</t>
        </is>
      </c>
      <c r="D38" s="10" t="inlineStr">
        <is>
          <t>Satisfaction</t>
        </is>
      </c>
    </row>
    <row r="39">
      <c r="B39" s="4" t="inlineStr">
        <is>
          <t>Monday</t>
        </is>
      </c>
      <c r="C39" s="11" t="n"/>
      <c r="D39" s="15" t="n"/>
    </row>
    <row r="40">
      <c r="B40" s="4" t="inlineStr">
        <is>
          <t>Tuesday</t>
        </is>
      </c>
      <c r="C40" s="11" t="n"/>
      <c r="D40" s="15" t="n"/>
    </row>
    <row r="41">
      <c r="B41" s="4" t="inlineStr">
        <is>
          <t>Wednesday</t>
        </is>
      </c>
      <c r="C41" s="11" t="n"/>
      <c r="D41" s="15" t="n"/>
    </row>
    <row r="42">
      <c r="B42" s="4" t="inlineStr">
        <is>
          <t>Thursday</t>
        </is>
      </c>
      <c r="C42" s="11" t="n"/>
      <c r="D42" s="15" t="n"/>
    </row>
    <row r="43">
      <c r="B43" s="4" t="inlineStr">
        <is>
          <t>Friday</t>
        </is>
      </c>
      <c r="C43" s="11" t="n"/>
      <c r="D43" s="15" t="n"/>
    </row>
    <row r="44">
      <c r="B44" s="4" t="inlineStr">
        <is>
          <t>Saturday</t>
        </is>
      </c>
      <c r="C44" s="11" t="n"/>
      <c r="D44" s="15" t="n"/>
    </row>
    <row r="45">
      <c r="B45" s="4" t="inlineStr">
        <is>
          <t>Sunday</t>
        </is>
      </c>
      <c r="C45" s="11" t="n"/>
      <c r="D45" s="15" t="n"/>
    </row>
  </sheetData>
  <mergeCells count="8">
    <mergeCell ref="B4:F4"/>
    <mergeCell ref="B30:F30"/>
    <mergeCell ref="B2:F2"/>
    <mergeCell ref="B33:F33"/>
    <mergeCell ref="B25:F25"/>
    <mergeCell ref="B28:F28"/>
    <mergeCell ref="B23:F23"/>
    <mergeCell ref="B36:F36"/>
  </mergeCells>
  <pageMargins left="0.25" right="0.25" top="0.5" bottom="0.5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E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34" customWidth="1" min="3" max="3"/>
    <col width="48" customWidth="1" min="4" max="4"/>
    <col width="42" customWidth="1" min="5" max="5"/>
  </cols>
  <sheetData>
    <row r="2">
      <c r="B2" s="1" t="inlineStr">
        <is>
          <t>MATH-M12-L01 · Formula Reference Card</t>
        </is>
      </c>
    </row>
    <row r="3">
      <c r="B3" s="19" t="inlineStr">
        <is>
          <t>Harborside Medical Center · Central Tendency, Dispersion &amp; Correlation</t>
        </is>
      </c>
    </row>
    <row r="5">
      <c r="B5" s="10" t="inlineStr">
        <is>
          <t>Concept</t>
        </is>
      </c>
      <c r="C5" s="10" t="inlineStr">
        <is>
          <t>Excel Pattern</t>
        </is>
      </c>
      <c r="D5" s="10" t="inlineStr">
        <is>
          <t>Plain-English Meaning</t>
        </is>
      </c>
      <c r="E5" s="10" t="inlineStr">
        <is>
          <t>Watch Out For</t>
        </is>
      </c>
    </row>
    <row r="6" ht="42" customHeight="1">
      <c r="B6" s="18" t="inlineStr">
        <is>
          <t>AVERAGE</t>
        </is>
      </c>
      <c r="C6" s="20" t="inlineStr">
        <is>
          <t>'=AVERAGE(B2:B8)</t>
        </is>
      </c>
      <c r="D6" s="17" t="inlineStr">
        <is>
          <t>Returns the arithmetic mean of a range.</t>
        </is>
      </c>
      <c r="E6" s="17" t="inlineStr">
        <is>
          <t>Outliers can pull the mean upward or downward.</t>
        </is>
      </c>
    </row>
    <row r="7" ht="42" customHeight="1">
      <c r="B7" s="18" t="inlineStr">
        <is>
          <t>MEDIAN</t>
        </is>
      </c>
      <c r="C7" s="20" t="inlineStr">
        <is>
          <t>'=MEDIAN(B2:B8)</t>
        </is>
      </c>
      <c r="D7" s="17" t="inlineStr">
        <is>
          <t>Returns the middle value after sorting.</t>
        </is>
      </c>
      <c r="E7" s="17" t="inlineStr">
        <is>
          <t>Use when an outlier distorts the average.</t>
        </is>
      </c>
    </row>
    <row r="8" ht="42" customHeight="1">
      <c r="B8" s="18" t="inlineStr">
        <is>
          <t>MODE.SNGL</t>
        </is>
      </c>
      <c r="C8" s="20" t="inlineStr">
        <is>
          <t>'=MODE.SNGL(B2:B8)</t>
        </is>
      </c>
      <c r="D8" s="17" t="inlineStr">
        <is>
          <t>Returns the single most frequent value.</t>
        </is>
      </c>
      <c r="E8" s="17" t="inlineStr">
        <is>
          <t>May error if no value repeats.</t>
        </is>
      </c>
    </row>
    <row r="9" ht="42" customHeight="1">
      <c r="B9" s="18" t="inlineStr">
        <is>
          <t>MIN / MAX</t>
        </is>
      </c>
      <c r="C9" s="20" t="inlineStr">
        <is>
          <t>'=MIN(range) / =MAX(range)</t>
        </is>
      </c>
      <c r="D9" s="17" t="inlineStr">
        <is>
          <t>Returns the smallest or largest value.</t>
        </is>
      </c>
      <c r="E9" s="17" t="inlineStr">
        <is>
          <t>Useful for spotting range and outliers.</t>
        </is>
      </c>
    </row>
    <row r="10" ht="42" customHeight="1">
      <c r="B10" s="18" t="inlineStr">
        <is>
          <t>STDEV.S</t>
        </is>
      </c>
      <c r="C10" s="20" t="inlineStr">
        <is>
          <t>'=STDEV.S(B2:B8)</t>
        </is>
      </c>
      <c r="D10" s="17" t="inlineStr">
        <is>
          <t>Measures spread for a sample.</t>
        </is>
      </c>
      <c r="E10" s="17" t="inlineStr">
        <is>
          <t>Use for most business samples.</t>
        </is>
      </c>
    </row>
    <row r="11" ht="42" customHeight="1">
      <c r="B11" s="18" t="inlineStr">
        <is>
          <t>STDEV.P</t>
        </is>
      </c>
      <c r="C11" s="20" t="inlineStr">
        <is>
          <t>'=STDEV.P(B2:B8)</t>
        </is>
      </c>
      <c r="D11" s="17" t="inlineStr">
        <is>
          <t>Measures spread for a full population.</t>
        </is>
      </c>
      <c r="E11" s="17" t="inlineStr">
        <is>
          <t>Use only when you have every observation.</t>
        </is>
      </c>
    </row>
    <row r="12" ht="42" customHeight="1">
      <c r="B12" s="18" t="inlineStr">
        <is>
          <t>CORREL</t>
        </is>
      </c>
      <c r="C12" s="20" t="inlineStr">
        <is>
          <t>'=CORREL(A2:A8,B2:B8)</t>
        </is>
      </c>
      <c r="D12" s="17" t="inlineStr">
        <is>
          <t>Returns relationship strength and direction.</t>
        </is>
      </c>
      <c r="E12" s="17" t="inlineStr">
        <is>
          <t>Correlation does not prove causation.</t>
        </is>
      </c>
    </row>
  </sheetData>
  <mergeCells count="2">
    <mergeCell ref="B3:E3"/>
    <mergeCell ref="B2:E2"/>
  </mergeCells>
  <pageMargins left="0.25" right="0.25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BUS123</dc:creator>
  <dc:title xmlns:dc="http://purl.org/dc/elements/1.1/">BUS123 MATH-M12-L01 Business Statistics Workbook</dc:title>
  <dc:subject xmlns:dc="http://purl.org/dc/elements/1.1/">Central tendency, dispersion, and correlation</dc:subject>
  <dcterms:created xmlns:dcterms="http://purl.org/dc/terms/" xmlns:xsi="http://www.w3.org/2001/XMLSchema-instance" xsi:type="dcterms:W3CDTF">2026-06-26T14:39:44Z</dcterms:created>
  <dcterms:modified xmlns:dcterms="http://purl.org/dc/terms/" xmlns:xsi="http://www.w3.org/2001/XMLSchema-instance" xsi:type="dcterms:W3CDTF">2026-06-26T14:53:39Z</dcterms:modified>
</cp:coreProperties>
</file>