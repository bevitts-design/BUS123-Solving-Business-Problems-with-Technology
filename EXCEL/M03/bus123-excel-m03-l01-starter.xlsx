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faf6fd7f834d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f8e5ed6bb97431a"/>
    <x:sheet xmlns:r="http://schemas.openxmlformats.org/officeDocument/2006/relationships" name="Raw Data" sheetId="2" r:id="R4e4ec62a2ac148f2"/>
    <x:sheet xmlns:r="http://schemas.openxmlformats.org/officeDocument/2006/relationships" name="Core Functions" sheetId="3" r:id="Rd835e98351e54c1e"/>
    <x:sheet xmlns:r="http://schemas.openxmlformats.org/officeDocument/2006/relationships" name="Dynamic Arrays" sheetId="4" r:id="R168328cfe81848de"/>
    <x:sheet xmlns:r="http://schemas.openxmlformats.org/officeDocument/2006/relationships" name="Reporting Lab" sheetId="5" r:id="R7faea91bcbdf460e"/>
    <x:sheet xmlns:r="http://schemas.openxmlformats.org/officeDocument/2006/relationships" name="Formula Reference" sheetId="6" r:id="R16544a47ee304e14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9a7eb23c9496b" /><Relationship Type="http://schemas.openxmlformats.org/officeDocument/2006/relationships/theme" Target="/xl/theme/theme1.xml" Id="Rf25c152ada8740fc" /><Relationship Type="http://schemas.openxmlformats.org/officeDocument/2006/relationships/sheetMetadata" Target="/xl/metadata1.xml" Id="Raba49673a77644b1" /><Relationship Type="http://schemas.openxmlformats.org/officeDocument/2006/relationships/sharedStrings" Target="/xl/sharedStrings.xml" Id="Rf1f2ade2e40e4601" /><Relationship Type="http://schemas.openxmlformats.org/officeDocument/2006/relationships/worksheet" Target="/xl/worksheets/sheet1.xml" Id="R5f8e5ed6bb97431a" /><Relationship Type="http://schemas.openxmlformats.org/officeDocument/2006/relationships/worksheet" Target="/xl/worksheets/sheet2.xml" Id="R4e4ec62a2ac148f2" /><Relationship Type="http://schemas.openxmlformats.org/officeDocument/2006/relationships/worksheet" Target="/xl/worksheets/sheet3.xml" Id="Rd835e98351e54c1e" /><Relationship Type="http://schemas.openxmlformats.org/officeDocument/2006/relationships/worksheet" Target="/xl/worksheets/sheet4.xml" Id="R168328cfe81848de" /><Relationship Type="http://schemas.openxmlformats.org/officeDocument/2006/relationships/worksheet" Target="/xl/worksheets/sheet5.xml" Id="R7faea91bcbdf460e" /><Relationship Type="http://schemas.openxmlformats.org/officeDocument/2006/relationships/worksheet" Target="/xl/worksheets/sheet6.xml" Id="R16544a47ee304e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BUS123 - Solving Business Problems with Technology</x:v>
      </x:c>
      <x:c r="B1" t="str"/>
      <x:c r="C1" t="str"/>
      <x:c r="D1" t="str"/>
    </x:row>
    <x:row r="2">
      <x:c r="A2" t="str">
        <x:v>EXCEL-M03-L01 - Excel Functions for Business Analysis</x:v>
      </x:c>
      <x:c r="B2" t="str"/>
      <x:c r="C2" t="str"/>
      <x:c r="D2" t="str"/>
    </x:row>
    <x:row r="3">
      <x:c r="A3" t="str"/>
      <x:c r="B3" t="str"/>
      <x:c r="C3" t="str"/>
      <x:c r="D3" t="str"/>
    </x:row>
    <x:row r="4">
      <x:c r="A4" t="str">
        <x:v>Purpose</x:v>
      </x:c>
      <x:c r="B4" t="str">
        <x:v>Use Excel functions to summarize, clean, filter, and report business data.</x:v>
      </x:c>
      <x:c r="C4" t="str"/>
      <x:c r="D4" t="str"/>
    </x:row>
    <x:row r="5">
      <x:c r="A5" t="str"/>
      <x:c r="B5" t="str"/>
      <x:c r="C5" t="str"/>
      <x:c r="D5" t="str"/>
    </x:row>
    <x:row r="6">
      <x:c r="A6" t="str">
        <x:v>Student Tasks</x:v>
      </x:c>
      <x:c r="B6" t="str">
        <x:v>1. Complete Core Functions yellow cells.</x:v>
      </x:c>
      <x:c r="C6" t="str"/>
      <x:c r="D6" t="str"/>
    </x:row>
    <x:row r="7">
      <x:c r="A7" t="str"/>
      <x:c r="B7" t="str">
        <x:v>2. Use Dynamic Arrays to create spill ranges.</x:v>
      </x:c>
      <x:c r="C7" t="str"/>
      <x:c r="D7" t="str"/>
    </x:row>
    <x:row r="8">
      <x:c r="A8" t="str"/>
      <x:c r="B8" t="str">
        <x:v>3. Use XLOOKUP, SUMIFS, COUNTIFS, and IF in Reporting Lab.</x:v>
      </x:c>
      <x:c r="C8" t="str"/>
      <x:c r="D8" t="str"/>
    </x:row>
    <x:row r="9">
      <x:c r="A9" t="str"/>
      <x:c r="B9" t="str">
        <x:v>4. Answer the reflection prompts in each sheet.</x:v>
      </x:c>
      <x:c r="C9" t="str"/>
      <x:c r="D9" t="str"/>
    </x:row>
    <x:row r="10">
      <x:c r="A10" t="str"/>
      <x:c r="B10" t="str"/>
      <x:c r="C10" t="str"/>
      <x:c r="D10" t="str"/>
    </x:row>
    <x:row r="11">
      <x:c r="A11" t="str">
        <x:v>Case Companies</x:v>
      </x:c>
      <x:c r="B11" t="str">
        <x:v>Anchor &amp; Oak Events</x:v>
      </x:c>
      <x:c r="C11" t="str">
        <x:v>Tidal Goods Co.</x:v>
      </x:c>
      <x:c r="D11" t="str">
        <x:v>Harborside Medical Center</x:v>
      </x:c>
    </x:row>
    <x:row r="12">
      <x:c r="A12" t="str"/>
      <x:c r="B12" t="str">
        <x:v>Meridian Advisory Group</x:v>
      </x:c>
      <x:c r="C12" t="str"/>
      <x:c r="D12" t="str"/>
    </x:row>
    <x:row r="13">
      <x:c r="A13" t="str"/>
      <x:c r="B13" t="str"/>
      <x:c r="C13" t="str"/>
      <x:c r="D13" t="str"/>
    </x:row>
    <x:row r="14">
      <x:c r="A14" t="str">
        <x:v>Color Guide</x:v>
      </x:c>
      <x:c r="B14" t="str">
        <x:v>Yellow cells are student formula cells.</x:v>
      </x:c>
      <x:c r="C14" t="str"/>
      <x:c r="D14" t="str"/>
    </x:row>
    <x:row r="15">
      <x:c r="A15" t="str"/>
      <x:c r="B15" t="str">
        <x:v>Green cells contain feedback checks.</x:v>
      </x:c>
      <x:c r="C15" t="str"/>
      <x:c r="D15" t="str"/>
    </x:row>
    <x:row r="16">
      <x:c r="A16" t="str"/>
      <x:c r="B16" t="str">
        <x:v>Blue tables are source data. Do not overwrite Raw Data.</x:v>
      </x:c>
      <x:c r="C16" t="str"/>
      <x:c r="D16" t="str"/>
    </x:row>
    <x:row r="17">
      <x:c r="A17" t="str"/>
      <x:c r="B17" t="str"/>
      <x:c r="C17" t="str"/>
      <x:c r="D17" t="str"/>
    </x:row>
    <x:row r="18">
      <x:c r="A18" t="str">
        <x:v>Submission Reminder</x:v>
      </x:c>
      <x:c r="B18" t="str">
        <x:v>Save the completed workbook with your name before uploading to Canvas.</x:v>
      </x:c>
      <x:c r="C18" t="str"/>
      <x:c r="D18" t="str"/>
    </x:row>
    <x:row r="19">
      <x:c r="A19" t="str"/>
      <x:c r="B19" t="str"/>
      <x:c r="C19" t="str"/>
      <x:c r="D19" t="str"/>
    </x:row>
    <x:row r="20">
      <x:c r="A20" t="str">
        <x:v>This workbook intentionally uses only student-facing data. It does not contain answer keys or hidden grading notes.</x:v>
      </x:c>
      <x:c r="B20" t="str"/>
      <x:c r="C20" t="str"/>
      <x:c r="D20" t="str"/>
    </x:row>
    <x:row r="21">
      <x:c r="A21" t="str"/>
      <x:c r="B21" t="str"/>
      <x:c r="C21" t="str"/>
      <x:c r="D21" t="str"/>
    </x:row>
    <x:row r="22">
      <x:c r="A22" t="str">
        <x:v>Start with the Raw Data tab, then move left to right through the workbook.</x:v>
      </x:c>
      <x:c r="B22" t="str"/>
      <x:c r="C22" t="str"/>
      <x:c r="D22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Company</x:v>
      </x:c>
      <x:c r="B1" t="str">
        <x:v>Record ID</x:v>
      </x:c>
      <x:c r="C1" t="str">
        <x:v>Month</x:v>
      </x:c>
      <x:c r="D1" t="str">
        <x:v>Category</x:v>
      </x:c>
      <x:c r="E1" t="str">
        <x:v>Department</x:v>
      </x:c>
      <x:c r="F1" t="str">
        <x:v>Region</x:v>
      </x:c>
      <x:c r="G1" t="str">
        <x:v>Status</x:v>
      </x:c>
      <x:c r="H1" t="str">
        <x:v>Amount</x:v>
      </x:c>
    </x:row>
    <x:row r="2">
      <x:c r="A2" t="str">
        <x:v>Anchor &amp; Oak Events</x:v>
      </x:c>
      <x:c r="B2" t="str">
        <x:v>AO-001</x:v>
      </x:c>
      <x:c r="C2" t="str">
        <x:v>Jan</x:v>
      </x:c>
      <x:c r="D2" t="str">
        <x:v>Wedding</x:v>
      </x:c>
      <x:c r="E2" t="str">
        <x:v>Events</x:v>
      </x:c>
      <x:c r="F2" t="str">
        <x:v>North</x:v>
      </x:c>
      <x:c r="G2" t="str">
        <x:v>Complete</x:v>
      </x:c>
      <x:c r="H2" t="n">
        <x:v>35700</x:v>
      </x:c>
    </x:row>
    <x:row r="3">
      <x:c r="A3" t="str">
        <x:v>Anchor &amp; Oak Events</x:v>
      </x:c>
      <x:c r="B3" t="str">
        <x:v>AO-002</x:v>
      </x:c>
      <x:c r="C3" t="str">
        <x:v>Feb</x:v>
      </x:c>
      <x:c r="D3" t="str">
        <x:v>Corporate</x:v>
      </x:c>
      <x:c r="E3" t="str">
        <x:v>Events</x:v>
      </x:c>
      <x:c r="F3" t="str">
        <x:v>North</x:v>
      </x:c>
      <x:c r="G3" t="str">
        <x:v>Complete</x:v>
      </x:c>
      <x:c r="H3" t="n">
        <x:v>21400</x:v>
      </x:c>
    </x:row>
    <x:row r="4">
      <x:c r="A4" t="str">
        <x:v>Anchor &amp; Oak Events</x:v>
      </x:c>
      <x:c r="B4" t="str">
        <x:v>AO-003</x:v>
      </x:c>
      <x:c r="C4" t="str">
        <x:v>Mar</x:v>
      </x:c>
      <x:c r="D4" t="str">
        <x:v>Private</x:v>
      </x:c>
      <x:c r="E4" t="str">
        <x:v>Events</x:v>
      </x:c>
      <x:c r="F4" t="str">
        <x:v>South</x:v>
      </x:c>
      <x:c r="G4" t="str">
        <x:v>Complete</x:v>
      </x:c>
      <x:c r="H4" t="n">
        <x:v>29500</x:v>
      </x:c>
    </x:row>
    <x:row r="5">
      <x:c r="A5" t="str">
        <x:v>Anchor &amp; Oak Events</x:v>
      </x:c>
      <x:c r="B5" t="str">
        <x:v>AO-004</x:v>
      </x:c>
      <x:c r="C5" t="str">
        <x:v>Apr</x:v>
      </x:c>
      <x:c r="D5" t="str">
        <x:v>Wedding</x:v>
      </x:c>
      <x:c r="E5" t="str">
        <x:v>Events</x:v>
      </x:c>
      <x:c r="F5" t="str">
        <x:v>South</x:v>
      </x:c>
      <x:c r="G5" t="str">
        <x:v>Complete</x:v>
      </x:c>
      <x:c r="H5" t="n">
        <x:v>43300</x:v>
      </x:c>
    </x:row>
    <x:row r="6">
      <x:c r="A6" t="str">
        <x:v>Anchor &amp; Oak Events</x:v>
      </x:c>
      <x:c r="B6" t="str">
        <x:v>AO-005</x:v>
      </x:c>
      <x:c r="C6" t="str">
        <x:v>May</x:v>
      </x:c>
      <x:c r="D6" t="str">
        <x:v>Corporate</x:v>
      </x:c>
      <x:c r="E6" t="str">
        <x:v>Events</x:v>
      </x:c>
      <x:c r="F6" t="str">
        <x:v>North</x:v>
      </x:c>
      <x:c r="G6" t="str">
        <x:v>Complete</x:v>
      </x:c>
      <x:c r="H6" t="n">
        <x:v>54600</x:v>
      </x:c>
    </x:row>
    <x:row r="7">
      <x:c r="A7" t="str">
        <x:v>Anchor &amp; Oak Events</x:v>
      </x:c>
      <x:c r="B7" t="str">
        <x:v>AO-006</x:v>
      </x:c>
      <x:c r="C7" t="str">
        <x:v>Jun</x:v>
      </x:c>
      <x:c r="D7" t="str">
        <x:v>Wedding</x:v>
      </x:c>
      <x:c r="E7" t="str">
        <x:v>Events</x:v>
      </x:c>
      <x:c r="F7" t="str">
        <x:v>North</x:v>
      </x:c>
      <x:c r="G7" t="str">
        <x:v>Complete</x:v>
      </x:c>
      <x:c r="H7" t="n">
        <x:v>67200</x:v>
      </x:c>
    </x:row>
    <x:row r="8">
      <x:c r="A8" t="str">
        <x:v>Anchor &amp; Oak Events</x:v>
      </x:c>
      <x:c r="B8" t="str">
        <x:v>AO-007</x:v>
      </x:c>
      <x:c r="C8" t="str">
        <x:v>Jul</x:v>
      </x:c>
      <x:c r="D8" t="str">
        <x:v>Wedding</x:v>
      </x:c>
      <x:c r="E8" t="str">
        <x:v>Events</x:v>
      </x:c>
      <x:c r="F8" t="str">
        <x:v>South</x:v>
      </x:c>
      <x:c r="G8" t="str">
        <x:v>Complete</x:v>
      </x:c>
      <x:c r="H8" t="n">
        <x:v>74500</x:v>
      </x:c>
    </x:row>
    <x:row r="9">
      <x:c r="A9" t="str">
        <x:v>Anchor &amp; Oak Events</x:v>
      </x:c>
      <x:c r="B9" t="str">
        <x:v>AO-008</x:v>
      </x:c>
      <x:c r="C9" t="str">
        <x:v>Aug</x:v>
      </x:c>
      <x:c r="D9" t="str">
        <x:v>Private</x:v>
      </x:c>
      <x:c r="E9" t="str">
        <x:v>Events</x:v>
      </x:c>
      <x:c r="F9" t="str">
        <x:v>South</x:v>
      </x:c>
      <x:c r="G9" t="str">
        <x:v>Complete</x:v>
      </x:c>
      <x:c r="H9" t="n">
        <x:v>63800</x:v>
      </x:c>
    </x:row>
    <x:row r="10">
      <x:c r="A10" t="str">
        <x:v>Anchor &amp; Oak Events</x:v>
      </x:c>
      <x:c r="B10" t="str">
        <x:v>AO-009</x:v>
      </x:c>
      <x:c r="C10" t="str">
        <x:v>Sep</x:v>
      </x:c>
      <x:c r="D10" t="str">
        <x:v>Corporate</x:v>
      </x:c>
      <x:c r="E10" t="str">
        <x:v>Events</x:v>
      </x:c>
      <x:c r="F10" t="str">
        <x:v>North</x:v>
      </x:c>
      <x:c r="G10" t="str">
        <x:v>Complete</x:v>
      </x:c>
      <x:c r="H10" t="n">
        <x:v>47200</x:v>
      </x:c>
    </x:row>
    <x:row r="11">
      <x:c r="A11" t="str">
        <x:v>Anchor &amp; Oak Events</x:v>
      </x:c>
      <x:c r="B11" t="str">
        <x:v>AO-010</x:v>
      </x:c>
      <x:c r="C11" t="str">
        <x:v>Oct</x:v>
      </x:c>
      <x:c r="D11" t="str">
        <x:v>Private</x:v>
      </x:c>
      <x:c r="E11" t="str">
        <x:v>Events</x:v>
      </x:c>
      <x:c r="F11" t="str">
        <x:v>North</x:v>
      </x:c>
      <x:c r="G11" t="str">
        <x:v>Complete</x:v>
      </x:c>
      <x:c r="H11" t="n">
        <x:v>40400</x:v>
      </x:c>
    </x:row>
    <x:row r="12">
      <x:c r="A12" t="str">
        <x:v>Anchor &amp; Oak Events</x:v>
      </x:c>
      <x:c r="B12" t="str">
        <x:v>AO-011</x:v>
      </x:c>
      <x:c r="C12" t="str">
        <x:v>Nov</x:v>
      </x:c>
      <x:c r="D12" t="str">
        <x:v>Corporate</x:v>
      </x:c>
      <x:c r="E12" t="str">
        <x:v>Events</x:v>
      </x:c>
      <x:c r="F12" t="str">
        <x:v>South</x:v>
      </x:c>
      <x:c r="G12" t="str">
        <x:v>Pending</x:v>
      </x:c>
      <x:c r="H12" t="n">
        <x:v>38600</x:v>
      </x:c>
    </x:row>
    <x:row r="13">
      <x:c r="A13" t="str">
        <x:v>Anchor &amp; Oak Events</x:v>
      </x:c>
      <x:c r="B13" t="str">
        <x:v>AO-012</x:v>
      </x:c>
      <x:c r="C13" t="str">
        <x:v>Dec</x:v>
      </x:c>
      <x:c r="D13" t="str">
        <x:v>Wedding</x:v>
      </x:c>
      <x:c r="E13" t="str">
        <x:v>Events</x:v>
      </x:c>
      <x:c r="F13" t="str">
        <x:v>North</x:v>
      </x:c>
      <x:c r="G13" t="str">
        <x:v>Pending</x:v>
      </x:c>
      <x:c r="H13" t="n">
        <x:v>51200</x:v>
      </x:c>
    </x:row>
    <x:row r="14">
      <x:c r="A14" t="str">
        <x:v>Tidal Goods Co.</x:v>
      </x:c>
      <x:c r="B14" t="str">
        <x:v>TG-001</x:v>
      </x:c>
      <x:c r="C14" t="str">
        <x:v>Jan</x:v>
      </x:c>
      <x:c r="D14" t="str">
        <x:v>Kitchen</x:v>
      </x:c>
      <x:c r="E14" t="str">
        <x:v>Retail</x:v>
      </x:c>
      <x:c r="F14" t="str">
        <x:v>North</x:v>
      </x:c>
      <x:c r="G14" t="str">
        <x:v>Complete</x:v>
      </x:c>
      <x:c r="H14" t="n">
        <x:v>8400</x:v>
      </x:c>
    </x:row>
    <x:row r="15">
      <x:c r="A15" t="str">
        <x:v>Tidal Goods Co.</x:v>
      </x:c>
      <x:c r="B15" t="str">
        <x:v>TG-002</x:v>
      </x:c>
      <x:c r="C15" t="str">
        <x:v>Jan</x:v>
      </x:c>
      <x:c r="D15" t="str">
        <x:v>Storage</x:v>
      </x:c>
      <x:c r="E15" t="str">
        <x:v>Retail</x:v>
      </x:c>
      <x:c r="F15" t="str">
        <x:v>North</x:v>
      </x:c>
      <x:c r="G15" t="str">
        <x:v>Complete</x:v>
      </x:c>
      <x:c r="H15" t="n">
        <x:v>5100</x:v>
      </x:c>
    </x:row>
    <x:row r="16">
      <x:c r="A16" t="str">
        <x:v>Tidal Goods Co.</x:v>
      </x:c>
      <x:c r="B16" t="str">
        <x:v>TG-003</x:v>
      </x:c>
      <x:c r="C16" t="str">
        <x:v>Feb</x:v>
      </x:c>
      <x:c r="D16" t="str">
        <x:v>Kitchen</x:v>
      </x:c>
      <x:c r="E16" t="str">
        <x:v>Retail</x:v>
      </x:c>
      <x:c r="F16" t="str">
        <x:v>South</x:v>
      </x:c>
      <x:c r="G16" t="str">
        <x:v>Complete</x:v>
      </x:c>
      <x:c r="H16" t="n">
        <x:v>3900</x:v>
      </x:c>
    </x:row>
    <x:row r="17">
      <x:c r="A17" t="str">
        <x:v>Tidal Goods Co.</x:v>
      </x:c>
      <x:c r="B17" t="str">
        <x:v>TG-004</x:v>
      </x:c>
      <x:c r="C17" t="str">
        <x:v>Feb</x:v>
      </x:c>
      <x:c r="D17" t="str">
        <x:v>Kitchen</x:v>
      </x:c>
      <x:c r="E17" t="str">
        <x:v>Retail</x:v>
      </x:c>
      <x:c r="F17" t="str">
        <x:v>North</x:v>
      </x:c>
      <x:c r="G17" t="str">
        <x:v>Complete</x:v>
      </x:c>
      <x:c r="H17" t="n">
        <x:v>6200</x:v>
      </x:c>
    </x:row>
    <x:row r="18">
      <x:c r="A18" t="str">
        <x:v>Tidal Goods Co.</x:v>
      </x:c>
      <x:c r="B18" t="str">
        <x:v>TG-005</x:v>
      </x:c>
      <x:c r="C18" t="str">
        <x:v>Mar</x:v>
      </x:c>
      <x:c r="D18" t="str">
        <x:v>Outdoor</x:v>
      </x:c>
      <x:c r="E18" t="str">
        <x:v>Retail</x:v>
      </x:c>
      <x:c r="F18" t="str">
        <x:v>South</x:v>
      </x:c>
      <x:c r="G18" t="str">
        <x:v>Complete</x:v>
      </x:c>
      <x:c r="H18" t="n">
        <x:v>7600</x:v>
      </x:c>
    </x:row>
    <x:row r="19">
      <x:c r="A19" t="str">
        <x:v>Tidal Goods Co.</x:v>
      </x:c>
      <x:c r="B19" t="str">
        <x:v>TG-006</x:v>
      </x:c>
      <x:c r="C19" t="str">
        <x:v>Mar</x:v>
      </x:c>
      <x:c r="D19" t="str">
        <x:v>Storage</x:v>
      </x:c>
      <x:c r="E19" t="str">
        <x:v>Retail</x:v>
      </x:c>
      <x:c r="F19" t="str">
        <x:v>North</x:v>
      </x:c>
      <x:c r="G19" t="str">
        <x:v>Pending</x:v>
      </x:c>
      <x:c r="H19" t="n">
        <x:v>4100</x:v>
      </x:c>
    </x:row>
    <x:row r="20">
      <x:c r="A20" t="str">
        <x:v>Harborside Medical Center</x:v>
      </x:c>
      <x:c r="B20" t="str">
        <x:v>HM-001</x:v>
      </x:c>
      <x:c r="C20" t="str">
        <x:v>Jan</x:v>
      </x:c>
      <x:c r="D20" t="str">
        <x:v>Medicare</x:v>
      </x:c>
      <x:c r="E20" t="str">
        <x:v>Billing</x:v>
      </x:c>
      <x:c r="F20" t="str">
        <x:v>North</x:v>
      </x:c>
      <x:c r="G20" t="str">
        <x:v>Open</x:v>
      </x:c>
      <x:c r="H20" t="n">
        <x:v>620</x:v>
      </x:c>
    </x:row>
    <x:row r="21">
      <x:c r="A21" t="str">
        <x:v>Harborside Medical Center</x:v>
      </x:c>
      <x:c r="B21" t="str">
        <x:v>HM-002</x:v>
      </x:c>
      <x:c r="C21" t="str">
        <x:v>Jan</x:v>
      </x:c>
      <x:c r="D21" t="str">
        <x:v>Commercial</x:v>
      </x:c>
      <x:c r="E21" t="str">
        <x:v>Billing</x:v>
      </x:c>
      <x:c r="F21" t="str">
        <x:v>North</x:v>
      </x:c>
      <x:c r="G21" t="str">
        <x:v>Closed</x:v>
      </x:c>
      <x:c r="H21" t="n">
        <x:v>240</x:v>
      </x:c>
    </x:row>
    <x:row r="22">
      <x:c r="A22" t="str">
        <x:v>Harborside Medical Center</x:v>
      </x:c>
      <x:c r="B22" t="str">
        <x:v>HM-003</x:v>
      </x:c>
      <x:c r="C22" t="str">
        <x:v>Feb</x:v>
      </x:c>
      <x:c r="D22" t="str">
        <x:v>Medicaid</x:v>
      </x:c>
      <x:c r="E22" t="str">
        <x:v>Billing</x:v>
      </x:c>
      <x:c r="F22" t="str">
        <x:v>South</x:v>
      </x:c>
      <x:c r="G22" t="str">
        <x:v>Open</x:v>
      </x:c>
      <x:c r="H22" t="n">
        <x:v>780</x:v>
      </x:c>
    </x:row>
    <x:row r="23">
      <x:c r="A23" t="str">
        <x:v>Harborside Medical Center</x:v>
      </x:c>
      <x:c r="B23" t="str">
        <x:v>HM-004</x:v>
      </x:c>
      <x:c r="C23" t="str">
        <x:v>Feb</x:v>
      </x:c>
      <x:c r="D23" t="str">
        <x:v>Medicare</x:v>
      </x:c>
      <x:c r="E23" t="str">
        <x:v>Billing</x:v>
      </x:c>
      <x:c r="F23" t="str">
        <x:v>South</x:v>
      </x:c>
      <x:c r="G23" t="str">
        <x:v>Closed</x:v>
      </x:c>
      <x:c r="H23" t="n">
        <x:v>510</x:v>
      </x:c>
    </x:row>
    <x:row r="24">
      <x:c r="A24" t="str">
        <x:v>Harborside Medical Center</x:v>
      </x:c>
      <x:c r="B24" t="str">
        <x:v>HM-005</x:v>
      </x:c>
      <x:c r="C24" t="str">
        <x:v>Mar</x:v>
      </x:c>
      <x:c r="D24" t="str">
        <x:v>Commercial</x:v>
      </x:c>
      <x:c r="E24" t="str">
        <x:v>Billing</x:v>
      </x:c>
      <x:c r="F24" t="str">
        <x:v>North</x:v>
      </x:c>
      <x:c r="G24" t="str">
        <x:v>Open</x:v>
      </x:c>
      <x:c r="H24" t="n">
        <x:v>940</x:v>
      </x:c>
    </x:row>
    <x:row r="25">
      <x:c r="A25" t="str">
        <x:v>Harborside Medical Center</x:v>
      </x:c>
      <x:c r="B25" t="str">
        <x:v>HM-006</x:v>
      </x:c>
      <x:c r="C25" t="str">
        <x:v>Mar</x:v>
      </x:c>
      <x:c r="D25" t="str">
        <x:v>Medicare</x:v>
      </x:c>
      <x:c r="E25" t="str">
        <x:v>Billing</x:v>
      </x:c>
      <x:c r="F25" t="str">
        <x:v>North</x:v>
      </x:c>
      <x:c r="G25" t="str">
        <x:v>Open</x:v>
      </x:c>
      <x:c r="H25" t="n">
        <x:v>450</x:v>
      </x:c>
    </x:row>
    <x:row r="26">
      <x:c r="A26" t="str">
        <x:v>Meridian Advisory Group</x:v>
      </x:c>
      <x:c r="B26" t="str">
        <x:v>MA-001</x:v>
      </x:c>
      <x:c r="C26" t="str">
        <x:v>Jan</x:v>
      </x:c>
      <x:c r="D26" t="str">
        <x:v>Payroll</x:v>
      </x:c>
      <x:c r="E26" t="str">
        <x:v>Advisory</x:v>
      </x:c>
      <x:c r="F26" t="str">
        <x:v>North</x:v>
      </x:c>
      <x:c r="G26" t="str">
        <x:v>Complete</x:v>
      </x:c>
      <x:c r="H26" t="n">
        <x:v>4800</x:v>
      </x:c>
    </x:row>
    <x:row r="27">
      <x:c r="A27" t="str">
        <x:v>Meridian Advisory Group</x:v>
      </x:c>
      <x:c r="B27" t="str">
        <x:v>MA-002</x:v>
      </x:c>
      <x:c r="C27" t="str">
        <x:v>Jan</x:v>
      </x:c>
      <x:c r="D27" t="str">
        <x:v>Payroll</x:v>
      </x:c>
      <x:c r="E27" t="str">
        <x:v>Advisory</x:v>
      </x:c>
      <x:c r="F27" t="str">
        <x:v>South</x:v>
      </x:c>
      <x:c r="G27" t="str">
        <x:v>Complete</x:v>
      </x:c>
      <x:c r="H27" t="n">
        <x:v>5200</x:v>
      </x:c>
    </x:row>
    <x:row r="28">
      <x:c r="A28" t="str">
        <x:v>Meridian Advisory Group</x:v>
      </x:c>
      <x:c r="B28" t="str">
        <x:v>MA-003</x:v>
      </x:c>
      <x:c r="C28" t="str">
        <x:v>Feb</x:v>
      </x:c>
      <x:c r="D28" t="str">
        <x:v>Benefits</x:v>
      </x:c>
      <x:c r="E28" t="str">
        <x:v>Advisory</x:v>
      </x:c>
      <x:c r="F28" t="str">
        <x:v>North</x:v>
      </x:c>
      <x:c r="G28" t="str">
        <x:v>Pending</x:v>
      </x:c>
      <x:c r="H28" t="n">
        <x:v>3100</x:v>
      </x:c>
    </x:row>
    <x:row r="29">
      <x:c r="A29" t="str">
        <x:v>Meridian Advisory Group</x:v>
      </x:c>
      <x:c r="B29" t="str">
        <x:v>MA-004</x:v>
      </x:c>
      <x:c r="C29" t="str">
        <x:v>Feb</x:v>
      </x:c>
      <x:c r="D29" t="str">
        <x:v>Payroll</x:v>
      </x:c>
      <x:c r="E29" t="str">
        <x:v>Advisory</x:v>
      </x:c>
      <x:c r="F29" t="str">
        <x:v>South</x:v>
      </x:c>
      <x:c r="G29" t="str">
        <x:v>Complete</x:v>
      </x:c>
      <x:c r="H29" t="n">
        <x:v>6100</x:v>
      </x:c>
    </x:row>
    <x:row r="30">
      <x:c r="A30" t="str">
        <x:v>Meridian Advisory Group</x:v>
      </x:c>
      <x:c r="B30" t="str">
        <x:v>MA-005</x:v>
      </x:c>
      <x:c r="C30" t="str">
        <x:v>Mar</x:v>
      </x:c>
      <x:c r="D30" t="str">
        <x:v>Tax</x:v>
      </x:c>
      <x:c r="E30" t="str">
        <x:v>Advisory</x:v>
      </x:c>
      <x:c r="F30" t="str">
        <x:v>North</x:v>
      </x:c>
      <x:c r="G30" t="str">
        <x:v>Complete</x:v>
      </x:c>
      <x:c r="H30" t="n">
        <x:v>7300</x:v>
      </x:c>
    </x:row>
    <x:row r="31">
      <x:c r="A31" t="str">
        <x:v>Meridian Advisory Group</x:v>
      </x:c>
      <x:c r="B31" t="str">
        <x:v>MA-006</x:v>
      </x:c>
      <x:c r="C31" t="str">
        <x:v>Mar</x:v>
      </x:c>
      <x:c r="D31" t="str">
        <x:v>Benefits</x:v>
      </x:c>
      <x:c r="E31" t="str">
        <x:v>Advisory</x:v>
      </x:c>
      <x:c r="F31" t="str">
        <x:v>South</x:v>
      </x:c>
      <x:c r="G31" t="str">
        <x:v>Pending</x:v>
      </x:c>
      <x:c r="H31" t="n">
        <x:v>2800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Anchor &amp; Oak Events - Core Summary Functions</x:v>
      </x:c>
      <x:c r="B1" t="str"/>
      <x:c r="C1" t="str"/>
      <x:c r="D1" t="str"/>
      <x:c r="E1" t="str"/>
      <x:c r="F1" t="str"/>
      <x:c r="G1" t="str"/>
    </x:row>
    <x:row r="3">
      <x:c r="A3" t="str">
        <x:v>Month</x:v>
      </x:c>
      <x:c r="B3" t="str">
        <x:v>Revenue</x:v>
      </x:c>
      <x:c r="C3" t="str">
        <x:v>SUM Running Total</x:v>
      </x:c>
      <x:c r="D3" t="str">
        <x:v>Average Check</x:v>
      </x:c>
      <x:c r="E3" t="str">
        <x:v>Status</x:v>
      </x:c>
      <x:c r="F3" t="str">
        <x:v>Student Formula Notes</x:v>
      </x:c>
      <x:c r="H3" t="str">
        <x:v>Task</x:v>
      </x:c>
      <x:c r="I3" t="str">
        <x:v>Student Formula Cell</x:v>
      </x:c>
      <x:c r="J3" t="str">
        <x:v>Expected Skill</x:v>
      </x:c>
    </x:row>
    <x:row r="4">
      <x:c r="A4" t="str">
        <x:v>Jan</x:v>
      </x:c>
      <x:c r="B4" t="n">
        <x:v>35700</x:v>
      </x:c>
      <x:c r="H4" t="str">
        <x:v>Annual revenue total</x:v>
      </x:c>
      <x:c r="I4" t="str">
        <x:v>B18</x:v>
      </x:c>
      <x:c r="J4" t="str">
        <x:v>SUM</x:v>
      </x:c>
    </x:row>
    <x:row r="5">
      <x:c r="A5" t="str">
        <x:v>Feb</x:v>
      </x:c>
      <x:c r="B5" t="n">
        <x:v>21400</x:v>
      </x:c>
      <x:c r="H5" t="str">
        <x:v>Average monthly revenue</x:v>
      </x:c>
      <x:c r="I5" t="str">
        <x:v>B19</x:v>
      </x:c>
      <x:c r="J5" t="str">
        <x:v>AVERAGE</x:v>
      </x:c>
    </x:row>
    <x:row r="6">
      <x:c r="A6" t="str">
        <x:v>Mar</x:v>
      </x:c>
      <x:c r="B6" t="n">
        <x:v>29500</x:v>
      </x:c>
      <x:c r="H6" t="str">
        <x:v>Best month revenue</x:v>
      </x:c>
      <x:c r="I6" t="str">
        <x:v>B20</x:v>
      </x:c>
      <x:c r="J6" t="str">
        <x:v>MAX</x:v>
      </x:c>
    </x:row>
    <x:row r="7">
      <x:c r="A7" t="str">
        <x:v>Apr</x:v>
      </x:c>
      <x:c r="B7" t="n">
        <x:v>43300</x:v>
      </x:c>
      <x:c r="H7" t="str">
        <x:v>Slowest month revenue</x:v>
      </x:c>
      <x:c r="I7" t="str">
        <x:v>B21</x:v>
      </x:c>
      <x:c r="J7" t="str">
        <x:v>MIN</x:v>
      </x:c>
    </x:row>
    <x:row r="8">
      <x:c r="A8" t="str">
        <x:v>May</x:v>
      </x:c>
      <x:c r="B8" t="n">
        <x:v>54600</x:v>
      </x:c>
      <x:c r="H8" t="str">
        <x:v>Number of numeric months</x:v>
      </x:c>
      <x:c r="I8" t="str">
        <x:v>B22</x:v>
      </x:c>
      <x:c r="J8" t="str">
        <x:v>COUNT</x:v>
      </x:c>
    </x:row>
    <x:row r="9">
      <x:c r="A9" t="str">
        <x:v>Jun</x:v>
      </x:c>
      <x:c r="B9" t="n">
        <x:v>67200</x:v>
      </x:c>
      <x:c r="H9" t="str">
        <x:v>Number of month labels</x:v>
      </x:c>
      <x:c r="I9" t="str">
        <x:v>B23</x:v>
      </x:c>
      <x:c r="J9" t="str">
        <x:v>COUNTA</x:v>
      </x:c>
    </x:row>
    <x:row r="10">
      <x:c r="A10" t="str">
        <x:v>Jul</x:v>
      </x:c>
      <x:c r="B10" t="n">
        <x:v>74500</x:v>
      </x:c>
    </x:row>
    <x:row r="11">
      <x:c r="A11" t="str">
        <x:v>Aug</x:v>
      </x:c>
      <x:c r="B11" t="n">
        <x:v>63800</x:v>
      </x:c>
    </x:row>
    <x:row r="12">
      <x:c r="A12" t="str">
        <x:v>Sep</x:v>
      </x:c>
      <x:c r="B12" t="n">
        <x:v>47200</x:v>
      </x:c>
    </x:row>
    <x:row r="13">
      <x:c r="A13" t="str">
        <x:v>Oct</x:v>
      </x:c>
      <x:c r="B13" t="n">
        <x:v>40400</x:v>
      </x:c>
    </x:row>
    <x:row r="14">
      <x:c r="A14" t="str">
        <x:v>Nov</x:v>
      </x:c>
      <x:c r="B14" t="n">
        <x:v>38600</x:v>
      </x:c>
    </x:row>
    <x:row r="15">
      <x:c r="A15" t="str">
        <x:v>Dec</x:v>
      </x:c>
      <x:c r="B15" t="n">
        <x:v>51200</x:v>
      </x:c>
    </x:row>
    <x:row r="17">
      <x:c r="A17" t="str">
        <x:v>Summary Question</x:v>
      </x:c>
      <x:c r="B17" t="str">
        <x:v>Student Formula</x:v>
      </x:c>
      <x:c r="D17" t="str">
        <x:v>Feedback Check</x:v>
      </x:c>
      <x:c r="E17" t="str">
        <x:v>Result</x:v>
      </x:c>
    </x:row>
    <x:row r="18">
      <x:c r="A18" t="str">
        <x:v>Annual revenue total</x:v>
      </x:c>
      <x:c r="B18"/>
      <x:c r="D18" t="str">
        <x:v>SUM check</x:v>
      </x:c>
      <x:c r="E18" t="str">
        <x:f>IF(B18="","Enter a formula",IF(ABS(B18-SUM(B4:B15))&lt;0.01,"Looks right","Check SUM range"))</x:f>
        <x:v>Enter a formula</x:v>
      </x:c>
    </x:row>
    <x:row r="19">
      <x:c r="A19" t="str">
        <x:v>Average monthly revenue</x:v>
      </x:c>
      <x:c r="B19"/>
      <x:c r="D19" t="str">
        <x:v>AVERAGE check</x:v>
      </x:c>
      <x:c r="E19" t="str">
        <x:f>IF(B19="","Enter a formula",IF(ABS(B19-AVERAGE(B4:B15))&lt;0.01,"Looks right","Check AVERAGE range"))</x:f>
        <x:v>Enter a formula</x:v>
      </x:c>
    </x:row>
    <x:row r="20">
      <x:c r="A20" t="str">
        <x:v>Best month revenue</x:v>
      </x:c>
      <x:c r="B20"/>
      <x:c r="D20" t="str">
        <x:v>MAX check</x:v>
      </x:c>
      <x:c r="E20" t="str">
        <x:f>IF(B20="","Enter a formula",IF(ABS(B20-MAX(B4:B15))&lt;0.01,"Looks right","Check MAX range"))</x:f>
        <x:v>Enter a formula</x:v>
      </x:c>
    </x:row>
    <x:row r="21">
      <x:c r="A21" t="str">
        <x:v>Slowest month revenue</x:v>
      </x:c>
      <x:c r="B21"/>
      <x:c r="D21" t="str">
        <x:v>MIN check</x:v>
      </x:c>
      <x:c r="E21" t="str">
        <x:f>IF(B21="","Enter a formula",IF(ABS(B21-MIN(B4:B15))&lt;0.01,"Looks right","Check MIN range"))</x:f>
        <x:v>Enter a formula</x:v>
      </x:c>
    </x:row>
    <x:row r="22">
      <x:c r="A22" t="str">
        <x:v>Number of numeric months</x:v>
      </x:c>
      <x:c r="B22"/>
      <x:c r="D22" t="str">
        <x:v>COUNT check</x:v>
      </x:c>
      <x:c r="E22" t="str">
        <x:f>IF(B22="","Enter a formula",IF(B22=COUNT(B4:B15),"Looks right","COUNT should count numeric cells"))</x:f>
        <x:v>Enter a formula</x:v>
      </x:c>
    </x:row>
    <x:row r="23">
      <x:c r="A23" t="str">
        <x:v>Number of month labels</x:v>
      </x:c>
      <x:c r="B23"/>
      <x:c r="D23" t="str">
        <x:v>COUNTA check</x:v>
      </x:c>
      <x:c r="E23" t="str">
        <x:f>IF(B23="","Enter a formula",IF(B23=COUNTA(A4:A15),"Looks right","COUNTA should count month labels"))</x:f>
        <x:v>Enter a formula</x:v>
      </x:c>
    </x:row>
    <x:row r="25">
      <x:c r="A25" t="str">
        <x:v>Reflection Prompt</x:v>
      </x:c>
      <x:c r="B25" t="str"/>
      <x:c r="C25" t="str"/>
      <x:c r="D25" t="str"/>
      <x:c r="E25" t="str"/>
      <x:c r="F25" t="str"/>
      <x:c r="G25" t="str"/>
    </x:row>
    <x:row r="26">
      <x:c r="A26" t="str">
        <x:v>Which summary function best answers: "What is a normal month for Anchor &amp; Oak?"</x:v>
      </x:c>
      <x:c r="B26" t="str"/>
      <x:c r="C26" t="str"/>
      <x:c r="D26" t="str"/>
      <x:c r="E26" t="str"/>
      <x:c r="F26" t="str"/>
      <x:c r="G26" t="str"/>
    </x:row>
    <x:row r="27">
      <x:c r="A27" t="str">
        <x:v>Which month would you investigate first if you were managing staffing?</x:v>
      </x:c>
      <x:c r="B27" t="str"/>
      <x:c r="C27" t="str"/>
      <x:c r="D27" t="str"/>
      <x:c r="E27" t="str"/>
      <x:c r="F27" t="str"/>
      <x:c r="G27" t="str"/>
    </x:row>
    <x:row r="28">
      <x:c r="A28" t="str">
        <x:v>What formula risk appears if a student includes the header row?</x:v>
      </x:c>
      <x:c r="B28" t="str"/>
      <x:c r="C28" t="str"/>
      <x:c r="D28" t="str"/>
      <x:c r="E28" t="str"/>
      <x:c r="F28" t="str"/>
      <x:c r="G2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Dynamic Arrays and Spill Practice</x:v>
      </x:c>
      <x:c r="B1" t="str"/>
      <x:c r="C1" t="str"/>
      <x:c r="D1" t="str"/>
      <x:c r="E1" t="str"/>
      <x:c r="F1" t="str"/>
      <x:c r="G1" t="str"/>
      <x:c r="H1" t="str"/>
    </x:row>
    <x:row r="3">
      <x:c r="A3" t="str">
        <x:v>Company</x:v>
      </x:c>
      <x:c r="B3" t="str">
        <x:v>Record ID</x:v>
      </x:c>
      <x:c r="C3" t="str">
        <x:v>Month</x:v>
      </x:c>
      <x:c r="D3" t="str">
        <x:v>Category</x:v>
      </x:c>
      <x:c r="E3" t="str">
        <x:v>Region</x:v>
      </x:c>
      <x:c r="F3" t="str">
        <x:v>Amount</x:v>
      </x:c>
      <x:c r="H3" t="str">
        <x:v>Task</x:v>
      </x:c>
      <x:c r="I3" t="str">
        <x:v>Anchor Cell</x:v>
      </x:c>
      <x:c r="J3" t="str">
        <x:v>Formula Goal</x:v>
      </x:c>
      <x:c r="K3" t="str">
        <x:v>Student Notes</x:v>
      </x:c>
    </x:row>
    <x:row r="4">
      <x:c r="A4" t="str">
        <x:v>Anchor &amp; Oak Events</x:v>
      </x:c>
      <x:c r="B4" t="str">
        <x:v>AO-001</x:v>
      </x:c>
      <x:c r="C4" t="str">
        <x:v>Jan</x:v>
      </x:c>
      <x:c r="D4" t="str">
        <x:v>Wedding</x:v>
      </x:c>
      <x:c r="E4" t="str">
        <x:v>North</x:v>
      </x:c>
      <x:c r="F4" t="n">
        <x:v>35700</x:v>
      </x:c>
      <x:c r="H4" t="str">
        <x:v>Unique company list</x:v>
      </x:c>
      <x:c r="I4" t="str">
        <x:v>H16</x:v>
      </x:c>
      <x:c r="J4" t="str">
        <x:v>Use UNIQUE on Company column</x:v>
      </x:c>
      <x:c r="K4" t="str"/>
    </x:row>
    <x:row r="5">
      <x:c r="A5" t="str">
        <x:v>Anchor &amp; Oak Events</x:v>
      </x:c>
      <x:c r="B5" t="str">
        <x:v>AO-002</x:v>
      </x:c>
      <x:c r="C5" t="str">
        <x:v>Feb</x:v>
      </x:c>
      <x:c r="D5" t="str">
        <x:v>Corporate</x:v>
      </x:c>
      <x:c r="E5" t="str">
        <x:v>North</x:v>
      </x:c>
      <x:c r="F5" t="n">
        <x:v>21400</x:v>
      </x:c>
      <x:c r="H5" t="str">
        <x:v>Sorted category list</x:v>
      </x:c>
      <x:c r="I5" t="str">
        <x:v>H23</x:v>
      </x:c>
      <x:c r="J5" t="str">
        <x:v>Use SORT and UNIQUE on Category column</x:v>
      </x:c>
      <x:c r="K5" t="str"/>
    </x:row>
    <x:row r="6">
      <x:c r="A6" t="str">
        <x:v>Anchor &amp; Oak Events</x:v>
      </x:c>
      <x:c r="B6" t="str">
        <x:v>AO-003</x:v>
      </x:c>
      <x:c r="C6" t="str">
        <x:v>Mar</x:v>
      </x:c>
      <x:c r="D6" t="str">
        <x:v>Private</x:v>
      </x:c>
      <x:c r="E6" t="str">
        <x:v>South</x:v>
      </x:c>
      <x:c r="F6" t="n">
        <x:v>29500</x:v>
      </x:c>
      <x:c r="H6" t="str">
        <x:v>Filter high balances</x:v>
      </x:c>
      <x:c r="I6" t="str">
        <x:v>H32</x:v>
      </x:c>
      <x:c r="J6" t="str">
        <x:v>Use FILTER for Harborside amounts above 500</x:v>
      </x:c>
      <x:c r="K6" t="str"/>
    </x:row>
    <x:row r="7">
      <x:c r="A7" t="str">
        <x:v>Anchor &amp; Oak Events</x:v>
      </x:c>
      <x:c r="B7" t="str">
        <x:v>AO-004</x:v>
      </x:c>
      <x:c r="C7" t="str">
        <x:v>Apr</x:v>
      </x:c>
      <x:c r="D7" t="str">
        <x:v>Wedding</x:v>
      </x:c>
      <x:c r="E7" t="str">
        <x:v>South</x:v>
      </x:c>
      <x:c r="F7" t="n">
        <x:v>43300</x:v>
      </x:c>
      <x:c r="H7" t="str">
        <x:v>Generate month numbers</x:v>
      </x:c>
      <x:c r="I7" t="str">
        <x:v>H43</x:v>
      </x:c>
      <x:c r="J7" t="str">
        <x:v>Use SEQUENCE for 12 months</x:v>
      </x:c>
      <x:c r="K7" t="str"/>
    </x:row>
    <x:row r="8">
      <x:c r="A8" t="str">
        <x:v>Anchor &amp; Oak Events</x:v>
      </x:c>
      <x:c r="B8" t="str">
        <x:v>AO-005</x:v>
      </x:c>
      <x:c r="C8" t="str">
        <x:v>May</x:v>
      </x:c>
      <x:c r="D8" t="str">
        <x:v>Corporate</x:v>
      </x:c>
      <x:c r="E8" t="str">
        <x:v>North</x:v>
      </x:c>
      <x:c r="F8" t="n">
        <x:v>54600</x:v>
      </x:c>
      <x:c r="H8" t="str">
        <x:v>Reference a spill</x:v>
      </x:c>
      <x:c r="I8" t="str">
        <x:v>J16</x:v>
      </x:c>
      <x:c r="J8" t="str">
        <x:v>Use H16# in another formula or note</x:v>
      </x:c>
      <x:c r="K8" t="str"/>
    </x:row>
    <x:row r="9">
      <x:c r="A9" t="str">
        <x:v>Anchor &amp; Oak Events</x:v>
      </x:c>
      <x:c r="B9" t="str">
        <x:v>AO-006</x:v>
      </x:c>
      <x:c r="C9" t="str">
        <x:v>Jun</x:v>
      </x:c>
      <x:c r="D9" t="str">
        <x:v>Wedding</x:v>
      </x:c>
      <x:c r="E9" t="str">
        <x:v>North</x:v>
      </x:c>
      <x:c r="F9" t="n">
        <x:v>67200</x:v>
      </x:c>
      <x:c r="H9" t="str"/>
      <x:c r="I9" t="str"/>
      <x:c r="J9" t="str"/>
      <x:c r="K9" t="str"/>
    </x:row>
    <x:row r="10">
      <x:c r="A10" t="str">
        <x:v>Anchor &amp; Oak Events</x:v>
      </x:c>
      <x:c r="B10" t="str">
        <x:v>AO-007</x:v>
      </x:c>
      <x:c r="C10" t="str">
        <x:v>Jul</x:v>
      </x:c>
      <x:c r="D10" t="str">
        <x:v>Wedding</x:v>
      </x:c>
      <x:c r="E10" t="str">
        <x:v>South</x:v>
      </x:c>
      <x:c r="F10" t="n">
        <x:v>74500</x:v>
      </x:c>
      <x:c r="H10" t="str">
        <x:v>Reminder</x:v>
      </x:c>
      <x:c r="I10" t="str">
        <x:v>Spill ranges need empty cells below/right.</x:v>
      </x:c>
      <x:c r="J10" t="str"/>
      <x:c r="K10" t="str"/>
    </x:row>
    <x:row r="11">
      <x:c r="A11" t="str">
        <x:v>Anchor &amp; Oak Events</x:v>
      </x:c>
      <x:c r="B11" t="str">
        <x:v>AO-008</x:v>
      </x:c>
      <x:c r="C11" t="str">
        <x:v>Aug</x:v>
      </x:c>
      <x:c r="D11" t="str">
        <x:v>Private</x:v>
      </x:c>
      <x:c r="E11" t="str">
        <x:v>South</x:v>
      </x:c>
      <x:c r="F11" t="n">
        <x:v>63800</x:v>
      </x:c>
      <x:c r="H11" t="str">
        <x:v>Hash sign</x:v>
      </x:c>
      <x:c r="I11" t="str">
        <x:v>Use the first spill cell plus #, such as H16#.</x:v>
      </x:c>
      <x:c r="J11" t="str"/>
      <x:c r="K11" t="str"/>
    </x:row>
    <x:row r="12">
      <x:c r="A12" t="str">
        <x:v>Anchor &amp; Oak Events</x:v>
      </x:c>
      <x:c r="B12" t="str">
        <x:v>AO-009</x:v>
      </x:c>
      <x:c r="C12" t="str">
        <x:v>Sep</x:v>
      </x:c>
      <x:c r="D12" t="str">
        <x:v>Corporate</x:v>
      </x:c>
      <x:c r="E12" t="str">
        <x:v>North</x:v>
      </x:c>
      <x:c r="F12" t="n">
        <x:v>47200</x:v>
      </x:c>
      <x:c r="H12" t="str">
        <x:v>If you get #SPILL!</x:v>
      </x:c>
      <x:c r="I12" t="str">
        <x:v>Look for blocked cells in the output area.</x:v>
      </x:c>
      <x:c r="J12" t="str"/>
      <x:c r="K12" t="str"/>
    </x:row>
    <x:row r="13">
      <x:c r="A13" t="str">
        <x:v>Anchor &amp; Oak Events</x:v>
      </x:c>
      <x:c r="B13" t="str">
        <x:v>AO-010</x:v>
      </x:c>
      <x:c r="C13" t="str">
        <x:v>Oct</x:v>
      </x:c>
      <x:c r="D13" t="str">
        <x:v>Private</x:v>
      </x:c>
      <x:c r="E13" t="str">
        <x:v>North</x:v>
      </x:c>
      <x:c r="F13" t="n">
        <x:v>40400</x:v>
      </x:c>
      <x:c r="H13" t="str">
        <x:v>Do not type results manually.</x:v>
      </x:c>
      <x:c r="I13" t="str">
        <x:v>Let Excel spill.</x:v>
      </x:c>
      <x:c r="J13" t="str"/>
      <x:c r="K13" t="str"/>
    </x:row>
    <x:row r="14">
      <x:c r="A14" t="str">
        <x:v>Anchor &amp; Oak Events</x:v>
      </x:c>
      <x:c r="B14" t="str">
        <x:v>AO-011</x:v>
      </x:c>
      <x:c r="C14" t="str">
        <x:v>Nov</x:v>
      </x:c>
      <x:c r="D14" t="str">
        <x:v>Corporate</x:v>
      </x:c>
      <x:c r="E14" t="str">
        <x:v>South</x:v>
      </x:c>
      <x:c r="F14" t="n">
        <x:v>38600</x:v>
      </x:c>
    </x:row>
    <x:row r="15">
      <x:c r="A15" t="str">
        <x:v>Anchor &amp; Oak Events</x:v>
      </x:c>
      <x:c r="B15" t="str">
        <x:v>AO-012</x:v>
      </x:c>
      <x:c r="C15" t="str">
        <x:v>Dec</x:v>
      </x:c>
      <x:c r="D15" t="str">
        <x:v>Wedding</x:v>
      </x:c>
      <x:c r="E15" t="str">
        <x:v>North</x:v>
      </x:c>
      <x:c r="F15" t="n">
        <x:v>51200</x:v>
      </x:c>
      <x:c r="H15" t="str">
        <x:v>Unique Companies - type formula in H16</x:v>
      </x:c>
      <x:c r="I15" t="str"/>
      <x:c r="J15" t="str"/>
      <x:c r="K15" t="str"/>
    </x:row>
    <x:row r="16">
      <x:c r="A16" t="str">
        <x:v>Tidal Goods Co.</x:v>
      </x:c>
      <x:c r="B16" t="str">
        <x:v>TG-001</x:v>
      </x:c>
      <x:c r="C16" t="str">
        <x:v>Jan</x:v>
      </x:c>
      <x:c r="D16" t="str">
        <x:v>Kitchen</x:v>
      </x:c>
      <x:c r="E16" t="str">
        <x:v>North</x:v>
      </x:c>
      <x:c r="F16" t="n">
        <x:v>8400</x:v>
      </x:c>
    </x:row>
    <x:row r="17">
      <x:c r="A17" t="str">
        <x:v>Tidal Goods Co.</x:v>
      </x:c>
      <x:c r="B17" t="str">
        <x:v>TG-002</x:v>
      </x:c>
      <x:c r="C17" t="str">
        <x:v>Jan</x:v>
      </x:c>
      <x:c r="D17" t="str">
        <x:v>Storage</x:v>
      </x:c>
      <x:c r="E17" t="str">
        <x:v>North</x:v>
      </x:c>
      <x:c r="F17" t="n">
        <x:v>5100</x:v>
      </x:c>
    </x:row>
    <x:row r="18">
      <x:c r="A18" t="str">
        <x:v>Tidal Goods Co.</x:v>
      </x:c>
      <x:c r="B18" t="str">
        <x:v>TG-003</x:v>
      </x:c>
      <x:c r="C18" t="str">
        <x:v>Feb</x:v>
      </x:c>
      <x:c r="D18" t="str">
        <x:v>Kitchen</x:v>
      </x:c>
      <x:c r="E18" t="str">
        <x:v>South</x:v>
      </x:c>
      <x:c r="F18" t="n">
        <x:v>3900</x:v>
      </x:c>
    </x:row>
    <x:row r="19">
      <x:c r="A19" t="str">
        <x:v>Tidal Goods Co.</x:v>
      </x:c>
      <x:c r="B19" t="str">
        <x:v>TG-004</x:v>
      </x:c>
      <x:c r="C19" t="str">
        <x:v>Feb</x:v>
      </x:c>
      <x:c r="D19" t="str">
        <x:v>Kitchen</x:v>
      </x:c>
      <x:c r="E19" t="str">
        <x:v>North</x:v>
      </x:c>
      <x:c r="F19" t="n">
        <x:v>6200</x:v>
      </x:c>
    </x:row>
    <x:row r="20">
      <x:c r="A20" t="str">
        <x:v>Tidal Goods Co.</x:v>
      </x:c>
      <x:c r="B20" t="str">
        <x:v>TG-005</x:v>
      </x:c>
      <x:c r="C20" t="str">
        <x:v>Mar</x:v>
      </x:c>
      <x:c r="D20" t="str">
        <x:v>Outdoor</x:v>
      </x:c>
      <x:c r="E20" t="str">
        <x:v>South</x:v>
      </x:c>
      <x:c r="F20" t="n">
        <x:v>7600</x:v>
      </x:c>
    </x:row>
    <x:row r="21">
      <x:c r="A21" t="str">
        <x:v>Tidal Goods Co.</x:v>
      </x:c>
      <x:c r="B21" t="str">
        <x:v>TG-006</x:v>
      </x:c>
      <x:c r="C21" t="str">
        <x:v>Mar</x:v>
      </x:c>
      <x:c r="D21" t="str">
        <x:v>Storage</x:v>
      </x:c>
      <x:c r="E21" t="str">
        <x:v>North</x:v>
      </x:c>
      <x:c r="F21" t="n">
        <x:v>4100</x:v>
      </x:c>
    </x:row>
    <x:row r="22">
      <x:c r="A22" t="str">
        <x:v>Harborside Medical Center</x:v>
      </x:c>
      <x:c r="B22" t="str">
        <x:v>HM-001</x:v>
      </x:c>
      <x:c r="C22" t="str">
        <x:v>Jan</x:v>
      </x:c>
      <x:c r="D22" t="str">
        <x:v>Medicare</x:v>
      </x:c>
      <x:c r="E22" t="str">
        <x:v>North</x:v>
      </x:c>
      <x:c r="F22" t="n">
        <x:v>620</x:v>
      </x:c>
      <x:c r="H22" t="str">
        <x:v>Sorted Categories - type formula in H23</x:v>
      </x:c>
      <x:c r="I22" t="str"/>
      <x:c r="J22" t="str"/>
      <x:c r="K22" t="str"/>
    </x:row>
    <x:row r="23">
      <x:c r="A23" t="str">
        <x:v>Harborside Medical Center</x:v>
      </x:c>
      <x:c r="B23" t="str">
        <x:v>HM-002</x:v>
      </x:c>
      <x:c r="C23" t="str">
        <x:v>Jan</x:v>
      </x:c>
      <x:c r="D23" t="str">
        <x:v>Commercial</x:v>
      </x:c>
      <x:c r="E23" t="str">
        <x:v>North</x:v>
      </x:c>
      <x:c r="F23" t="n">
        <x:v>240</x:v>
      </x:c>
    </x:row>
    <x:row r="24">
      <x:c r="A24" t="str">
        <x:v>Harborside Medical Center</x:v>
      </x:c>
      <x:c r="B24" t="str">
        <x:v>HM-003</x:v>
      </x:c>
      <x:c r="C24" t="str">
        <x:v>Feb</x:v>
      </x:c>
      <x:c r="D24" t="str">
        <x:v>Medicaid</x:v>
      </x:c>
      <x:c r="E24" t="str">
        <x:v>South</x:v>
      </x:c>
      <x:c r="F24" t="n">
        <x:v>780</x:v>
      </x:c>
    </x:row>
    <x:row r="25">
      <x:c r="A25" t="str">
        <x:v>Harborside Medical Center</x:v>
      </x:c>
      <x:c r="B25" t="str">
        <x:v>HM-004</x:v>
      </x:c>
      <x:c r="C25" t="str">
        <x:v>Feb</x:v>
      </x:c>
      <x:c r="D25" t="str">
        <x:v>Medicare</x:v>
      </x:c>
      <x:c r="E25" t="str">
        <x:v>South</x:v>
      </x:c>
      <x:c r="F25" t="n">
        <x:v>510</x:v>
      </x:c>
    </x:row>
    <x:row r="26">
      <x:c r="A26" t="str">
        <x:v>Harborside Medical Center</x:v>
      </x:c>
      <x:c r="B26" t="str">
        <x:v>HM-005</x:v>
      </x:c>
      <x:c r="C26" t="str">
        <x:v>Mar</x:v>
      </x:c>
      <x:c r="D26" t="str">
        <x:v>Commercial</x:v>
      </x:c>
      <x:c r="E26" t="str">
        <x:v>North</x:v>
      </x:c>
      <x:c r="F26" t="n">
        <x:v>940</x:v>
      </x:c>
    </x:row>
    <x:row r="27">
      <x:c r="A27" t="str">
        <x:v>Harborside Medical Center</x:v>
      </x:c>
      <x:c r="B27" t="str">
        <x:v>HM-006</x:v>
      </x:c>
      <x:c r="C27" t="str">
        <x:v>Mar</x:v>
      </x:c>
      <x:c r="D27" t="str">
        <x:v>Medicare</x:v>
      </x:c>
      <x:c r="E27" t="str">
        <x:v>North</x:v>
      </x:c>
      <x:c r="F27" t="n">
        <x:v>450</x:v>
      </x:c>
    </x:row>
    <x:row r="28">
      <x:c r="A28" t="str">
        <x:v>Meridian Advisory Group</x:v>
      </x:c>
      <x:c r="B28" t="str">
        <x:v>MA-001</x:v>
      </x:c>
      <x:c r="C28" t="str">
        <x:v>Jan</x:v>
      </x:c>
      <x:c r="D28" t="str">
        <x:v>Payroll</x:v>
      </x:c>
      <x:c r="E28" t="str">
        <x:v>North</x:v>
      </x:c>
      <x:c r="F28" t="n">
        <x:v>4800</x:v>
      </x:c>
    </x:row>
    <x:row r="29">
      <x:c r="A29" t="str">
        <x:v>Meridian Advisory Group</x:v>
      </x:c>
      <x:c r="B29" t="str">
        <x:v>MA-002</x:v>
      </x:c>
      <x:c r="C29" t="str">
        <x:v>Jan</x:v>
      </x:c>
      <x:c r="D29" t="str">
        <x:v>Payroll</x:v>
      </x:c>
      <x:c r="E29" t="str">
        <x:v>South</x:v>
      </x:c>
      <x:c r="F29" t="n">
        <x:v>5200</x:v>
      </x:c>
    </x:row>
    <x:row r="30">
      <x:c r="A30" t="str">
        <x:v>Meridian Advisory Group</x:v>
      </x:c>
      <x:c r="B30" t="str">
        <x:v>MA-003</x:v>
      </x:c>
      <x:c r="C30" t="str">
        <x:v>Feb</x:v>
      </x:c>
      <x:c r="D30" t="str">
        <x:v>Benefits</x:v>
      </x:c>
      <x:c r="E30" t="str">
        <x:v>North</x:v>
      </x:c>
      <x:c r="F30" t="n">
        <x:v>3100</x:v>
      </x:c>
    </x:row>
    <x:row r="31">
      <x:c r="A31" t="str">
        <x:v>Meridian Advisory Group</x:v>
      </x:c>
      <x:c r="B31" t="str">
        <x:v>MA-004</x:v>
      </x:c>
      <x:c r="C31" t="str">
        <x:v>Feb</x:v>
      </x:c>
      <x:c r="D31" t="str">
        <x:v>Payroll</x:v>
      </x:c>
      <x:c r="E31" t="str">
        <x:v>South</x:v>
      </x:c>
      <x:c r="F31" t="n">
        <x:v>6100</x:v>
      </x:c>
      <x:c r="H31" t="str">
        <x:v>Harborside Open Balances Above $500 - type formula in H32</x:v>
      </x:c>
      <x:c r="I31" t="str"/>
      <x:c r="J31" t="str"/>
      <x:c r="K31" t="str"/>
    </x:row>
    <x:row r="32">
      <x:c r="A32" t="str">
        <x:v>Meridian Advisory Group</x:v>
      </x:c>
      <x:c r="B32" t="str">
        <x:v>MA-005</x:v>
      </x:c>
      <x:c r="C32" t="str">
        <x:v>Mar</x:v>
      </x:c>
      <x:c r="D32" t="str">
        <x:v>Tax</x:v>
      </x:c>
      <x:c r="E32" t="str">
        <x:v>North</x:v>
      </x:c>
      <x:c r="F32" t="n">
        <x:v>7300</x:v>
      </x:c>
    </x:row>
    <x:row r="33">
      <x:c r="A33" t="str">
        <x:v>Meridian Advisory Group</x:v>
      </x:c>
      <x:c r="B33" t="str">
        <x:v>MA-006</x:v>
      </x:c>
      <x:c r="C33" t="str">
        <x:v>Mar</x:v>
      </x:c>
      <x:c r="D33" t="str">
        <x:v>Benefits</x:v>
      </x:c>
      <x:c r="E33" t="str">
        <x:v>South</x:v>
      </x:c>
      <x:c r="F33" t="n">
        <x:v>2800</x:v>
      </x:c>
    </x:row>
    <x:row r="42">
      <x:c r="H42" t="str">
        <x:v>Month Numbers - type formula in H43</x:v>
      </x:c>
      <x:c r="I42" t="str"/>
      <x:c r="J42" t="str"/>
      <x:c r="K42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t="str">
        <x:v>Reporting Lab - Choose the Function for the Business Question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>
      <x:c r="A3" t="str">
        <x:v>Employee ID</x:v>
      </x:c>
      <x:c r="B3" t="str">
        <x:v>Employee Name</x:v>
      </x:c>
      <x:c r="C3" t="str">
        <x:v>Department</x:v>
      </x:c>
      <x:c r="D3" t="str">
        <x:v>Hourly Rate</x:v>
      </x:c>
      <x:c r="E3" t="str">
        <x:v>Hours Worked</x:v>
      </x:c>
      <x:c r="G3" t="str">
        <x:v>Question</x:v>
      </x:c>
      <x:c r="H3" t="str">
        <x:v>Formula Cell</x:v>
      </x:c>
      <x:c r="I3" t="str">
        <x:v>Expected Function</x:v>
      </x:c>
      <x:c r="J3" t="str">
        <x:v>Feedback</x:v>
      </x:c>
    </x:row>
    <x:row r="4">
      <x:c r="A4" t="str">
        <x:v>MA-101</x:v>
      </x:c>
      <x:c r="B4" t="str">
        <x:v>Avery Chen</x:v>
      </x:c>
      <x:c r="C4" t="str">
        <x:v>Payroll</x:v>
      </x:c>
      <x:c r="D4" t="n">
        <x:v>32</x:v>
      </x:c>
      <x:c r="E4" t="n">
        <x:v>38</x:v>
      </x:c>
      <x:c r="G4" t="str">
        <x:v>Tidal North Kitchen sales</x:v>
      </x:c>
      <x:c r="H4" t="str">
        <x:v>H5</x:v>
      </x:c>
      <x:c r="I4" t="str">
        <x:v>SUMIFS</x:v>
      </x:c>
      <x:c r="J4"/>
    </x:row>
    <x:row r="5">
      <x:c r="A5" t="str">
        <x:v>MA-102</x:v>
      </x:c>
      <x:c r="B5" t="str">
        <x:v>Blake Ortiz</x:v>
      </x:c>
      <x:c r="C5" t="str">
        <x:v>Benefits</x:v>
      </x:c>
      <x:c r="D5" t="n">
        <x:v>29</x:v>
      </x:c>
      <x:c r="E5" t="n">
        <x:v>41</x:v>
      </x:c>
      <x:c r="G5" t="str">
        <x:v>Harborside open records</x:v>
      </x:c>
      <x:c r="H5" t="str">
        <x:v>H6</x:v>
      </x:c>
      <x:c r="I5" t="str">
        <x:v>COUNTIFS</x:v>
      </x:c>
      <x:c r="J5" t="e">
        <x:f>IF(H5="","Enter formula",IF(ABS(H5-SUMIFS('Raw Data'!H:H,'Raw Data'!D:D,"Kitchen",'Raw Data'!F:F,"North"))&lt;0.01,"Looks right","Check SUMIFS criteria"))</x:f>
      </x:c>
    </x:row>
    <x:row r="6">
      <x:c r="A6" t="str">
        <x:v>MA-103</x:v>
      </x:c>
      <x:c r="B6" t="str">
        <x:v>Casey Patel</x:v>
      </x:c>
      <x:c r="C6" t="str">
        <x:v>Tax</x:v>
      </x:c>
      <x:c r="D6" t="n">
        <x:v>36</x:v>
      </x:c>
      <x:c r="E6" t="n">
        <x:v>45</x:v>
      </x:c>
      <x:c r="G6" t="str">
        <x:v>Meridian overtime flag for MA-103</x:v>
      </x:c>
      <x:c r="H6" t="str">
        <x:v>H7</x:v>
      </x:c>
      <x:c r="I6" t="str">
        <x:v>IF</x:v>
      </x:c>
      <x:c r="J6" t="str">
        <x:f>IF(H6="","Enter formula",IF(H6=COUNTIFS('Raw Data'!A:A,"Harborside Medical Center",'Raw Data'!G:G,"Open"),"Looks right","Check COUNTIFS criteria"))</x:f>
        <x:v>Check COUNTIFS criteria</x:v>
      </x:c>
    </x:row>
    <x:row r="7">
      <x:c r="A7" t="str">
        <x:v>MA-104</x:v>
      </x:c>
      <x:c r="B7" t="str">
        <x:v>Devon Reed</x:v>
      </x:c>
      <x:c r="C7" t="str">
        <x:v>Payroll</x:v>
      </x:c>
      <x:c r="D7" t="n">
        <x:v>31</x:v>
      </x:c>
      <x:c r="E7" t="n">
        <x:v>40</x:v>
      </x:c>
      <x:c r="G7" t="str">
        <x:v>Last day of current month</x:v>
      </x:c>
      <x:c r="H7" t="str">
        <x:v>H8</x:v>
      </x:c>
      <x:c r="I7" t="str">
        <x:v>EOMONTH</x:v>
      </x:c>
      <x:c r="J7" t="str">
        <x:f>IF(H7="","Enter formula",IF(H7="Overtime","Looks right","IF should flag &gt;40 hours"))</x:f>
        <x:v>IF should flag &gt;40 hours</x:v>
      </x:c>
    </x:row>
    <x:row r="8">
      <x:c r="A8" t="str">
        <x:v>MA-105</x:v>
      </x:c>
      <x:c r="B8" t="str">
        <x:v>Emery Silva</x:v>
      </x:c>
      <x:c r="C8" t="str">
        <x:v>Benefits</x:v>
      </x:c>
      <x:c r="D8" t="n">
        <x:v>28</x:v>
      </x:c>
      <x:c r="E8" t="n">
        <x:v>35</x:v>
      </x:c>
      <x:c r="G8" t="str">
        <x:v>Text label: Company - Category - Region for first raw row</x:v>
      </x:c>
      <x:c r="H8" t="str">
        <x:v>H9</x:v>
      </x:c>
      <x:c r="I8" t="str">
        <x:v>TEXTJOIN</x:v>
      </x:c>
      <x:c r="J8" t="str">
        <x:f>IF(H8="","Enter formula",IF(H8=EOMONTH(TODAY(),0),"Looks right","Use EOMONTH(TODAY(),0)"))</x:f>
        <x:v>Use EOMONTH(TODAY(),0)</x:v>
      </x:c>
    </x:row>
    <x:row r="9">
      <x:c r="A9" t="str"/>
      <x:c r="B9" t="str"/>
      <x:c r="C9" t="str"/>
      <x:c r="D9" t="str"/>
      <x:c r="E9" t="str"/>
      <x:c r="G9" t="str"/>
      <x:c r="H9" t="str"/>
      <x:c r="I9" t="str"/>
      <x:c r="J9" t="str">
        <x:f>IF(H9="","Enter formula",IF(H9="Anchor &amp; Oak Events - Wedding - North","Looks right","Check TEXTJOIN delimiter and source cells"))</x:f>
        <x:v>Enter formula</x:v>
      </x:c>
    </x:row>
    <x:row r="10">
      <x:c r="A10" t="str">
        <x:v>Lookup ID</x:v>
      </x:c>
      <x:c r="B10" t="str">
        <x:v>Student Formula</x:v>
      </x:c>
      <x:c r="C10" t="str">
        <x:v>Expected Function</x:v>
      </x:c>
      <x:c r="D10" t="str">
        <x:v>Feedback</x:v>
      </x:c>
      <x:c r="E10" t="str"/>
      <x:c r="G10" t="str">
        <x:v>Hints</x:v>
      </x:c>
      <x:c r="H10" t="str"/>
      <x:c r="I10" t="str"/>
      <x:c r="J10" t="str"/>
    </x:row>
    <x:row r="11">
      <x:c r="A11" t="str">
        <x:v>MA-103</x:v>
      </x:c>
      <x:c r="B11"/>
      <x:c r="C11" t="str">
        <x:v>XLOOKUP</x:v>
      </x:c>
      <x:c r="D11" t="str">
        <x:f>IF(B11="","Enter formula",IF(B11="Casey Patel","Looks right","Check XLOOKUP lookup and return arrays"))</x:f>
        <x:v>Enter formula</x:v>
      </x:c>
      <x:c r="E11" t="str"/>
      <x:c r="G11" t="str">
        <x:v>SUMIFS total uses Raw Data Amount as sum range.</x:v>
      </x:c>
      <x:c r="H11" t="str"/>
      <x:c r="I11" t="str"/>
      <x:c r="J11" t="str"/>
    </x:row>
    <x:row r="12">
      <x:c r="A12" t="str">
        <x:v>MA-999</x:v>
      </x:c>
      <x:c r="B12"/>
      <x:c r="C12" t="str">
        <x:v>XLOOKUP with if_not_found</x:v>
      </x:c>
      <x:c r="D12" t="str">
        <x:f>IF(B12="","Enter formula",IF(B12="Check ID","Looks right","Use if_not_found message: Check ID"))</x:f>
        <x:v>Enter formula</x:v>
      </x:c>
      <x:c r="E12" t="str"/>
      <x:c r="G12" t="str">
        <x:v>COUNTIFS counts rows meeting multiple conditions.</x:v>
      </x:c>
      <x:c r="H12" t="str"/>
      <x:c r="I12" t="str"/>
      <x:c r="J12" t="str"/>
    </x:row>
    <x:row r="13">
      <x:c r="G13" t="str">
        <x:v>IF should return Overtime when hours are greater than 40.</x:v>
      </x:c>
      <x:c r="H13" t="str"/>
      <x:c r="I13" t="str"/>
      <x:c r="J13" t="str"/>
    </x:row>
    <x:row r="14">
      <x:c r="G14" t="str">
        <x:v>TEXTJOIN should include delimiter and ignore blanks.</x:v>
      </x:c>
      <x:c r="H14" t="str"/>
      <x:c r="I14" t="str"/>
      <x:c r="J14" t="str"/>
    </x:row>
    <x:row r="15">
      <x:c r="G15" t="str">
        <x:v>Write formulas in the yellow Formula Cell references.</x:v>
      </x:c>
      <x:c r="H15" t="str"/>
      <x:c r="I15" t="str"/>
      <x:c r="J15" t="str"/>
    </x:row>
    <x:row r="16">
      <x:c r="G16" t="str"/>
      <x:c r="H16" t="str"/>
      <x:c r="I16" t="str"/>
      <x:c r="J16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t="str">
        <x:v>Formula Reference Card</x:v>
      </x:c>
      <x:c r="B1" t="str"/>
      <x:c r="C1" t="str"/>
      <x:c r="D1" t="str"/>
      <x:c r="E1" t="str"/>
    </x:row>
    <x:row r="3">
      <x:c r="A3" t="str">
        <x:v>Function</x:v>
      </x:c>
      <x:c r="B3" t="str">
        <x:v>Syntax Pattern</x:v>
      </x:c>
      <x:c r="C3" t="str">
        <x:v>What It Answers</x:v>
      </x:c>
      <x:c r="D3" t="str">
        <x:v>Starter Hint</x:v>
      </x:c>
      <x:c r="E3" t="str">
        <x:v>Category</x:v>
      </x:c>
    </x:row>
    <x:row r="4">
      <x:c r="A4" t="str">
        <x:v>SUM</x:v>
      </x:c>
      <x:c r="B4" t="e">
        <x:f>SUM(range)</x:f>
      </x:c>
      <x:c r="C4" t="str">
        <x:v>What is the total?</x:v>
      </x:c>
      <x:c r="D4" t="str">
        <x:v>Use on revenue/amount fields.</x:v>
      </x:c>
      <x:c r="E4" t="str">
        <x:v>Summary</x:v>
      </x:c>
    </x:row>
    <x:row r="5">
      <x:c r="A5" t="str">
        <x:v>AVERAGE</x:v>
      </x:c>
      <x:c r="B5" t="e">
        <x:f>AVERAGE(range)</x:f>
      </x:c>
      <x:c r="C5" t="str">
        <x:v>What is typical?</x:v>
      </x:c>
      <x:c r="D5" t="str">
        <x:v>Use on a numeric range.</x:v>
      </x:c>
      <x:c r="E5" t="str">
        <x:v>Summary</x:v>
      </x:c>
    </x:row>
    <x:row r="6">
      <x:c r="A6" t="str">
        <x:v>MAX</x:v>
      </x:c>
      <x:c r="B6" t="e">
        <x:f>MAX(range)</x:f>
      </x:c>
      <x:c r="C6" t="str">
        <x:v>What is highest?</x:v>
      </x:c>
      <x:c r="D6" t="str">
        <x:v>Find the peak value.</x:v>
      </x:c>
      <x:c r="E6" t="str">
        <x:v>Summary</x:v>
      </x:c>
    </x:row>
    <x:row r="7">
      <x:c r="A7" t="str">
        <x:v>MIN</x:v>
      </x:c>
      <x:c r="B7" t="e">
        <x:f>MIN(range)</x:f>
      </x:c>
      <x:c r="C7" t="str">
        <x:v>What is lowest?</x:v>
      </x:c>
      <x:c r="D7" t="str">
        <x:v>Find the low point.</x:v>
      </x:c>
      <x:c r="E7" t="str">
        <x:v>Summary</x:v>
      </x:c>
    </x:row>
    <x:row r="8">
      <x:c r="A8" t="str">
        <x:v>COUNT</x:v>
      </x:c>
      <x:c r="B8" t="n">
        <x:f>COUNT(range)</x:f>
        <x:v>0</x:v>
      </x:c>
      <x:c r="C8" t="str">
        <x:v>How many numeric cells?</x:v>
      </x:c>
      <x:c r="D8" t="str">
        <x:v>Good for data completeness.</x:v>
      </x:c>
      <x:c r="E8" t="str">
        <x:v>Summary</x:v>
      </x:c>
    </x:row>
    <x:row r="9">
      <x:c r="A9" t="str">
        <x:v>COUNTA</x:v>
      </x:c>
      <x:c r="B9" t="n">
        <x:f>COUNTA(range)</x:f>
        <x:v>1</x:v>
      </x:c>
      <x:c r="C9" t="str">
        <x:v>How many non-empty cells?</x:v>
      </x:c>
      <x:c r="D9" t="str">
        <x:v>Good for labels/text.</x:v>
      </x:c>
      <x:c r="E9" t="str">
        <x:v>Summary</x:v>
      </x:c>
    </x:row>
    <x:row r="10">
      <x:c r="A10" t="str">
        <x:v>IF</x:v>
      </x:c>
      <x:c r="B10" t="e">
        <x:f>IF(test,true,false)</x:f>
      </x:c>
      <x:c r="C10" t="str">
        <x:v>Which result should appear?</x:v>
      </x:c>
      <x:c r="D10" t="str">
        <x:v>Ask one yes/no question.</x:v>
      </x:c>
      <x:c r="E10" t="str">
        <x:v>Logic</x:v>
      </x:c>
    </x:row>
    <x:row r="11">
      <x:c r="A11" t="str">
        <x:v>AND</x:v>
      </x:c>
      <x:c r="B11" t="e">
        <x:f>AND(test1,test2)</x:f>
      </x:c>
      <x:c r="C11" t="str">
        <x:v>Are all conditions true?</x:v>
      </x:c>
      <x:c r="D11" t="str">
        <x:v>Use inside IF.</x:v>
      </x:c>
      <x:c r="E11" t="str">
        <x:v>Logic</x:v>
      </x:c>
    </x:row>
    <x:row r="12">
      <x:c r="A12" t="str">
        <x:v>OR</x:v>
      </x:c>
      <x:c r="B12" t="e">
        <x:f>OR(test1,test2)</x:f>
      </x:c>
      <x:c r="C12" t="str">
        <x:v>Is any condition true?</x:v>
      </x:c>
      <x:c r="D12" t="str">
        <x:v>Use inside IF.</x:v>
      </x:c>
      <x:c r="E12" t="str">
        <x:v>Logic</x:v>
      </x:c>
    </x:row>
    <x:row r="13">
      <x:c r="A13" t="str">
        <x:v>SUMIFS</x:v>
      </x:c>
      <x:c r="B13" t="e">
        <x:f>SUMIFS(sum_range,criteria_range,criteria)</x:f>
      </x:c>
      <x:c r="C13" t="str">
        <x:v>What total meets criteria?</x:v>
      </x:c>
      <x:c r="D13" t="str">
        <x:v>Use plural IFS version by default.</x:v>
      </x:c>
      <x:c r="E13" t="str">
        <x:v>Reporting</x:v>
      </x:c>
    </x:row>
    <x:row r="14">
      <x:c r="A14" t="str">
        <x:v>COUNTIFS</x:v>
      </x:c>
      <x:c r="B14" t="n">
        <x:f>COUNTIFS(criteria_range,criteria)</x:f>
        <x:v>1</x:v>
      </x:c>
      <x:c r="C14" t="str">
        <x:v>How many rows meet criteria?</x:v>
      </x:c>
      <x:c r="D14" t="str">
        <x:v>Use multiple criteria pairs.</x:v>
      </x:c>
      <x:c r="E14" t="str">
        <x:v>Reporting</x:v>
      </x:c>
    </x:row>
    <x:row r="15">
      <x:c r="A15" t="str">
        <x:v>XLOOKUP</x:v>
      </x:c>
      <x:c r="B15" t="e">
        <x:f>XLOOKUP(value,lookup_array,return_array,if_not_found)</x:f>
      </x:c>
      <x:c r="C15" t="str">
        <x:v>What matching value belongs to this ID?</x:v>
      </x:c>
      <x:c r="D15" t="str">
        <x:v>Use a not-found message.</x:v>
      </x:c>
      <x:c r="E15" t="str">
        <x:v>Lookup</x:v>
      </x:c>
    </x:row>
    <x:row r="16">
      <x:c r="A16" t="str">
        <x:v>FILTER</x:v>
      </x:c>
      <x:c r="B16" t="e">
        <x:f>FILTER(array,include,if_empty)</x:f>
      </x:c>
      <x:c r="C16" t="str">
        <x:v>Which rows match?</x:v>
      </x:c>
      <x:c r="D16" t="str">
        <x:v>Returns many rows.</x:v>
      </x:c>
      <x:c r="E16" t="str">
        <x:v>Dynamic Array</x:v>
      </x:c>
    </x:row>
    <x:row r="17">
      <x:c r="A17" t="str">
        <x:v>UNIQUE</x:v>
      </x:c>
      <x:c r="B17" t="e" cm="1">
        <x:f t="array" ref="B17">UNIQUE(range)</x:f>
      </x:c>
      <x:c r="C17" t="str">
        <x:v>What are the distinct values?</x:v>
      </x:c>
      <x:c r="D17" t="str">
        <x:v>Creates a clean list.</x:v>
      </x:c>
      <x:c r="E17" t="str">
        <x:v>Dynamic Array</x:v>
      </x:c>
    </x:row>
    <x:row r="18">
      <x:c r="A18" t="str">
        <x:v>SORT</x:v>
      </x:c>
      <x:c r="B18" t="e" cm="1">
        <x:f t="array" ref="B18">_xlfn._xlws.SORT(array)</x:f>
      </x:c>
      <x:c r="C18" t="str">
        <x:v>How should the list be ordered?</x:v>
      </x:c>
      <x:c r="D18" t="str">
        <x:v>Pairs well with UNIQUE.</x:v>
      </x:c>
      <x:c r="E18" t="str">
        <x:v>Dynamic Array</x:v>
      </x:c>
    </x:row>
    <x:row r="19">
      <x:c r="A19" t="str">
        <x:v>SEQUENCE</x:v>
      </x:c>
      <x:c r="B19" t="e">
        <x:f>SEQUENCE(rows)</x:f>
      </x:c>
      <x:c r="C19" t="str">
        <x:v>Can Excel generate the list?</x:v>
      </x:c>
      <x:c r="D19" t="str">
        <x:v>Great for month numbers.</x:v>
      </x:c>
      <x:c r="E19" t="str">
        <x:v>Dynamic Array</x:v>
      </x:c>
    </x:row>
    <x:row r="20">
      <x:c r="A20" t="str">
        <x:v>EOMONTH</x:v>
      </x:c>
      <x:c r="B20" t="e">
        <x:f>EOMONTH(date,months)</x:f>
      </x:c>
      <x:c r="C20" t="str">
        <x:v>What is the month end?</x:v>
      </x:c>
      <x:c r="D20" t="str">
        <x:v>Use for reporting dates.</x:v>
      </x:c>
      <x:c r="E20" t="str">
        <x:v>Date</x:v>
      </x:c>
    </x:row>
  </x:sheetData>
  <x:pageMargins left="0.7" right="0.7" top="0.75" bottom="0.75" header="0.3" footer="0.3"/>
</x:worksheet>
</file>