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0dda1d650346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4b551ac4a2654db8"/>
    <x:sheet xmlns:r="http://schemas.openxmlformats.org/officeDocument/2006/relationships" name="Live You Try It" sheetId="2" r:id="R51529abdcd4f41ee"/>
    <x:sheet xmlns:r="http://schemas.openxmlformats.org/officeDocument/2006/relationships" name="Class Challenge" sheetId="3" r:id="Rfd4123af5b4e4ea7"/>
    <x:sheet xmlns:r="http://schemas.openxmlformats.org/officeDocument/2006/relationships" name="FormulaReferenceCard" sheetId="4" r:id="R7ce5016f38364b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$#,##0.00"/>
    <x:numFmt numFmtId="165" formatCode="0.0"/>
    <x:numFmt numFmtId="166" formatCode="$#,##0"/>
    <x:numFmt numFmtId="167" formatCode="0.0%"/>
  </x:numFmts>
  <x:fonts count="5">
    <x:font>
      <x:sz val="11"/>
      <x:color theme="1"/>
      <x:name val="Calibri"/>
    </x:font>
    <x:font>
      <x:b/>
      <x:sz val="16"/>
      <x:color rgb="FFFFFFFF"/>
      <x:name val="Aptos Display"/>
    </x:font>
    <x:font>
      <x:i/>
      <x:sz val="11"/>
      <x:color rgb="FF4A5567"/>
      <x:name val="Aptos"/>
    </x:font>
    <x:font>
      <x:b/>
      <x:sz val="12"/>
      <x:color rgb="FF0E1116"/>
      <x:name val="Aptos"/>
    </x:font>
    <x:font>
      <x:b/>
      <x:sz val="10"/>
      <x:color rgb="FFFFFFF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EAF3EC"/>
      </x:patternFill>
    </x:fill>
    <x:fill>
      <x:patternFill patternType="solid">
        <x:fgColor rgb="FF355773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D9E2D0"/>
      </x:left>
      <x:right style="thin">
        <x:color rgb="FFD9E2D0"/>
      </x:right>
      <x:top style="thin">
        <x:color rgb="FFD9E2D0"/>
      </x:top>
      <x:bottom style="thin">
        <x:color rgb="FFD9E2D0"/>
      </x:bottom>
    </x:border>
    <x:border>
      <x:top style="thin">
        <x:color rgb="FFD9E2D0"/>
      </x:top>
    </x:border>
    <x:border>
      <x:right style="thin">
        <x:color rgb="FFD9E2D0"/>
      </x:right>
      <x:top style="thin">
        <x:color rgb="FFD9E2D0"/>
      </x:top>
    </x:border>
    <x:border>
      <x:top style="thin">
        <x:color rgb="FFD9E2D0"/>
      </x:top>
      <x:bottom style="thin">
        <x:color rgb="FFD9E2D0"/>
      </x:bottom>
    </x:border>
    <x:border>
      <x:right style="thin">
        <x:color rgb="FFD9E2D0"/>
      </x:right>
      <x:top style="thin">
        <x:color rgb="FFD9E2D0"/>
      </x:top>
      <x:bottom style="thin">
        <x:color rgb="FFD9E2D0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1" fillId="2" borderId="1" xfId="0" applyAlignment="1">
      <x:alignment vertical="top" wrapText="1"/>
    </x:xf>
    <x:xf numFmtId="0" fontId="2" fillId="0" borderId="1" xfId="0" applyAlignment="1">
      <x:alignment vertical="top" wrapText="1"/>
    </x:xf>
    <x:xf numFmtId="0" fontId="3" fillId="3" borderId="1" xfId="0" applyAlignment="1">
      <x:alignment vertical="top" wrapText="1"/>
    </x:xf>
    <x:xf numFmtId="0" fontId="0" fillId="0" borderId="1" xfId="0" applyAlignment="1">
      <x:alignment vertical="top" wrapText="1"/>
    </x:xf>
    <x:xf numFmtId="0" fontId="4" fillId="4" borderId="1" xfId="0" applyAlignment="1">
      <x:alignment vertical="top" wrapText="1"/>
    </x:xf>
    <x:xf numFmtId="164" fontId="0" fillId="5" borderId="1" xfId="0" applyAlignment="1">
      <x:alignment vertical="top" wrapText="1"/>
    </x:xf>
    <x:xf numFmtId="165" fontId="0" fillId="5" borderId="1" xfId="0" applyAlignment="1">
      <x:alignment vertical="top" wrapText="1"/>
    </x:xf>
    <x:xf numFmtId="0" fontId="0" fillId="3" borderId="1" xfId="0" applyAlignment="1">
      <x:alignment vertical="top" wrapText="1"/>
    </x:xf>
    <x:xf numFmtId="166" fontId="0" fillId="5" borderId="1" xfId="0" applyAlignment="1">
      <x:alignment vertical="top" wrapText="1"/>
    </x:xf>
    <x:xf numFmtId="167" fontId="0" fillId="5" borderId="1" xfId="0" applyAlignment="1">
      <x:alignment vertical="top" wrapText="1"/>
    </x:xf>
    <x:xf numFmtId="3" fontId="0" fillId="5" borderId="1" xfId="0" applyAlignment="1">
      <x:alignment vertical="top" wrapText="1"/>
    </x:xf>
    <x:xf numFmtId="10" fontId="0" fillId="5" borderId="1" xfId="0" applyAlignment="1">
      <x:alignment vertical="top" wrapText="1"/>
    </x:xf>
    <x:xf numFmtId="2" fontId="0" fillId="5" borderId="1" xfId="0" applyAlignment="1">
      <x:alignment vertical="top" wrapText="1"/>
    </x:xf>
    <x:xf numFmtId="0" fontId="0" fillId="0" borderId="4" xfId="0"/>
    <x:xf numFmtId="0" fontId="0" fillId="0" borderId="5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d7c4e0246d4d42" /><Relationship Type="http://schemas.openxmlformats.org/officeDocument/2006/relationships/theme" Target="/xl/theme/theme1.xml" Id="R8fe2af674ef044a2" /><Relationship Type="http://schemas.openxmlformats.org/officeDocument/2006/relationships/sharedStrings" Target="/xl/sharedStrings.xml" Id="R7fd613edfa1548df" /><Relationship Type="http://schemas.openxmlformats.org/officeDocument/2006/relationships/worksheet" Target="/xl/worksheets/sheet1.xml" Id="R4b551ac4a2654db8" /><Relationship Type="http://schemas.openxmlformats.org/officeDocument/2006/relationships/worksheet" Target="/xl/worksheets/sheet2.xml" Id="R51529abdcd4f41ee" /><Relationship Type="http://schemas.openxmlformats.org/officeDocument/2006/relationships/worksheet" Target="/xl/worksheets/sheet3.xml" Id="Rfd4123af5b4e4ea7" /><Relationship Type="http://schemas.openxmlformats.org/officeDocument/2006/relationships/worksheet" Target="/xl/worksheets/sheet4.xml" Id="R7ce5016f38364be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92" customWidth="1"/>
    <x:col min="3" max="3" width="18" customWidth="1"/>
    <x:col min="4" max="4" width="18" customWidth="1"/>
    <x:col min="5" max="5" width="18" customWidth="1"/>
    <x:col min="6" max="6" width="18" customWidth="1"/>
    <x:col min="7" max="7" width="18" customWidth="1"/>
    <x:col min="8" max="8" width="18" customWidth="1"/>
  </x:cols>
  <x:sheetData>
    <x:row r="1" ht="30" customHeight="1">
      <x:c r="A1" s="1" t="inlineStr">
        <x:is>
          <x:t xml:space="preserve">BUS123 - MATH-M10-L01 - Foundations of Investing</x:t>
        </x:is>
      </x:c>
      <x:c r="B1" s="14" t="n"/>
      <x:c r="C1" s="14" t="n"/>
      <x:c r="D1" s="14" t="n"/>
      <x:c r="E1" s="14" t="n"/>
      <x:c r="F1" s="14" t="n"/>
      <x:c r="G1" s="14" t="n"/>
      <x:c r="H1" s="15" t="n"/>
    </x:row>
    <x:row r="2" ht="36" customHeight="1">
      <x:c r="A2" s="2" t="inlineStr">
        <x:is>
          <x:t xml:space="preserve">Meridian Advisory Group case study | Student workbook</x:t>
        </x:is>
      </x:c>
      <x:c r="B2" s="14" t="n"/>
      <x:c r="C2" s="14" t="n"/>
      <x:c r="D2" s="14" t="n"/>
      <x:c r="E2" s="14" t="n"/>
      <x:c r="F2" s="14" t="n"/>
      <x:c r="G2" s="14" t="n"/>
      <x:c r="H2" s="15" t="n"/>
    </x:row>
    <x:row r="4" ht="24" customHeight="1">
      <x:c r="A4" s="3" t="inlineStr">
        <x:is>
          <x:t xml:space="preserve">HOW TO USE THIS WORKBOOK</x:t>
        </x:is>
      </x:c>
      <x:c r="B4" s="14" t="n"/>
      <x:c r="C4" s="14" t="n"/>
      <x:c r="D4" s="14" t="n"/>
      <x:c r="E4" s="14" t="n"/>
      <x:c r="F4" s="14" t="n"/>
      <x:c r="G4" s="14" t="n"/>
      <x:c r="H4" s="15" t="n"/>
    </x:row>
    <x:row r="5" ht="30" customHeight="1">
      <x:c r="A5" s="4" t="inlineStr">
        <x:is>
          <x:t xml:space="preserve">1. Open the slide deck and pause when you see a Live You Try It slide.</x:t>
        </x:is>
      </x:c>
      <x:c r="B5" s="14" t="n"/>
      <x:c r="C5" s="14" t="n"/>
      <x:c r="D5" s="14" t="n"/>
      <x:c r="E5" s="14" t="n"/>
      <x:c r="F5" s="14" t="n"/>
      <x:c r="G5" s="14" t="n"/>
      <x:c r="H5" s="15" t="n"/>
    </x:row>
    <x:row r="6" ht="30" customHeight="1">
      <x:c r="A6" s="4" t="inlineStr">
        <x:is>
          <x:t xml:space="preserve">2. In Live You Try It, enter the slide givens into the yellow input cells first.</x:t>
        </x:is>
      </x:c>
      <x:c r="B6" s="14" t="n"/>
      <x:c r="C6" s="14" t="n"/>
      <x:c r="D6" s="14" t="n"/>
      <x:c r="E6" s="14" t="n"/>
      <x:c r="F6" s="14" t="n"/>
      <x:c r="G6" s="14" t="n"/>
      <x:c r="H6" s="15" t="n"/>
    </x:row>
    <x:row r="7" ht="30" customHeight="1">
      <x:c r="A7" s="4" t="inlineStr">
        <x:is>
          <x:t xml:space="preserve">3. Build formulas by referencing those input cells. The feedback column self-checks your practice.</x:t>
        </x:is>
      </x:c>
      <x:c r="B7" s="14" t="n"/>
      <x:c r="C7" s="14" t="n"/>
      <x:c r="D7" s="14" t="n"/>
      <x:c r="E7" s="14" t="n"/>
      <x:c r="F7" s="14" t="n"/>
      <x:c r="G7" s="14" t="n"/>
      <x:c r="H7" s="15" t="n"/>
    </x:row>
    <x:row r="8" ht="30" customHeight="1">
      <x:c r="A8" s="4" t="inlineStr">
        <x:is>
          <x:t xml:space="preserve">4. Complete Class Challenge after live practice. Read each scenario, extract inputs, and enter final numeric answers.</x:t>
        </x:is>
      </x:c>
      <x:c r="B8" s="14" t="n"/>
      <x:c r="C8" s="14" t="n"/>
      <x:c r="D8" s="14" t="n"/>
      <x:c r="E8" s="14" t="n"/>
      <x:c r="F8" s="14" t="n"/>
      <x:c r="G8" s="14" t="n"/>
      <x:c r="H8" s="15" t="n"/>
    </x:row>
    <x:row r="9" ht="30" customHeight="1">
      <x:c r="A9" s="4" t="inlineStr">
        <x:is>
          <x:t xml:space="preserve">5. FormulaReferenceCard is a syntax helper. It is not a substitute for choosing the right inputs.</x:t>
        </x:is>
      </x:c>
      <x:c r="B9" s="14" t="n"/>
      <x:c r="C9" s="14" t="n"/>
      <x:c r="D9" s="14" t="n"/>
      <x:c r="E9" s="14" t="n"/>
      <x:c r="F9" s="14" t="n"/>
      <x:c r="G9" s="14" t="n"/>
      <x:c r="H9" s="15" t="n"/>
    </x:row>
    <x:row r="12" ht="24" customHeight="1">
      <x:c r="A12" s="3" t="inlineStr">
        <x:is>
          <x:t xml:space="preserve">WORKBOOK TABS</x:t>
        </x:is>
      </x:c>
      <x:c r="B12" s="14" t="n"/>
      <x:c r="C12" s="14" t="n"/>
      <x:c r="D12" s="14" t="n"/>
      <x:c r="E12" s="14" t="n"/>
      <x:c r="F12" s="14" t="n"/>
      <x:c r="G12" s="14" t="n"/>
      <x:c r="H12" s="15" t="n"/>
    </x:row>
    <x:row r="13">
      <x:c r="A13" s="5" t="inlineStr">
        <x:is>
          <x:t xml:space="preserve">Tab</x:t>
        </x:is>
      </x:c>
      <x:c r="B13" s="5" t="inlineStr">
        <x:is>
          <x:t xml:space="preserve">Purpose</x:t>
        </x:is>
      </x:c>
      <x:c r="C13" s="5" t="inlineStr">
        <x:is>
          <x:t xml:space="preserve">Grading role</x:t>
        </x:is>
      </x:c>
    </x:row>
    <x:row r="14" ht="44" customHeight="1">
      <x:c r="A14" s="4" t="inlineStr">
        <x:is>
          <x:t xml:space="preserve">Live You Try It</x:t>
        </x:is>
      </x:c>
      <x:c r="B14" s="4" t="inlineStr">
        <x:is>
          <x:t xml:space="preserve">Short Excel pauses tied to worked examples in the slide deck; self-graded with hints and feedback.</x:t>
        </x:is>
      </x:c>
      <x:c r="C14" s="4" t="inlineStr">
        <x:is>
          <x:t xml:space="preserve">Practice only</x:t>
        </x:is>
      </x:c>
    </x:row>
    <x:row r="15" ht="44" customHeight="1">
      <x:c r="A15" s="4" t="inlineStr">
        <x:is>
          <x:t xml:space="preserve">Class Challenge</x:t>
        </x:is>
      </x:c>
      <x:c r="B15" s="4" t="inlineStr">
        <x:is>
          <x:t xml:space="preserve">Next-level scenario table with 15 final-answer questions.</x:t>
        </x:is>
      </x:c>
      <x:c r="C15" s="4" t="inlineStr">
        <x:is>
          <x:t xml:space="preserve">Only graded tab</x:t>
        </x:is>
      </x:c>
    </x:row>
    <x:row r="16" ht="44" customHeight="1">
      <x:c r="A16" s="4" t="inlineStr">
        <x:is>
          <x:t xml:space="preserve">FormulaReferenceCard</x:t>
        </x:is>
      </x:c>
      <x:c r="B16" s="4" t="inlineStr">
        <x:is>
          <x:t xml:space="preserve">Reference formulas and Excel syntax for stocks, bonds, ROI, and NAV.</x:t>
        </x:is>
      </x:c>
      <x:c r="C16" s="4" t="inlineStr">
        <x:is>
          <x:t xml:space="preserve">Reference only</x:t>
        </x:is>
      </x:c>
    </x:row>
    <x:row r="19" ht="24" customHeight="1">
      <x:c r="A19" s="3" t="inlineStr">
        <x:is>
          <x:t xml:space="preserve">I CAN STATEMENTS</x:t>
        </x:is>
      </x:c>
      <x:c r="B19" s="14" t="n"/>
      <x:c r="C19" s="14" t="n"/>
      <x:c r="D19" s="14" t="n"/>
      <x:c r="E19" s="14" t="n"/>
      <x:c r="F19" s="14" t="n"/>
      <x:c r="G19" s="14" t="n"/>
      <x:c r="H19" s="15" t="n"/>
    </x:row>
    <x:row r="20" ht="28" customHeight="1">
      <x:c r="A20" s="4" t="inlineStr">
        <x:is>
          <x:t xml:space="preserve">I can read a stock quote and calculate bid-ask spread, dividend yield, and P/E interpretation.</x:t>
        </x:is>
      </x:c>
      <x:c r="B20" s="14" t="n"/>
      <x:c r="C20" s="14" t="n"/>
      <x:c r="D20" s="14" t="n"/>
      <x:c r="E20" s="14" t="n"/>
      <x:c r="F20" s="14" t="n"/>
      <x:c r="G20" s="14" t="n"/>
      <x:c r="H20" s="15" t="n"/>
    </x:row>
    <x:row r="21" ht="28" customHeight="1">
      <x:c r="A21" s="4" t="inlineStr">
        <x:is>
          <x:t xml:space="preserve">I can allocate preferred and common dividends before making an investment recommendation.</x:t>
        </x:is>
      </x:c>
      <x:c r="B21" s="14" t="n"/>
      <x:c r="C21" s="14" t="n"/>
      <x:c r="D21" s="14" t="n"/>
      <x:c r="E21" s="14" t="n"/>
      <x:c r="F21" s="14" t="n"/>
      <x:c r="G21" s="14" t="n"/>
      <x:c r="H21" s="15" t="n"/>
    </x:row>
    <x:row r="22" ht="28" customHeight="1">
      <x:c r="A22" s="4" t="inlineStr">
        <x:is>
          <x:t xml:space="preserve">I can calculate ROI while accounting for buy commission, sell commission, and dividends.</x:t>
        </x:is>
      </x:c>
      <x:c r="B22" s="14" t="n"/>
      <x:c r="C22" s="14" t="n"/>
      <x:c r="D22" s="14" t="n"/>
      <x:c r="E22" s="14" t="n"/>
      <x:c r="F22" s="14" t="n"/>
      <x:c r="G22" s="14" t="n"/>
      <x:c r="H22" s="15" t="n"/>
    </x:row>
    <x:row r="23" ht="28" customHeight="1">
      <x:c r="A23" s="4" t="inlineStr">
        <x:is>
          <x:t xml:space="preserve">I can convert bond quotes into dollar prices and calculate current yield.</x:t>
        </x:is>
      </x:c>
      <x:c r="B23" s="14" t="n"/>
      <x:c r="C23" s="14" t="n"/>
      <x:c r="D23" s="14" t="n"/>
      <x:c r="E23" s="14" t="n"/>
      <x:c r="F23" s="14" t="n"/>
      <x:c r="G23" s="14" t="n"/>
      <x:c r="H23" s="15" t="n"/>
    </x:row>
    <x:row r="24" ht="28" customHeight="1">
      <x:c r="A24" s="4" t="inlineStr">
        <x:is>
          <x:t xml:space="preserve">I can calculate mutual fund NAV and use it to price a share purchase.</x:t>
        </x:is>
      </x:c>
      <x:c r="B24" s="14" t="n"/>
      <x:c r="C24" s="14" t="n"/>
      <x:c r="D24" s="14" t="n"/>
      <x:c r="E24" s="14" t="n"/>
      <x:c r="F24" s="14" t="n"/>
      <x:c r="G24" s="14" t="n"/>
      <x:c r="H24" s="15" t="n"/>
    </x:row>
  </x:sheetData>
  <x:mergeCells>
    <x:mergeCell ref="A9:H9"/>
    <x:mergeCell ref="A4:H4"/>
    <x:mergeCell ref="A12:H12"/>
    <x:mergeCell ref="A1:H1"/>
    <x:mergeCell ref="A21:H21"/>
    <x:mergeCell ref="A7:H7"/>
    <x:mergeCell ref="A20:H20"/>
    <x:mergeCell ref="A24:H24"/>
    <x:mergeCell ref="A2:H2"/>
    <x:mergeCell ref="A19:H19"/>
    <x:mergeCell ref="A5:H5"/>
    <x:mergeCell ref="A23:H23"/>
    <x:mergeCell ref="A8:H8"/>
    <x:mergeCell ref="A6:H6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34" customWidth="1"/>
    <x:col min="3" max="3" width="18" customWidth="1"/>
    <x:col min="4" max="4" width="34" customWidth="1"/>
    <x:col min="5" max="5" width="48" customWidth="1"/>
    <x:col min="6" max="6" width="18" customWidth="1"/>
    <x:col min="7" max="7" width="18" customWidth="1"/>
    <x:col min="8" max="8" width="18" customWidth="1"/>
  </x:cols>
  <x:sheetData>
    <x:row r="1" ht="30" customHeight="1">
      <x:c r="A1" s="1" t="inlineStr">
        <x:is>
          <x:t xml:space="preserve">Live You Try It - Self-Graded Practice</x:t>
        </x:is>
      </x:c>
      <x:c r="B1" s="14" t="n"/>
      <x:c r="C1" s="14" t="n"/>
      <x:c r="D1" s="14" t="n"/>
      <x:c r="E1" s="14" t="n"/>
      <x:c r="F1" s="14" t="n"/>
      <x:c r="G1" s="14" t="n"/>
      <x:c r="H1" s="15" t="n"/>
    </x:row>
    <x:row r="2" ht="36" customHeight="1">
      <x:c r="A2" s="2" t="inlineStr">
        <x:is>
          <x:t xml:space="preserve">Enter slide givens in yellow input cells, then build formulas that reference those cells. This tab is not part of the private grading rubric.</x:t>
        </x:is>
      </x:c>
      <x:c r="B2" s="14" t="n"/>
      <x:c r="C2" s="14" t="n"/>
      <x:c r="D2" s="14" t="n"/>
      <x:c r="E2" s="14" t="n"/>
      <x:c r="F2" s="14" t="n"/>
      <x:c r="G2" s="14" t="n"/>
      <x:c r="H2" s="15" t="n"/>
    </x:row>
    <x:row r="3" ht="24" customHeight="1"/>
    <x:row r="4" ht="24" customHeight="1"/>
    <x:row r="5" ht="24" customHeight="1">
      <x:c r="A5" s="3" t="inlineStr">
        <x:is>
          <x:t xml:space="preserve">Pause 1 - Stock quote quick read</x:t>
        </x:is>
      </x:c>
      <x:c r="B5" s="14" t="n"/>
      <x:c r="C5" s="14" t="n"/>
      <x:c r="D5" s="14" t="n"/>
      <x:c r="E5" s="14" t="n"/>
      <x:c r="F5" s="14" t="n"/>
      <x:c r="G5" s="14" t="n"/>
      <x:c r="H5" s="15" t="n"/>
    </x:row>
    <x:row r="6" ht="24" customHeight="1">
      <x:c r="A6" s="5" t="inlineStr">
        <x:is>
          <x:t xml:space="preserve">Role</x:t>
        </x:is>
      </x:c>
      <x:c r="B6" s="5" t="inlineStr">
        <x:is>
          <x:t xml:space="preserve">Item</x:t>
        </x:is>
      </x:c>
      <x:c r="C6" s="5" t="inlineStr">
        <x:is>
          <x:t xml:space="preserve">Yellow cell</x:t>
        </x:is>
      </x:c>
      <x:c r="D6" s="5" t="inlineStr">
        <x:is>
          <x:t xml:space="preserve">Feedback</x:t>
        </x:is>
      </x:c>
      <x:c r="E6" s="5" t="inlineStr">
        <x:is>
          <x:t xml:space="preserve">Hint</x:t>
        </x:is>
      </x:c>
    </x:row>
    <x:row r="7" ht="24" customHeight="1">
      <x:c r="A7" s="4" t="inlineStr">
        <x:is>
          <x:t xml:space="preserve">Input</x:t>
        </x:is>
      </x:c>
      <x:c r="B7" s="4" t="inlineStr">
        <x:is>
          <x:t xml:space="preserve">Bid price</x:t>
        </x:is>
      </x:c>
      <x:c r="C7" s="6" t="n"/>
      <x:c r="D7" s="4" t="inlineStr">
        <x:is>
          <x:t xml:space="preserve">Enter the given from the slide.</x:t>
        </x:is>
      </x:c>
      <x:c r="E7" s="4" t="inlineStr">
        <x:is>
          <x:t xml:space="preserve">Input first; formulas should reference this cell later.</x:t>
        </x:is>
      </x:c>
    </x:row>
    <x:row r="8" ht="24" customHeight="1">
      <x:c r="A8" s="4" t="inlineStr">
        <x:is>
          <x:t xml:space="preserve">Input</x:t>
        </x:is>
      </x:c>
      <x:c r="B8" s="4" t="inlineStr">
        <x:is>
          <x:t xml:space="preserve">Ask price</x:t>
        </x:is>
      </x:c>
      <x:c r="C8" s="6" t="n"/>
      <x:c r="D8" s="4" t="inlineStr">
        <x:is>
          <x:t xml:space="preserve">Enter the given from the slide.</x:t>
        </x:is>
      </x:c>
      <x:c r="E8" s="4" t="inlineStr">
        <x:is>
          <x:t xml:space="preserve">Input first; formulas should reference this cell later.</x:t>
        </x:is>
      </x:c>
    </x:row>
    <x:row r="9" ht="24" customHeight="1">
      <x:c r="A9" s="4" t="inlineStr">
        <x:is>
          <x:t xml:space="preserve">Input</x:t>
        </x:is>
      </x:c>
      <x:c r="B9" s="4" t="inlineStr">
        <x:is>
          <x:t xml:space="preserve">Last price</x:t>
        </x:is>
      </x:c>
      <x:c r="C9" s="6" t="n"/>
      <x:c r="D9" s="4" t="inlineStr">
        <x:is>
          <x:t xml:space="preserve">Enter the given from the slide.</x:t>
        </x:is>
      </x:c>
      <x:c r="E9" s="4" t="inlineStr">
        <x:is>
          <x:t xml:space="preserve">Input first; formulas should reference this cell later.</x:t>
        </x:is>
      </x:c>
    </x:row>
    <x:row r="10" ht="24" customHeight="1">
      <x:c r="A10" s="4" t="inlineStr">
        <x:is>
          <x:t xml:space="preserve">Input</x:t>
        </x:is>
      </x:c>
      <x:c r="B10" s="4" t="inlineStr">
        <x:is>
          <x:t xml:space="preserve">52-week low</x:t>
        </x:is>
      </x:c>
      <x:c r="C10" s="6" t="n"/>
      <x:c r="D10" s="4" t="inlineStr">
        <x:is>
          <x:t xml:space="preserve">Enter the given from the slide.</x:t>
        </x:is>
      </x:c>
      <x:c r="E10" s="4" t="inlineStr">
        <x:is>
          <x:t xml:space="preserve">Input first; formulas should reference this cell later.</x:t>
        </x:is>
      </x:c>
    </x:row>
    <x:row r="11" ht="24" customHeight="1">
      <x:c r="A11" s="4" t="inlineStr">
        <x:is>
          <x:t xml:space="preserve">Input</x:t>
        </x:is>
      </x:c>
      <x:c r="B11" s="4" t="inlineStr">
        <x:is>
          <x:t xml:space="preserve">P/E ratio</x:t>
        </x:is>
      </x:c>
      <x:c r="C11" s="7" t="n"/>
      <x:c r="D11" s="4" t="inlineStr">
        <x:is>
          <x:t xml:space="preserve">Enter the given from the slide.</x:t>
        </x:is>
      </x:c>
      <x:c r="E11" s="4" t="inlineStr">
        <x:is>
          <x:t xml:space="preserve">Input first; formulas should reference this cell later.</x:t>
        </x:is>
      </x:c>
    </x:row>
    <x:row r="12" ht="24" customHeight="1"/>
    <x:row r="13" ht="24" customHeight="1">
      <x:c r="A13" s="4" t="inlineStr">
        <x:is>
          <x:t xml:space="preserve">Formula</x:t>
        </x:is>
      </x:c>
      <x:c r="B13" s="4" t="inlineStr">
        <x:is>
          <x:t xml:space="preserve">Bid-ask spread</x:t>
        </x:is>
      </x:c>
      <x:c r="C13" s="6" t="n"/>
      <x:c r="D13" s="8" t="str">
        <x:f>IF(C13="","",IF(COUNT($C$7:$C$8)&lt;2,"Enter givens first",IF(ABS(C13-($C$8-$C$7))&lt;=0.01,"Looks right","Check ask minus bid")))</x:f>
      </x:c>
      <x:c r="E13" s="4" t="inlineStr">
        <x:is>
          <x:t xml:space="preserve">Use Ask minus Bid.</x:t>
        </x:is>
      </x:c>
    </x:row>
    <x:row r="14" ht="24" customHeight="1">
      <x:c r="A14" s="4" t="inlineStr">
        <x:is>
          <x:t xml:space="preserve">Formula</x:t>
        </x:is>
      </x:c>
      <x:c r="B14" s="4" t="inlineStr">
        <x:is>
          <x:t xml:space="preserve">Dollars above 52-week low</x:t>
        </x:is>
      </x:c>
      <x:c r="C14" s="6" t="n"/>
      <x:c r="D14" s="8" t="str">
        <x:f>IF(C14="","",IF(COUNT($C$9:$C$10)&lt;2,"Enter givens first",IF(ABS(C14-($C$9-$C$10))&lt;=0.01,"Looks right","Check last price minus low")))</x:f>
      </x:c>
      <x:c r="E14" s="4" t="inlineStr">
        <x:is>
          <x:t xml:space="preserve">Use Last price minus 52-week low.</x:t>
        </x:is>
      </x:c>
    </x:row>
    <x:row r="15" ht="24" customHeight="1">
      <x:c r="A15" s="4" t="inlineStr">
        <x:is>
          <x:t xml:space="preserve">Formula</x:t>
        </x:is>
      </x:c>
      <x:c r="B15" s="4" t="inlineStr">
        <x:is>
          <x:t xml:space="preserve">P/E interpretation</x:t>
        </x:is>
      </x:c>
      <x:c r="C15" s="7" t="n"/>
      <x:c r="D15" s="8" t="str">
        <x:f>IF(C15="","",IF(C11="","Enter givens first",IF(ABS(C15-C11)&lt;=0.01,"Looks right","Check the P/E input")))</x:f>
      </x:c>
      <x:c r="E15" s="4" t="inlineStr">
        <x:is>
          <x:t xml:space="preserve">P/E reads as dollars paid per $1 of earnings.</x:t>
        </x:is>
      </x:c>
    </x:row>
    <x:row r="16" ht="24" customHeight="1"/>
    <x:row r="17" ht="24" customHeight="1"/>
    <x:row r="18" ht="24" customHeight="1">
      <x:c r="A18" s="3" t="inlineStr">
        <x:is>
          <x:t xml:space="preserve">Pause 2 - Dividend waterfall</x:t>
        </x:is>
      </x:c>
      <x:c r="B18" s="14" t="n"/>
      <x:c r="C18" s="14" t="n"/>
      <x:c r="D18" s="14" t="n"/>
      <x:c r="E18" s="14" t="n"/>
      <x:c r="F18" s="14" t="n"/>
      <x:c r="G18" s="14" t="n"/>
      <x:c r="H18" s="15" t="n"/>
    </x:row>
    <x:row r="19" ht="24" customHeight="1">
      <x:c r="A19" s="5" t="inlineStr">
        <x:is>
          <x:t xml:space="preserve">Role</x:t>
        </x:is>
      </x:c>
      <x:c r="B19" s="5" t="inlineStr">
        <x:is>
          <x:t xml:space="preserve">Item</x:t>
        </x:is>
      </x:c>
      <x:c r="C19" s="5" t="inlineStr">
        <x:is>
          <x:t xml:space="preserve">Yellow cell</x:t>
        </x:is>
      </x:c>
      <x:c r="D19" s="5" t="inlineStr">
        <x:is>
          <x:t xml:space="preserve">Feedback</x:t>
        </x:is>
      </x:c>
      <x:c r="E19" s="5" t="inlineStr">
        <x:is>
          <x:t xml:space="preserve">Hint</x:t>
        </x:is>
      </x:c>
    </x:row>
    <x:row r="20" ht="24" customHeight="1">
      <x:c r="A20" s="4" t="inlineStr">
        <x:is>
          <x:t xml:space="preserve">Input</x:t>
        </x:is>
      </x:c>
      <x:c r="B20" s="4" t="inlineStr">
        <x:is>
          <x:t xml:space="preserve">Total dividends declared</x:t>
        </x:is>
      </x:c>
      <x:c r="C20" s="9" t="n"/>
      <x:c r="D20" s="4" t="inlineStr">
        <x:is>
          <x:t xml:space="preserve">Enter the given from the slide.</x:t>
        </x:is>
      </x:c>
      <x:c r="E20" s="4" t="inlineStr">
        <x:is>
          <x:t xml:space="preserve">Input first; formulas should reference this cell later.</x:t>
        </x:is>
      </x:c>
    </x:row>
    <x:row r="21" ht="24" customHeight="1">
      <x:c r="A21" s="4" t="inlineStr">
        <x:is>
          <x:t xml:space="preserve">Input</x:t>
        </x:is>
      </x:c>
      <x:c r="B21" s="4" t="inlineStr">
        <x:is>
          <x:t xml:space="preserve">Preferred rate</x:t>
        </x:is>
      </x:c>
      <x:c r="C21" s="10" t="n"/>
      <x:c r="D21" s="4" t="inlineStr">
        <x:is>
          <x:t xml:space="preserve">Enter the given from the slide.</x:t>
        </x:is>
      </x:c>
      <x:c r="E21" s="4" t="inlineStr">
        <x:is>
          <x:t xml:space="preserve">Input first; formulas should reference this cell later.</x:t>
        </x:is>
      </x:c>
    </x:row>
    <x:row r="22" ht="24" customHeight="1">
      <x:c r="A22" s="4" t="inlineStr">
        <x:is>
          <x:t xml:space="preserve">Input</x:t>
        </x:is>
      </x:c>
      <x:c r="B22" s="4" t="inlineStr">
        <x:is>
          <x:t xml:space="preserve">Preferred par value</x:t>
        </x:is>
      </x:c>
      <x:c r="C22" s="9" t="n"/>
      <x:c r="D22" s="4" t="inlineStr">
        <x:is>
          <x:t xml:space="preserve">Enter the given from the slide.</x:t>
        </x:is>
      </x:c>
      <x:c r="E22" s="4" t="inlineStr">
        <x:is>
          <x:t xml:space="preserve">Input first; formulas should reference this cell later.</x:t>
        </x:is>
      </x:c>
    </x:row>
    <x:row r="23" ht="24" customHeight="1">
      <x:c r="A23" s="4" t="inlineStr">
        <x:is>
          <x:t xml:space="preserve">Input</x:t>
        </x:is>
      </x:c>
      <x:c r="B23" s="4" t="inlineStr">
        <x:is>
          <x:t xml:space="preserve">Preferred shares</x:t>
        </x:is>
      </x:c>
      <x:c r="C23" s="11" t="n"/>
      <x:c r="D23" s="4" t="inlineStr">
        <x:is>
          <x:t xml:space="preserve">Enter the given from the slide.</x:t>
        </x:is>
      </x:c>
      <x:c r="E23" s="4" t="inlineStr">
        <x:is>
          <x:t xml:space="preserve">Input first; formulas should reference this cell later.</x:t>
        </x:is>
      </x:c>
    </x:row>
    <x:row r="24" ht="24" customHeight="1">
      <x:c r="A24" s="4" t="inlineStr">
        <x:is>
          <x:t xml:space="preserve">Input</x:t>
        </x:is>
      </x:c>
      <x:c r="B24" s="4" t="inlineStr">
        <x:is>
          <x:t xml:space="preserve">Common shares</x:t>
        </x:is>
      </x:c>
      <x:c r="C24" s="11" t="n"/>
      <x:c r="D24" s="4" t="inlineStr">
        <x:is>
          <x:t xml:space="preserve">Enter the given from the slide.</x:t>
        </x:is>
      </x:c>
      <x:c r="E24" s="4" t="inlineStr">
        <x:is>
          <x:t xml:space="preserve">Input first; formulas should reference this cell later.</x:t>
        </x:is>
      </x:c>
    </x:row>
    <x:row r="25" ht="24" customHeight="1"/>
    <x:row r="26" ht="24" customHeight="1">
      <x:c r="A26" s="4" t="inlineStr">
        <x:is>
          <x:t xml:space="preserve">Formula</x:t>
        </x:is>
      </x:c>
      <x:c r="B26" s="4" t="inlineStr">
        <x:is>
          <x:t xml:space="preserve">Preferred dividend/share</x:t>
        </x:is>
      </x:c>
      <x:c r="C26" s="6" t="n"/>
      <x:c r="D26" s="8" t="str">
        <x:f>IF(C26="","",IF(COUNT($C$21:$C$22)&lt;2,"Enter givens first",IF(ABS(C26-($C$21*$C$22))&lt;=0.01,"Looks right","Check rate times par")))</x:f>
      </x:c>
      <x:c r="E26" s="4" t="inlineStr">
        <x:is>
          <x:t xml:space="preserve">Rate times par value.</x:t>
        </x:is>
      </x:c>
    </x:row>
    <x:row r="27" ht="24" customHeight="1">
      <x:c r="A27" s="4" t="inlineStr">
        <x:is>
          <x:t xml:space="preserve">Formula</x:t>
        </x:is>
      </x:c>
      <x:c r="B27" s="4" t="inlineStr">
        <x:is>
          <x:t xml:space="preserve">Total preferred dividend</x:t>
        </x:is>
      </x:c>
      <x:c r="C27" s="9" t="n"/>
      <x:c r="D27" s="8" t="str">
        <x:f>IF(C27="","",IF(COUNT($C$23,$C$26)&lt;2,"Enter givens first",IF(ABS(C27-($C$26*$C$23))&lt;=0.01,"Looks right","Check per-share dividend times preferred shares")))</x:f>
      </x:c>
      <x:c r="E27" s="4" t="inlineStr">
        <x:is>
          <x:t xml:space="preserve">Preferred dividend/share times preferred shares.</x:t>
        </x:is>
      </x:c>
    </x:row>
    <x:row r="28" ht="24" customHeight="1">
      <x:c r="A28" s="4" t="inlineStr">
        <x:is>
          <x:t xml:space="preserve">Formula</x:t>
        </x:is>
      </x:c>
      <x:c r="B28" s="4" t="inlineStr">
        <x:is>
          <x:t xml:space="preserve">Remainder for common</x:t>
        </x:is>
      </x:c>
      <x:c r="C28" s="9" t="n"/>
      <x:c r="D28" s="8" t="str">
        <x:f>IF(C28="","",IF(COUNT($C$20,$C$27)&lt;2,"Enter givens first",IF(ABS(C28-($C$20-$C$27))&lt;=0.01,"Looks right","Check total dividends minus preferred dividend")))</x:f>
      </x:c>
      <x:c r="E28" s="4" t="inlineStr">
        <x:is>
          <x:t xml:space="preserve">Common shareholders get what remains.</x:t>
        </x:is>
      </x:c>
    </x:row>
    <x:row r="29" ht="24" customHeight="1">
      <x:c r="A29" s="4" t="inlineStr">
        <x:is>
          <x:t xml:space="preserve">Formula</x:t>
        </x:is>
      </x:c>
      <x:c r="B29" s="4" t="inlineStr">
        <x:is>
          <x:t xml:space="preserve">Common dividend/share</x:t>
        </x:is>
      </x:c>
      <x:c r="C29" s="6" t="n"/>
      <x:c r="D29" s="8" t="str">
        <x:f>IF(C29="","",IF(COUNT($C$24,$C$28)&lt;2,"Enter givens first",IF(ABS(C29-($C$28/$C$24))&lt;=0.01,"Looks right","Check remainder divided by common shares")))</x:f>
      </x:c>
      <x:c r="E29" s="4" t="inlineStr">
        <x:is>
          <x:t xml:space="preserve">Remainder divided by common shares.</x:t>
        </x:is>
      </x:c>
    </x:row>
    <x:row r="30" ht="24" customHeight="1"/>
    <x:row r="31" ht="24" customHeight="1">
      <x:c r="A31" s="3" t="inlineStr">
        <x:is>
          <x:t xml:space="preserve">Pause 3 - ROI with commissions</x:t>
        </x:is>
      </x:c>
      <x:c r="B31" s="14" t="n"/>
      <x:c r="C31" s="14" t="n"/>
      <x:c r="D31" s="14" t="n"/>
      <x:c r="E31" s="14" t="n"/>
      <x:c r="F31" s="14" t="n"/>
      <x:c r="G31" s="14" t="n"/>
      <x:c r="H31" s="15" t="n"/>
    </x:row>
    <x:row r="32" ht="24" customHeight="1">
      <x:c r="A32" s="5" t="inlineStr">
        <x:is>
          <x:t xml:space="preserve">Role</x:t>
        </x:is>
      </x:c>
      <x:c r="B32" s="5" t="inlineStr">
        <x:is>
          <x:t xml:space="preserve">Item</x:t>
        </x:is>
      </x:c>
      <x:c r="C32" s="5" t="inlineStr">
        <x:is>
          <x:t xml:space="preserve">Yellow cell</x:t>
        </x:is>
      </x:c>
      <x:c r="D32" s="5" t="inlineStr">
        <x:is>
          <x:t xml:space="preserve">Feedback</x:t>
        </x:is>
      </x:c>
      <x:c r="E32" s="5" t="inlineStr">
        <x:is>
          <x:t xml:space="preserve">Hint</x:t>
        </x:is>
      </x:c>
    </x:row>
    <x:row r="33" ht="24" customHeight="1">
      <x:c r="A33" s="4" t="inlineStr">
        <x:is>
          <x:t xml:space="preserve">Input</x:t>
        </x:is>
      </x:c>
      <x:c r="B33" s="4" t="inlineStr">
        <x:is>
          <x:t xml:space="preserve">Shares purchased</x:t>
        </x:is>
      </x:c>
      <x:c r="C33" s="11" t="n"/>
      <x:c r="D33" s="4" t="inlineStr">
        <x:is>
          <x:t xml:space="preserve">Enter the given from the slide.</x:t>
        </x:is>
      </x:c>
      <x:c r="E33" s="4" t="inlineStr">
        <x:is>
          <x:t xml:space="preserve">Input first; formulas should reference this cell later.</x:t>
        </x:is>
      </x:c>
    </x:row>
    <x:row r="34" ht="24" customHeight="1">
      <x:c r="A34" s="4" t="inlineStr">
        <x:is>
          <x:t xml:space="preserve">Input</x:t>
        </x:is>
      </x:c>
      <x:c r="B34" s="4" t="inlineStr">
        <x:is>
          <x:t xml:space="preserve">Purchase price/share</x:t>
        </x:is>
      </x:c>
      <x:c r="C34" s="6" t="n"/>
      <x:c r="D34" s="4" t="inlineStr">
        <x:is>
          <x:t xml:space="preserve">Enter the given from the slide.</x:t>
        </x:is>
      </x:c>
      <x:c r="E34" s="4" t="inlineStr">
        <x:is>
          <x:t xml:space="preserve">Input first; formulas should reference this cell later.</x:t>
        </x:is>
      </x:c>
    </x:row>
    <x:row r="35" ht="24" customHeight="1">
      <x:c r="A35" s="4" t="inlineStr">
        <x:is>
          <x:t xml:space="preserve">Input</x:t>
        </x:is>
      </x:c>
      <x:c r="B35" s="4" t="inlineStr">
        <x:is>
          <x:t xml:space="preserve">Sale price/share</x:t>
        </x:is>
      </x:c>
      <x:c r="C35" s="6" t="n"/>
      <x:c r="D35" s="4" t="inlineStr">
        <x:is>
          <x:t xml:space="preserve">Enter the given from the slide.</x:t>
        </x:is>
      </x:c>
      <x:c r="E35" s="4" t="inlineStr">
        <x:is>
          <x:t xml:space="preserve">Input first; formulas should reference this cell later.</x:t>
        </x:is>
      </x:c>
    </x:row>
    <x:row r="36" ht="24" customHeight="1">
      <x:c r="A36" s="4" t="inlineStr">
        <x:is>
          <x:t xml:space="preserve">Input</x:t>
        </x:is>
      </x:c>
      <x:c r="B36" s="4" t="inlineStr">
        <x:is>
          <x:t xml:space="preserve">Commission rate</x:t>
        </x:is>
      </x:c>
      <x:c r="C36" s="10" t="n"/>
      <x:c r="D36" s="4" t="inlineStr">
        <x:is>
          <x:t xml:space="preserve">Enter the given from the slide.</x:t>
        </x:is>
      </x:c>
      <x:c r="E36" s="4" t="inlineStr">
        <x:is>
          <x:t xml:space="preserve">Input first; formulas should reference this cell later.</x:t>
        </x:is>
      </x:c>
    </x:row>
    <x:row r="37" ht="24" customHeight="1">
      <x:c r="A37" s="4" t="inlineStr">
        <x:is>
          <x:t xml:space="preserve">Input</x:t>
        </x:is>
      </x:c>
      <x:c r="B37" s="4" t="inlineStr">
        <x:is>
          <x:t xml:space="preserve">Annual dividend/share</x:t>
        </x:is>
      </x:c>
      <x:c r="C37" s="6" t="n"/>
      <x:c r="D37" s="4" t="inlineStr">
        <x:is>
          <x:t xml:space="preserve">Enter the given from the slide.</x:t>
        </x:is>
      </x:c>
      <x:c r="E37" s="4" t="inlineStr">
        <x:is>
          <x:t xml:space="preserve">Input first; formulas should reference this cell later.</x:t>
        </x:is>
      </x:c>
    </x:row>
    <x:row r="38" ht="24" customHeight="1"/>
    <x:row r="39" ht="24" customHeight="1">
      <x:c r="A39" s="4" t="inlineStr">
        <x:is>
          <x:t xml:space="preserve">Formula</x:t>
        </x:is>
      </x:c>
      <x:c r="B39" s="4" t="inlineStr">
        <x:is>
          <x:t xml:space="preserve">Buy cost before commission</x:t>
        </x:is>
      </x:c>
      <x:c r="C39" s="6" t="n"/>
      <x:c r="D39" s="8" t="str">
        <x:f>IF(C39="","",IF(COUNT($C$33:$C$34)&lt;2,"Enter givens first",IF(ABS(C39-($C$33*$C$34))&lt;=0.01,"Looks right","Check shares times purchase price")))</x:f>
      </x:c>
      <x:c r="E39" s="4" t="inlineStr">
        <x:is>
          <x:t xml:space="preserve">Shares times purchase price.</x:t>
        </x:is>
      </x:c>
    </x:row>
    <x:row r="40" ht="24" customHeight="1">
      <x:c r="A40" s="4" t="inlineStr">
        <x:is>
          <x:t xml:space="preserve">Formula</x:t>
        </x:is>
      </x:c>
      <x:c r="B40" s="4" t="inlineStr">
        <x:is>
          <x:t xml:space="preserve">Buy commission</x:t>
        </x:is>
      </x:c>
      <x:c r="C40" s="6" t="n"/>
      <x:c r="D40" s="8" t="str">
        <x:f>IF(C40="","",IF(COUNT($C$36,$C$39)&lt;2,"Enter givens first",IF(ABS(C40-($C$39*$C$36))&lt;=0.01,"Looks right","Check buy cost times commission")))</x:f>
      </x:c>
      <x:c r="E40" s="4" t="inlineStr">
        <x:is>
          <x:t xml:space="preserve">Commission is applied to the transaction value.</x:t>
        </x:is>
      </x:c>
    </x:row>
    <x:row r="41" ht="24" customHeight="1">
      <x:c r="A41" s="4" t="inlineStr">
        <x:is>
          <x:t xml:space="preserve">Formula</x:t>
        </x:is>
      </x:c>
      <x:c r="B41" s="4" t="inlineStr">
        <x:is>
          <x:t xml:space="preserve">Total buy cost</x:t>
        </x:is>
      </x:c>
      <x:c r="C41" s="6" t="n"/>
      <x:c r="D41" s="8" t="str">
        <x:f>IF(C41="","",IF(COUNT($C$39:$C$40)&lt;2,"Enter givens first",IF(ABS(C41-($C$39+$C$40))&lt;=0.01,"Looks right","Check buy cost plus commission")))</x:f>
      </x:c>
      <x:c r="E41" s="4" t="inlineStr">
        <x:is>
          <x:t xml:space="preserve">Include buy commission.</x:t>
        </x:is>
      </x:c>
    </x:row>
    <x:row r="42" ht="24" customHeight="1">
      <x:c r="A42" s="4" t="inlineStr">
        <x:is>
          <x:t xml:space="preserve">Formula</x:t>
        </x:is>
      </x:c>
      <x:c r="B42" s="4" t="inlineStr">
        <x:is>
          <x:t xml:space="preserve">Sale proceeds before commission</x:t>
        </x:is>
      </x:c>
      <x:c r="C42" s="6" t="n"/>
      <x:c r="D42" s="8" t="str">
        <x:f>IF(C42="","",IF(COUNT($C$33,$C$35)&lt;2,"Enter givens first",IF(ABS(C42-($C$33*$C$35))&lt;=0.01,"Looks right","Check shares times sale price")))</x:f>
      </x:c>
      <x:c r="E42" s="4" t="inlineStr">
        <x:is>
          <x:t xml:space="preserve">Shares times sale price.</x:t>
        </x:is>
      </x:c>
    </x:row>
    <x:row r="43" ht="24" customHeight="1">
      <x:c r="A43" s="4" t="inlineStr">
        <x:is>
          <x:t xml:space="preserve">Formula</x:t>
        </x:is>
      </x:c>
      <x:c r="B43" s="4" t="inlineStr">
        <x:is>
          <x:t xml:space="preserve">Sell commission</x:t>
        </x:is>
      </x:c>
      <x:c r="C43" s="6" t="n"/>
      <x:c r="D43" s="8" t="str">
        <x:f>IF(C43="","",IF(COUNT($C$36,$C$42)&lt;2,"Enter givens first",IF(ABS(C43-($C$42*$C$36))&lt;=0.01,"Looks right","Check sale proceeds times commission")))</x:f>
      </x:c>
      <x:c r="E43" s="4" t="inlineStr">
        <x:is>
          <x:t xml:space="preserve">Commission is applied again on sale.</x:t>
        </x:is>
      </x:c>
    </x:row>
    <x:row r="44" ht="24" customHeight="1">
      <x:c r="A44" s="4" t="inlineStr">
        <x:is>
          <x:t xml:space="preserve">Formula</x:t>
        </x:is>
      </x:c>
      <x:c r="B44" s="4" t="inlineStr">
        <x:is>
          <x:t xml:space="preserve">Net sale proceeds</x:t>
        </x:is>
      </x:c>
      <x:c r="C44" s="6" t="n"/>
      <x:c r="D44" s="8" t="str">
        <x:f>IF(C44="","",IF(COUNT($C$42:$C$43)&lt;2,"Enter givens first",IF(ABS(C44-($C$42-$C$43))&lt;=0.01,"Looks right","Check sale proceeds minus sell commission")))</x:f>
      </x:c>
      <x:c r="E44" s="4" t="inlineStr">
        <x:is>
          <x:t xml:space="preserve">Subtract sell commission.</x:t>
        </x:is>
      </x:c>
    </x:row>
    <x:row r="45" ht="24" customHeight="1">
      <x:c r="A45" s="4" t="inlineStr">
        <x:is>
          <x:t xml:space="preserve">Formula</x:t>
        </x:is>
      </x:c>
      <x:c r="B45" s="4" t="inlineStr">
        <x:is>
          <x:t xml:space="preserve">Total dividends</x:t>
        </x:is>
      </x:c>
      <x:c r="C45" s="6" t="n"/>
      <x:c r="D45" s="8" t="str">
        <x:f>IF(C45="","",IF(COUNT($C$33,$C$37)&lt;2,"Enter givens first",IF(ABS(C45-($C$33*$C$37))&lt;=0.01,"Looks right","Check shares times dividend/share")))</x:f>
      </x:c>
      <x:c r="E45" s="4" t="inlineStr">
        <x:is>
          <x:t xml:space="preserve">Shares times annual dividend/share.</x:t>
        </x:is>
      </x:c>
    </x:row>
    <x:row r="46" ht="24" customHeight="1">
      <x:c r="A46" s="4" t="inlineStr">
        <x:is>
          <x:t xml:space="preserve">Formula</x:t>
        </x:is>
      </x:c>
      <x:c r="B46" s="4" t="inlineStr">
        <x:is>
          <x:t xml:space="preserve">ROI</x:t>
        </x:is>
      </x:c>
      <x:c r="C46" s="12" t="n"/>
      <x:c r="D46" s="8" t="str">
        <x:f>IF(C46="","",IF(COUNT($C$41,$C$44:$C$45)&lt;3,"Enter givens first",IF(ABS(C46-ROUND(($C$44-$C$41+$C$45)/$C$41,4))&lt;=0.0001,"Looks right","Check ROI numerator and denominator")))</x:f>
      </x:c>
      <x:c r="E46" s="4" t="inlineStr">
        <x:is>
          <x:t xml:space="preserve">Net gain divided by total buy cost.</x:t>
        </x:is>
      </x:c>
    </x:row>
    <x:row r="47" ht="24" customHeight="1"/>
    <x:row r="48" ht="24" customHeight="1"/>
    <x:row r="49" ht="24" customHeight="1">
      <x:c r="A49" s="3" t="inlineStr">
        <x:is>
          <x:t xml:space="preserve">Pause 4 - Bond quote conversion</x:t>
        </x:is>
      </x:c>
      <x:c r="B49" s="14" t="n"/>
      <x:c r="C49" s="14" t="n"/>
      <x:c r="D49" s="14" t="n"/>
      <x:c r="E49" s="14" t="n"/>
      <x:c r="F49" s="14" t="n"/>
      <x:c r="G49" s="14" t="n"/>
      <x:c r="H49" s="15" t="n"/>
    </x:row>
    <x:row r="50" ht="24" customHeight="1">
      <x:c r="A50" s="5" t="inlineStr">
        <x:is>
          <x:t xml:space="preserve">Role</x:t>
        </x:is>
      </x:c>
      <x:c r="B50" s="5" t="inlineStr">
        <x:is>
          <x:t xml:space="preserve">Item</x:t>
        </x:is>
      </x:c>
      <x:c r="C50" s="5" t="inlineStr">
        <x:is>
          <x:t xml:space="preserve">Yellow cell</x:t>
        </x:is>
      </x:c>
      <x:c r="D50" s="5" t="inlineStr">
        <x:is>
          <x:t xml:space="preserve">Feedback</x:t>
        </x:is>
      </x:c>
      <x:c r="E50" s="5" t="inlineStr">
        <x:is>
          <x:t xml:space="preserve">Hint</x:t>
        </x:is>
      </x:c>
    </x:row>
    <x:row r="51" ht="24" customHeight="1">
      <x:c r="A51" s="4" t="inlineStr">
        <x:is>
          <x:t xml:space="preserve">Input</x:t>
        </x:is>
      </x:c>
      <x:c r="B51" s="4" t="inlineStr">
        <x:is>
          <x:t xml:space="preserve">Face value</x:t>
        </x:is>
      </x:c>
      <x:c r="C51" s="9" t="n"/>
      <x:c r="D51" s="4" t="inlineStr">
        <x:is>
          <x:t xml:space="preserve">Enter the given from the slide.</x:t>
        </x:is>
      </x:c>
      <x:c r="E51" s="4" t="inlineStr">
        <x:is>
          <x:t xml:space="preserve">Input first; formulas should reference this cell later.</x:t>
        </x:is>
      </x:c>
    </x:row>
    <x:row r="52" ht="24" customHeight="1">
      <x:c r="A52" s="4" t="inlineStr">
        <x:is>
          <x:t xml:space="preserve">Input</x:t>
        </x:is>
      </x:c>
      <x:c r="B52" s="4" t="inlineStr">
        <x:is>
          <x:t xml:space="preserve">Stated interest rate</x:t>
        </x:is>
      </x:c>
      <x:c r="C52" s="10" t="n"/>
      <x:c r="D52" s="4" t="inlineStr">
        <x:is>
          <x:t xml:space="preserve">Enter the given from the slide.</x:t>
        </x:is>
      </x:c>
      <x:c r="E52" s="4" t="inlineStr">
        <x:is>
          <x:t xml:space="preserve">Input first; formulas should reference this cell later.</x:t>
        </x:is>
      </x:c>
    </x:row>
    <x:row r="53" ht="24" customHeight="1">
      <x:c r="A53" s="4" t="inlineStr">
        <x:is>
          <x:t xml:space="preserve">Input</x:t>
        </x:is>
      </x:c>
      <x:c r="B53" s="4" t="inlineStr">
        <x:is>
          <x:t xml:space="preserve">Quoted price</x:t>
        </x:is>
      </x:c>
      <x:c r="C53" s="13" t="n"/>
      <x:c r="D53" s="4" t="inlineStr">
        <x:is>
          <x:t xml:space="preserve">Enter the given from the slide.</x:t>
        </x:is>
      </x:c>
      <x:c r="E53" s="4" t="inlineStr">
        <x:is>
          <x:t xml:space="preserve">Input first; formulas should reference this cell later.</x:t>
        </x:is>
      </x:c>
    </x:row>
    <x:row r="54" ht="24" customHeight="1">
      <x:c r="A54" s="4" t="inlineStr">
        <x:is>
          <x:t xml:space="preserve">Input</x:t>
        </x:is>
      </x:c>
      <x:c r="B54" s="4" t="inlineStr">
        <x:is>
          <x:t xml:space="preserve">Number of bonds</x:t>
        </x:is>
      </x:c>
      <x:c r="C54" s="11" t="n"/>
      <x:c r="D54" s="4" t="inlineStr">
        <x:is>
          <x:t xml:space="preserve">Enter the given from the slide.</x:t>
        </x:is>
      </x:c>
      <x:c r="E54" s="4" t="inlineStr">
        <x:is>
          <x:t xml:space="preserve">Input first; formulas should reference this cell later.</x:t>
        </x:is>
      </x:c>
    </x:row>
    <x:row r="55" ht="24" customHeight="1"/>
    <x:row r="56" ht="24" customHeight="1">
      <x:c r="A56" s="4" t="inlineStr">
        <x:is>
          <x:t xml:space="preserve">Formula</x:t>
        </x:is>
      </x:c>
      <x:c r="B56" s="4" t="inlineStr">
        <x:is>
          <x:t xml:space="preserve">Dollar price per bond</x:t>
        </x:is>
      </x:c>
      <x:c r="C56" s="6" t="n"/>
      <x:c r="D56" s="8" t="str">
        <x:f>IF(C56="","",IF(COUNT($C$51,$C$53)&lt;2,"Enter givens first",IF(ABS(C56-($C$53/100*$C$51))&lt;=0.01,"Looks right","Check quote divided by 100 times face value")))</x:f>
      </x:c>
      <x:c r="E56" s="4" t="inlineStr">
        <x:is>
          <x:t xml:space="preserve">A quote of 99.59 means 99.59%.</x:t>
        </x:is>
      </x:c>
    </x:row>
    <x:row r="57" ht="24" customHeight="1">
      <x:c r="A57" s="4" t="inlineStr">
        <x:is>
          <x:t xml:space="preserve">Formula</x:t>
        </x:is>
      </x:c>
      <x:c r="B57" s="4" t="inlineStr">
        <x:is>
          <x:t xml:space="preserve">Total cost</x:t>
        </x:is>
      </x:c>
      <x:c r="C57" s="6" t="n"/>
      <x:c r="D57" s="8" t="str">
        <x:f>IF(C57="","",IF(COUNT($C$54,$C$56)&lt;2,"Enter givens first",IF(ABS(C57-($C$56*$C$54))&lt;=0.01,"Looks right","Check price per bond times number of bonds")))</x:f>
      </x:c>
      <x:c r="E57" s="4" t="inlineStr">
        <x:is>
          <x:t xml:space="preserve">Price per bond times quantity.</x:t>
        </x:is>
      </x:c>
    </x:row>
    <x:row r="58" ht="24" customHeight="1">
      <x:c r="A58" s="4" t="inlineStr">
        <x:is>
          <x:t xml:space="preserve">Formula</x:t>
        </x:is>
      </x:c>
      <x:c r="B58" s="4" t="inlineStr">
        <x:is>
          <x:t xml:space="preserve">Annual interest per bond</x:t>
        </x:is>
      </x:c>
      <x:c r="C58" s="6" t="n"/>
      <x:c r="D58" s="8" t="str">
        <x:f>IF(C58="","",IF(COUNT($C$51:$C$52)&lt;2,"Enter givens first",IF(ABS(C58-($C$52*$C$51))&lt;=0.01,"Looks right","Check rate times face value")))</x:f>
      </x:c>
      <x:c r="E58" s="4" t="inlineStr">
        <x:is>
          <x:t xml:space="preserve">Interest is based on par value.</x:t>
        </x:is>
      </x:c>
    </x:row>
    <x:row r="59" ht="24" customHeight="1">
      <x:c r="A59" s="4" t="inlineStr">
        <x:is>
          <x:t xml:space="preserve">Formula</x:t>
        </x:is>
      </x:c>
      <x:c r="B59" s="4" t="inlineStr">
        <x:is>
          <x:t xml:space="preserve">Total annual interest</x:t>
        </x:is>
      </x:c>
      <x:c r="C59" s="6" t="n"/>
      <x:c r="D59" s="8" t="str">
        <x:f>IF(C59="","",IF(COUNT($C$54,$C$58)&lt;2,"Enter givens first",IF(ABS(C59-($C$58*$C$54))&lt;=0.01,"Looks right","Check interest per bond times number of bonds")))</x:f>
      </x:c>
      <x:c r="E59" s="4" t="inlineStr">
        <x:is>
          <x:t xml:space="preserve">Multiply annual interest per bond by quantity.</x:t>
        </x:is>
      </x:c>
    </x:row>
    <x:row r="60" ht="24" customHeight="1">
      <x:c r="A60" s="4" t="inlineStr">
        <x:is>
          <x:t xml:space="preserve">Formula</x:t>
        </x:is>
      </x:c>
      <x:c r="B60" s="4" t="inlineStr">
        <x:is>
          <x:t xml:space="preserve">Current yield</x:t>
        </x:is>
      </x:c>
      <x:c r="C60" s="12" t="n"/>
      <x:c r="D60" s="8" t="str">
        <x:f>IF(C60="","",IF(COUNT($C$56,$C$58)&lt;2,"Enter givens first",IF(ABS(C60-ROUND($C$58/$C$56,4))&lt;=0.0001,"Looks right","Check annual interest divided by dollar price")))</x:f>
      </x:c>
      <x:c r="E60" s="4" t="inlineStr">
        <x:is>
          <x:t xml:space="preserve">Use annual interest over the dollar price paid.</x:t>
        </x:is>
      </x:c>
    </x:row>
    <x:row r="61" ht="24" customHeight="1"/>
    <x:row r="62" ht="24" customHeight="1">
      <x:c r="A62" s="3" t="inlineStr">
        <x:is>
          <x:t xml:space="preserve">Pause 5 - Mutual fund NAV</x:t>
        </x:is>
      </x:c>
      <x:c r="B62" s="14" t="n"/>
      <x:c r="C62" s="14" t="n"/>
      <x:c r="D62" s="14" t="n"/>
      <x:c r="E62" s="14" t="n"/>
      <x:c r="F62" s="14" t="n"/>
      <x:c r="G62" s="14" t="n"/>
      <x:c r="H62" s="15" t="n"/>
    </x:row>
    <x:row r="63" ht="24" customHeight="1">
      <x:c r="A63" s="5" t="inlineStr">
        <x:is>
          <x:t xml:space="preserve">Role</x:t>
        </x:is>
      </x:c>
      <x:c r="B63" s="5" t="inlineStr">
        <x:is>
          <x:t xml:space="preserve">Item</x:t>
        </x:is>
      </x:c>
      <x:c r="C63" s="5" t="inlineStr">
        <x:is>
          <x:t xml:space="preserve">Yellow cell</x:t>
        </x:is>
      </x:c>
      <x:c r="D63" s="5" t="inlineStr">
        <x:is>
          <x:t xml:space="preserve">Feedback</x:t>
        </x:is>
      </x:c>
      <x:c r="E63" s="5" t="inlineStr">
        <x:is>
          <x:t xml:space="preserve">Hint</x:t>
        </x:is>
      </x:c>
    </x:row>
    <x:row r="64" ht="24" customHeight="1">
      <x:c r="A64" s="4" t="inlineStr">
        <x:is>
          <x:t xml:space="preserve">Input</x:t>
        </x:is>
      </x:c>
      <x:c r="B64" s="4" t="inlineStr">
        <x:is>
          <x:t xml:space="preserve">Market value of holdings</x:t>
        </x:is>
      </x:c>
      <x:c r="C64" s="9" t="n"/>
      <x:c r="D64" s="4" t="inlineStr">
        <x:is>
          <x:t xml:space="preserve">Enter the given from the slide.</x:t>
        </x:is>
      </x:c>
      <x:c r="E64" s="4" t="inlineStr">
        <x:is>
          <x:t xml:space="preserve">Input first; formulas should reference this cell later.</x:t>
        </x:is>
      </x:c>
    </x:row>
    <x:row r="65" ht="24" customHeight="1">
      <x:c r="A65" s="4" t="inlineStr">
        <x:is>
          <x:t xml:space="preserve">Input</x:t>
        </x:is>
      </x:c>
      <x:c r="B65" s="4" t="inlineStr">
        <x:is>
          <x:t xml:space="preserve">Current liabilities</x:t>
        </x:is>
      </x:c>
      <x:c r="C65" s="9" t="n"/>
      <x:c r="D65" s="4" t="inlineStr">
        <x:is>
          <x:t xml:space="preserve">Enter the given from the slide.</x:t>
        </x:is>
      </x:c>
      <x:c r="E65" s="4" t="inlineStr">
        <x:is>
          <x:t xml:space="preserve">Input first; formulas should reference this cell later.</x:t>
        </x:is>
      </x:c>
    </x:row>
    <x:row r="66" ht="24" customHeight="1">
      <x:c r="A66" s="4" t="inlineStr">
        <x:is>
          <x:t xml:space="preserve">Input</x:t>
        </x:is>
      </x:c>
      <x:c r="B66" s="4" t="inlineStr">
        <x:is>
          <x:t xml:space="preserve">Shares outstanding</x:t>
        </x:is>
      </x:c>
      <x:c r="C66" s="11" t="n"/>
      <x:c r="D66" s="4" t="inlineStr">
        <x:is>
          <x:t xml:space="preserve">Enter the given from the slide.</x:t>
        </x:is>
      </x:c>
      <x:c r="E66" s="4" t="inlineStr">
        <x:is>
          <x:t xml:space="preserve">Input first; formulas should reference this cell later.</x:t>
        </x:is>
      </x:c>
    </x:row>
    <x:row r="67" ht="24" customHeight="1">
      <x:c r="A67" s="4" t="inlineStr">
        <x:is>
          <x:t xml:space="preserve">Input</x:t>
        </x:is>
      </x:c>
      <x:c r="B67" s="4" t="inlineStr">
        <x:is>
          <x:t xml:space="preserve">Shares to buy</x:t>
        </x:is>
      </x:c>
      <x:c r="C67" s="11" t="n"/>
      <x:c r="D67" s="4" t="inlineStr">
        <x:is>
          <x:t xml:space="preserve">Enter the given from the slide.</x:t>
        </x:is>
      </x:c>
      <x:c r="E67" s="4" t="inlineStr">
        <x:is>
          <x:t xml:space="preserve">Input first; formulas should reference this cell later.</x:t>
        </x:is>
      </x:c>
    </x:row>
    <x:row r="68" ht="24" customHeight="1"/>
    <x:row r="69" ht="24" customHeight="1">
      <x:c r="A69" s="4" t="inlineStr">
        <x:is>
          <x:t xml:space="preserve">Formula</x:t>
        </x:is>
      </x:c>
      <x:c r="B69" s="4" t="inlineStr">
        <x:is>
          <x:t xml:space="preserve">Net assets</x:t>
        </x:is>
      </x:c>
      <x:c r="C69" s="9" t="n"/>
      <x:c r="D69" s="8" t="str">
        <x:f>IF(C69="","",IF(COUNT($C$64:$C$65)&lt;2,"Enter givens first",IF(ABS(C69-($C$64-$C$65))&lt;=0.01,"Looks right","Check holdings minus liabilities")))</x:f>
      </x:c>
      <x:c r="E69" s="4" t="inlineStr">
        <x:is>
          <x:t xml:space="preserve">Assets minus liabilities.</x:t>
        </x:is>
      </x:c>
    </x:row>
    <x:row r="70" ht="24" customHeight="1">
      <x:c r="A70" s="4" t="inlineStr">
        <x:is>
          <x:t xml:space="preserve">Formula</x:t>
        </x:is>
      </x:c>
      <x:c r="B70" s="4" t="inlineStr">
        <x:is>
          <x:t xml:space="preserve">NAV per share</x:t>
        </x:is>
      </x:c>
      <x:c r="C70" s="6" t="n"/>
      <x:c r="D70" s="8" t="str">
        <x:f>IF(C70="","",IF(COUNT($C$66,$C$69)&lt;2,"Enter givens first",IF(ABS(C70-ROUND($C$69/$C$66,2))&lt;=0.01,"Looks right","Check net assets divided by shares")))</x:f>
      </x:c>
      <x:c r="E70" s="4" t="inlineStr">
        <x:is>
          <x:t xml:space="preserve">Round NAV to cents.</x:t>
        </x:is>
      </x:c>
    </x:row>
    <x:row r="71" ht="24" customHeight="1">
      <x:c r="A71" s="4" t="inlineStr">
        <x:is>
          <x:t xml:space="preserve">Formula</x:t>
        </x:is>
      </x:c>
      <x:c r="B71" s="4" t="inlineStr">
        <x:is>
          <x:t xml:space="preserve">Cost to buy shares</x:t>
        </x:is>
      </x:c>
      <x:c r="C71" s="6" t="n"/>
      <x:c r="D71" s="8" t="str">
        <x:f>IF(C71="","",IF(COUNT($C$67,$C$70)&lt;2,"Enter givens first",IF(ABS(C71-($C$70*$C$67))&lt;=0.01,"Looks right","Check NAV times shares to buy")))</x:f>
      </x:c>
      <x:c r="E71" s="4" t="inlineStr">
        <x:is>
          <x:t xml:space="preserve">NAV per share times number of shares.</x:t>
        </x:is>
      </x:c>
    </x:row>
  </x:sheetData>
  <x:mergeCells>
    <x:mergeCell ref="A18:H18"/>
    <x:mergeCell ref="A1:H1"/>
    <x:mergeCell ref="A62:H62"/>
    <x:mergeCell ref="A2:H2"/>
    <x:mergeCell ref="A49:H49"/>
    <x:mergeCell ref="A5:H5"/>
    <x:mergeCell ref="A31:H3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7" customWidth="1"/>
    <x:col min="2" max="2" width="30" customWidth="1"/>
    <x:col min="3" max="3" width="58" customWidth="1"/>
    <x:col min="4" max="4" width="18" customWidth="1"/>
    <x:col min="5" max="5" width="16" customWidth="1"/>
    <x:col min="6" max="6" width="18" customWidth="1"/>
    <x:col min="7" max="7" width="16" customWidth="1"/>
    <x:col min="8" max="8" width="18" customWidth="1"/>
    <x:col min="9" max="9" width="16" customWidth="1"/>
    <x:col min="10" max="10" width="18" customWidth="1"/>
    <x:col min="11" max="11" width="16" customWidth="1"/>
    <x:col min="12" max="12" width="18" customWidth="1"/>
    <x:col min="13" max="13" width="16" customWidth="1"/>
    <x:col min="14" max="14" width="18" customWidth="1"/>
  </x:cols>
  <x:sheetData>
    <x:row r="1" ht="30" customHeight="1">
      <x:c r="A1" s="1" t="inlineStr">
        <x:is>
          <x:t xml:space="preserve">Class Challenge - Investment Math Desk</x:t>
        </x:is>
      </x:c>
      <x:c r="B1" s="14" t="n"/>
      <x:c r="C1" s="14" t="n"/>
      <x:c r="D1" s="14" t="n"/>
      <x:c r="E1" s="14" t="n"/>
      <x:c r="F1" s="14" t="n"/>
      <x:c r="G1" s="14" t="n"/>
      <x:c r="H1" s="14" t="n"/>
      <x:c r="I1" s="14" t="n"/>
      <x:c r="J1" s="14" t="n"/>
      <x:c r="K1" s="14" t="n"/>
      <x:c r="L1" s="14" t="n"/>
      <x:c r="M1" s="14" t="n"/>
      <x:c r="N1" s="15" t="n"/>
    </x:row>
    <x:row r="2" ht="36" customHeight="1">
      <x:c r="A2" s="2" t="inlineStr">
        <x:is>
          <x:t xml:space="preserve">Read each scenario, extract the needed inputs, and calculate the final numeric answer. Yellow input and final answer cells are blank in the public starter.</x:t>
        </x:is>
      </x:c>
      <x:c r="B2" s="14" t="n"/>
      <x:c r="C2" s="14" t="n"/>
      <x:c r="D2" s="14" t="n"/>
      <x:c r="E2" s="14" t="n"/>
      <x:c r="F2" s="14" t="n"/>
      <x:c r="G2" s="14" t="n"/>
      <x:c r="H2" s="14" t="n"/>
      <x:c r="I2" s="14" t="n"/>
      <x:c r="J2" s="14" t="n"/>
      <x:c r="K2" s="14" t="n"/>
      <x:c r="L2" s="14" t="n"/>
      <x:c r="M2" s="14" t="n"/>
      <x:c r="N2" s="15" t="n"/>
    </x:row>
    <x:row r="4">
      <x:c r="A4" s="5" t="inlineStr">
        <x:is>
          <x:t xml:space="preserve">Q</x:t>
        </x:is>
      </x:c>
      <x:c r="B4" s="5" t="inlineStr">
        <x:is>
          <x:t xml:space="preserve">Skill</x:t>
        </x:is>
      </x:c>
      <x:c r="C4" s="5" t="inlineStr">
        <x:is>
          <x:t xml:space="preserve">Scenario</x:t>
        </x:is>
      </x:c>
      <x:c r="D4" s="5" t="inlineStr">
        <x:is>
          <x:t xml:space="preserve">Input 1 label</x:t>
        </x:is>
      </x:c>
      <x:c r="E4" s="5" t="inlineStr">
        <x:is>
          <x:t xml:space="preserve">Input 1</x:t>
        </x:is>
      </x:c>
      <x:c r="F4" s="5" t="inlineStr">
        <x:is>
          <x:t xml:space="preserve">Input 2 label</x:t>
        </x:is>
      </x:c>
      <x:c r="G4" s="5" t="inlineStr">
        <x:is>
          <x:t xml:space="preserve">Input 2</x:t>
        </x:is>
      </x:c>
      <x:c r="H4" s="5" t="inlineStr">
        <x:is>
          <x:t xml:space="preserve">Input 3 label</x:t>
        </x:is>
      </x:c>
      <x:c r="I4" s="5" t="inlineStr">
        <x:is>
          <x:t xml:space="preserve">Input 3</x:t>
        </x:is>
      </x:c>
      <x:c r="J4" s="5" t="inlineStr">
        <x:is>
          <x:t xml:space="preserve">Input 4 label</x:t>
        </x:is>
      </x:c>
      <x:c r="K4" s="5" t="inlineStr">
        <x:is>
          <x:t xml:space="preserve">Input 4</x:t>
        </x:is>
      </x:c>
      <x:c r="L4" s="5" t="inlineStr">
        <x:is>
          <x:t xml:space="preserve">Input 5 label</x:t>
        </x:is>
      </x:c>
      <x:c r="M4" s="5" t="inlineStr">
        <x:is>
          <x:t xml:space="preserve">Input 5</x:t>
        </x:is>
      </x:c>
      <x:c r="N4" s="5" t="inlineStr">
        <x:is>
          <x:t xml:space="preserve">Final Answer</x:t>
        </x:is>
      </x:c>
    </x:row>
    <x:row r="5" ht="58" customHeight="1">
      <x:c r="A5" s="4" t="n">
        <x:v>1</x:v>
      </x:c>
      <x:c r="B5" s="4" t="inlineStr">
        <x:is>
          <x:t xml:space="preserve">Bid-ask spread</x:t>
        </x:is>
      </x:c>
      <x:c r="C5" s="4" t="inlineStr">
        <x:is>
          <x:t xml:space="preserve">Meridian reviews a stock quote showing a current price of $52.40, bid of $52.33, and ask of $52.47. Calculate the bid-ask spread.</x:t>
        </x:is>
      </x:c>
      <x:c r="D5" s="4" t="inlineStr">
        <x:is>
          <x:t xml:space="preserve">Bid</x:t>
        </x:is>
      </x:c>
      <x:c r="E5" s="6" t="n"/>
      <x:c r="F5" s="4" t="inlineStr">
        <x:is>
          <x:t xml:space="preserve">Ask</x:t>
        </x:is>
      </x:c>
      <x:c r="G5" s="6" t="n"/>
      <x:c r="N5" s="6" t="n"/>
    </x:row>
    <x:row r="6" ht="58" customHeight="1">
      <x:c r="A6" s="4" t="n">
        <x:v>2</x:v>
      </x:c>
      <x:c r="B6" s="4" t="inlineStr">
        <x:is>
          <x:t xml:space="preserve">Dividend yield</x:t>
        </x:is>
      </x:c>
      <x:c r="C6" s="4" t="inlineStr">
        <x:is>
          <x:t xml:space="preserve">MAGH trades at $39.62 and pays an annual dividend of $1.21 per share. Calculate the dividend yield.</x:t>
        </x:is>
      </x:c>
      <x:c r="D6" s="4" t="inlineStr">
        <x:is>
          <x:t xml:space="preserve">Stock price</x:t>
        </x:is>
      </x:c>
      <x:c r="E6" s="6" t="n"/>
      <x:c r="F6" s="4" t="inlineStr">
        <x:is>
          <x:t xml:space="preserve">Annual dividend</x:t>
        </x:is>
      </x:c>
      <x:c r="G6" s="6" t="n"/>
      <x:c r="N6" s="12" t="n"/>
    </x:row>
    <x:row r="7" ht="58" customHeight="1">
      <x:c r="A7" s="4" t="n">
        <x:v>3</x:v>
      </x:c>
      <x:c r="B7" s="4" t="inlineStr">
        <x:is>
          <x:t xml:space="preserve">Common dividend per share</x:t>
        </x:is>
      </x:c>
      <x:c r="C7" s="4" t="inlineStr">
        <x:is>
          <x:t xml:space="preserve">A company declares $10,000 in dividends. Preferred stock is 8% with $50 par value and 1,000 preferred shares. There are 4,000 common shares. Calculate the dividend per common share.</x:t>
        </x:is>
      </x:c>
      <x:c r="D7" s="4" t="inlineStr">
        <x:is>
          <x:t xml:space="preserve">Total dividends</x:t>
        </x:is>
      </x:c>
      <x:c r="E7" s="9" t="n"/>
      <x:c r="F7" s="4" t="inlineStr">
        <x:is>
          <x:t xml:space="preserve">Preferred rate</x:t>
        </x:is>
      </x:c>
      <x:c r="G7" s="10" t="n"/>
      <x:c r="H7" s="4" t="inlineStr">
        <x:is>
          <x:t xml:space="preserve">Par value</x:t>
        </x:is>
      </x:c>
      <x:c r="I7" s="9" t="n"/>
      <x:c r="J7" s="4" t="inlineStr">
        <x:is>
          <x:t xml:space="preserve">Preferred shares</x:t>
        </x:is>
      </x:c>
      <x:c r="K7" s="11" t="n"/>
      <x:c r="L7" s="4" t="inlineStr">
        <x:is>
          <x:t xml:space="preserve">Common shares</x:t>
        </x:is>
      </x:c>
      <x:c r="M7" s="11" t="n"/>
      <x:c r="N7" s="6" t="n"/>
    </x:row>
    <x:row r="8" ht="58" customHeight="1">
      <x:c r="A8" s="4" t="n">
        <x:v>4</x:v>
      </x:c>
      <x:c r="B8" s="4" t="inlineStr">
        <x:is>
          <x:t xml:space="preserve">Total preferred dividend</x:t>
        </x:is>
      </x:c>
      <x:c r="C8" s="4" t="inlineStr">
        <x:is>
          <x:t xml:space="preserve">Preferred shareholders receive 8% on $50 par value, with 1,000 preferred shares outstanding. Calculate the total preferred dividend.</x:t>
        </x:is>
      </x:c>
      <x:c r="D8" s="4" t="inlineStr">
        <x:is>
          <x:t xml:space="preserve">Preferred rate</x:t>
        </x:is>
      </x:c>
      <x:c r="E8" s="10" t="n"/>
      <x:c r="F8" s="4" t="inlineStr">
        <x:is>
          <x:t xml:space="preserve">Par value</x:t>
        </x:is>
      </x:c>
      <x:c r="G8" s="9" t="n"/>
      <x:c r="H8" s="4" t="inlineStr">
        <x:is>
          <x:t xml:space="preserve">Preferred shares</x:t>
        </x:is>
      </x:c>
      <x:c r="I8" s="11" t="n"/>
      <x:c r="N8" s="9" t="n"/>
    </x:row>
    <x:row r="9" ht="58" customHeight="1">
      <x:c r="A9" s="4" t="n">
        <x:v>5</x:v>
      </x:c>
      <x:c r="B9" s="4" t="inlineStr">
        <x:is>
          <x:t xml:space="preserve">Total buy cost</x:t>
        </x:is>
      </x:c>
      <x:c r="C9" s="4" t="inlineStr">
        <x:is>
          <x:t xml:space="preserve">A Meridian analyst buys 200 shares at $39.09 per share and pays a 1% buy commission. Calculate total buy cost including commission.</x:t>
        </x:is>
      </x:c>
      <x:c r="D9" s="4" t="inlineStr">
        <x:is>
          <x:t xml:space="preserve">Shares</x:t>
        </x:is>
      </x:c>
      <x:c r="E9" s="11" t="n"/>
      <x:c r="F9" s="4" t="inlineStr">
        <x:is>
          <x:t xml:space="preserve">Buy price</x:t>
        </x:is>
      </x:c>
      <x:c r="G9" s="6" t="n"/>
      <x:c r="H9" s="4" t="inlineStr">
        <x:is>
          <x:t xml:space="preserve">Commission rate</x:t>
        </x:is>
      </x:c>
      <x:c r="I9" s="10" t="n"/>
      <x:c r="N9" s="6" t="n"/>
    </x:row>
    <x:row r="10" ht="58" customHeight="1">
      <x:c r="A10" s="4" t="n">
        <x:v>6</x:v>
      </x:c>
      <x:c r="B10" s="4" t="inlineStr">
        <x:is>
          <x:t xml:space="preserve">Net sale proceeds</x:t>
        </x:is>
      </x:c>
      <x:c r="C10" s="4" t="inlineStr">
        <x:is>
          <x:t xml:space="preserve">The analyst sells 200 shares at $41.10 per share and pays a 1% sell commission. Calculate net sale proceeds after commission.</x:t>
        </x:is>
      </x:c>
      <x:c r="D10" s="4" t="inlineStr">
        <x:is>
          <x:t xml:space="preserve">Shares</x:t>
        </x:is>
      </x:c>
      <x:c r="E10" s="11" t="n"/>
      <x:c r="F10" s="4" t="inlineStr">
        <x:is>
          <x:t xml:space="preserve">Sale price</x:t>
        </x:is>
      </x:c>
      <x:c r="G10" s="6" t="n"/>
      <x:c r="H10" s="4" t="inlineStr">
        <x:is>
          <x:t xml:space="preserve">Commission rate</x:t>
        </x:is>
      </x:c>
      <x:c r="I10" s="10" t="n"/>
      <x:c r="N10" s="6" t="n"/>
    </x:row>
    <x:row r="11" ht="58" customHeight="1">
      <x:c r="A11" s="4" t="n">
        <x:v>7</x:v>
      </x:c>
      <x:c r="B11" s="4" t="inlineStr">
        <x:is>
          <x:t xml:space="preserve">ROI with commissions and dividends</x:t>
        </x:is>
      </x:c>
      <x:c r="C11" s="4" t="inlineStr">
        <x:is>
          <x:t xml:space="preserve">An analyst bought 200 shares at $39.09, sold them at $41.10 one year later, paid a 1% commission on both transactions, and received $1.21 per share in annual dividends. Calculate ROI.</x:t>
        </x:is>
      </x:c>
      <x:c r="D11" s="4" t="inlineStr">
        <x:is>
          <x:t xml:space="preserve">Shares</x:t>
        </x:is>
      </x:c>
      <x:c r="E11" s="11" t="n"/>
      <x:c r="F11" s="4" t="inlineStr">
        <x:is>
          <x:t xml:space="preserve">Buy price</x:t>
        </x:is>
      </x:c>
      <x:c r="G11" s="6" t="n"/>
      <x:c r="H11" s="4" t="inlineStr">
        <x:is>
          <x:t xml:space="preserve">Sale price</x:t>
        </x:is>
      </x:c>
      <x:c r="I11" s="6" t="n"/>
      <x:c r="J11" s="4" t="inlineStr">
        <x:is>
          <x:t xml:space="preserve">Commission rate</x:t>
        </x:is>
      </x:c>
      <x:c r="K11" s="10" t="n"/>
      <x:c r="L11" s="4" t="inlineStr">
        <x:is>
          <x:t xml:space="preserve">Dividend/share</x:t>
        </x:is>
      </x:c>
      <x:c r="M11" s="6" t="n"/>
      <x:c r="N11" s="12" t="n"/>
    </x:row>
    <x:row r="12" ht="58" customHeight="1">
      <x:c r="A12" s="4" t="n">
        <x:v>8</x:v>
      </x:c>
      <x:c r="B12" s="4" t="inlineStr">
        <x:is>
          <x:t xml:space="preserve">Bond dollar price</x:t>
        </x:is>
      </x:c>
      <x:c r="C12" s="4" t="inlineStr">
        <x:is>
          <x:t xml:space="preserve">A bond is quoted at 103.75 and has a $1,000 face value. Calculate the dollar price per bond.</x:t>
        </x:is>
      </x:c>
      <x:c r="D12" s="4" t="inlineStr">
        <x:is>
          <x:t xml:space="preserve">Quoted price</x:t>
        </x:is>
      </x:c>
      <x:c r="E12" s="13" t="n"/>
      <x:c r="F12" s="4" t="inlineStr">
        <x:is>
          <x:t xml:space="preserve">Face value</x:t>
        </x:is>
      </x:c>
      <x:c r="G12" s="9" t="n"/>
      <x:c r="N12" s="6" t="n"/>
    </x:row>
    <x:row r="13" ht="58" customHeight="1">
      <x:c r="A13" s="4" t="n">
        <x:v>9</x:v>
      </x:c>
      <x:c r="B13" s="4" t="inlineStr">
        <x:is>
          <x:t xml:space="preserve">Premium amount</x:t>
        </x:is>
      </x:c>
      <x:c r="C13" s="4" t="inlineStr">
        <x:is>
          <x:t xml:space="preserve">Bond A is quoted at 105.25 and has a $1,000 face value. Calculate the dollar amount above par.</x:t>
        </x:is>
      </x:c>
      <x:c r="D13" s="4" t="inlineStr">
        <x:is>
          <x:t xml:space="preserve">Quoted price</x:t>
        </x:is>
      </x:c>
      <x:c r="E13" s="13" t="n"/>
      <x:c r="F13" s="4" t="inlineStr">
        <x:is>
          <x:t xml:space="preserve">Face value</x:t>
        </x:is>
      </x:c>
      <x:c r="G13" s="9" t="n"/>
      <x:c r="N13" s="6" t="n"/>
    </x:row>
    <x:row r="14" ht="58" customHeight="1">
      <x:c r="A14" s="4" t="n">
        <x:v>10</x:v>
      </x:c>
      <x:c r="B14" s="4" t="inlineStr">
        <x:is>
          <x:t xml:space="preserve">Current yield</x:t>
        </x:is>
      </x:c>
      <x:c r="C14" s="4" t="inlineStr">
        <x:is>
          <x:t xml:space="preserve">A 5% bond is quoted at 97.50 and has a $1,000 face value. Calculate the current yield.</x:t>
        </x:is>
      </x:c>
      <x:c r="D14" s="4" t="inlineStr">
        <x:is>
          <x:t xml:space="preserve">Stated rate</x:t>
        </x:is>
      </x:c>
      <x:c r="E14" s="10" t="n"/>
      <x:c r="F14" s="4" t="inlineStr">
        <x:is>
          <x:t xml:space="preserve">Quoted price</x:t>
        </x:is>
      </x:c>
      <x:c r="G14" s="13" t="n"/>
      <x:c r="H14" s="4" t="inlineStr">
        <x:is>
          <x:t xml:space="preserve">Face value</x:t>
        </x:is>
      </x:c>
      <x:c r="I14" s="9" t="n"/>
      <x:c r="N14" s="12" t="n"/>
    </x:row>
    <x:row r="15" ht="58" customHeight="1">
      <x:c r="A15" s="4" t="n">
        <x:v>11</x:v>
      </x:c>
      <x:c r="B15" s="4" t="inlineStr">
        <x:is>
          <x:t xml:space="preserve">Total purchase cost</x:t>
        </x:is>
      </x:c>
      <x:c r="C15" s="4" t="inlineStr">
        <x:is>
          <x:t xml:space="preserve">Meridian purchases 5 bonds at a quoted price of 99.59. Each bond has a $1,000 face value. Calculate total purchase cost.</x:t>
        </x:is>
      </x:c>
      <x:c r="D15" s="4" t="inlineStr">
        <x:is>
          <x:t xml:space="preserve">Quoted price</x:t>
        </x:is>
      </x:c>
      <x:c r="E15" s="13" t="n"/>
      <x:c r="F15" s="4" t="inlineStr">
        <x:is>
          <x:t xml:space="preserve">Face value</x:t>
        </x:is>
      </x:c>
      <x:c r="G15" s="9" t="n"/>
      <x:c r="H15" s="4" t="inlineStr">
        <x:is>
          <x:t xml:space="preserve">Number of bonds</x:t>
        </x:is>
      </x:c>
      <x:c r="I15" s="11" t="n"/>
      <x:c r="N15" s="6" t="n"/>
    </x:row>
    <x:row r="16" ht="58" customHeight="1">
      <x:c r="A16" s="4" t="n">
        <x:v>12</x:v>
      </x:c>
      <x:c r="B16" s="4" t="inlineStr">
        <x:is>
          <x:t xml:space="preserve">Total annual interest</x:t>
        </x:is>
      </x:c>
      <x:c r="C16" s="4" t="inlineStr">
        <x:is>
          <x:t xml:space="preserve">Meridian holds 5 bonds with a 4% stated interest rate and $1,000 par value. Calculate total annual interest received.</x:t>
        </x:is>
      </x:c>
      <x:c r="D16" s="4" t="inlineStr">
        <x:is>
          <x:t xml:space="preserve">Stated rate</x:t>
        </x:is>
      </x:c>
      <x:c r="E16" s="10" t="n"/>
      <x:c r="F16" s="4" t="inlineStr">
        <x:is>
          <x:t xml:space="preserve">Face value</x:t>
        </x:is>
      </x:c>
      <x:c r="G16" s="9" t="n"/>
      <x:c r="H16" s="4" t="inlineStr">
        <x:is>
          <x:t xml:space="preserve">Number of bonds</x:t>
        </x:is>
      </x:c>
      <x:c r="I16" s="11" t="n"/>
      <x:c r="N16" s="6" t="n"/>
    </x:row>
    <x:row r="17" ht="58" customHeight="1">
      <x:c r="A17" s="4" t="n">
        <x:v>13</x:v>
      </x:c>
      <x:c r="B17" s="4" t="inlineStr">
        <x:is>
          <x:t xml:space="preserve">Mutual fund NAV</x:t>
        </x:is>
      </x:c>
      <x:c r="C17" s="4" t="inlineStr">
        <x:is>
          <x:t xml:space="preserve">Meridian's Balanced Fund has $8,400,000 in holdings, $950,000 in liabilities, and 1,200,000 shares outstanding. Calculate NAV per share.</x:t>
        </x:is>
      </x:c>
      <x:c r="D17" s="4" t="inlineStr">
        <x:is>
          <x:t xml:space="preserve">Holdings</x:t>
        </x:is>
      </x:c>
      <x:c r="E17" s="9" t="n"/>
      <x:c r="F17" s="4" t="inlineStr">
        <x:is>
          <x:t xml:space="preserve">Liabilities</x:t>
        </x:is>
      </x:c>
      <x:c r="G17" s="9" t="n"/>
      <x:c r="H17" s="4" t="inlineStr">
        <x:is>
          <x:t xml:space="preserve">Shares</x:t>
        </x:is>
      </x:c>
      <x:c r="I17" s="11" t="n"/>
      <x:c r="N17" s="6" t="n"/>
    </x:row>
    <x:row r="18" ht="58" customHeight="1">
      <x:c r="A18" s="4" t="n">
        <x:v>14</x:v>
      </x:c>
      <x:c r="B18" s="4" t="inlineStr">
        <x:is>
          <x:t xml:space="preserve">Fund purchase cost</x:t>
        </x:is>
      </x:c>
      <x:c r="C18" s="4" t="inlineStr">
        <x:is>
          <x:t xml:space="preserve">An investor wants to buy 100 shares of Meridian's Balanced Fund. The fund has $8,400,000 in holdings, $950,000 in liabilities, and 1,200,000 shares outstanding. Use rounded NAV per share to calculate total purchase cost.</x:t>
        </x:is>
      </x:c>
      <x:c r="D18" s="4" t="inlineStr">
        <x:is>
          <x:t xml:space="preserve">Holdings</x:t>
        </x:is>
      </x:c>
      <x:c r="E18" s="9" t="n"/>
      <x:c r="F18" s="4" t="inlineStr">
        <x:is>
          <x:t xml:space="preserve">Liabilities</x:t>
        </x:is>
      </x:c>
      <x:c r="G18" s="9" t="n"/>
      <x:c r="H18" s="4" t="inlineStr">
        <x:is>
          <x:t xml:space="preserve">Shares</x:t>
        </x:is>
      </x:c>
      <x:c r="I18" s="11" t="n"/>
      <x:c r="J18" s="4" t="inlineStr">
        <x:is>
          <x:t xml:space="preserve">Purchase shares</x:t>
        </x:is>
      </x:c>
      <x:c r="K18" s="11" t="n"/>
      <x:c r="N18" s="6" t="n"/>
    </x:row>
    <x:row r="19" ht="58" customHeight="1">
      <x:c r="A19" s="4" t="n">
        <x:v>15</x:v>
      </x:c>
      <x:c r="B19" s="4" t="inlineStr">
        <x:is>
          <x:t xml:space="preserve">Growth &amp; Income Fund purchase cost</x:t>
        </x:is>
      </x:c>
      <x:c r="C19" s="4" t="inlineStr">
        <x:is>
          <x:t xml:space="preserve">Meridian Growth &amp; Income Fund has $5,550,000 in holdings, $770,000 in liabilities, and 600,000 shares outstanding. A client wants to buy 80 shares. Use rounded NAV per share to calculate purchase cost.</x:t>
        </x:is>
      </x:c>
      <x:c r="D19" s="4" t="inlineStr">
        <x:is>
          <x:t xml:space="preserve">Holdings</x:t>
        </x:is>
      </x:c>
      <x:c r="E19" s="9" t="n"/>
      <x:c r="F19" s="4" t="inlineStr">
        <x:is>
          <x:t xml:space="preserve">Liabilities</x:t>
        </x:is>
      </x:c>
      <x:c r="G19" s="9" t="n"/>
      <x:c r="H19" s="4" t="inlineStr">
        <x:is>
          <x:t xml:space="preserve">Shares</x:t>
        </x:is>
      </x:c>
      <x:c r="I19" s="11" t="n"/>
      <x:c r="J19" s="4" t="inlineStr">
        <x:is>
          <x:t xml:space="preserve">Purchase shares</x:t>
        </x:is>
      </x:c>
      <x:c r="K19" s="11" t="n"/>
      <x:c r="N19" s="6" t="n"/>
    </x:row>
  </x:sheetData>
  <x:mergeCells>
    <x:mergeCell ref="A2:N2"/>
    <x:mergeCell ref="A1:N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44" customWidth="1"/>
    <x:col min="3" max="3" width="44" customWidth="1"/>
    <x:col min="4" max="4" width="48" customWidth="1"/>
    <x:col min="5" max="5" width="18" customWidth="1"/>
  </x:cols>
  <x:sheetData>
    <x:row r="1" ht="30" customHeight="1">
      <x:c r="A1" s="1" t="inlineStr">
        <x:is>
          <x:t xml:space="preserve">Formula Reference Card - BUS123 MATH-M10-L01</x:t>
        </x:is>
      </x:c>
      <x:c r="B1" s="14" t="n"/>
      <x:c r="C1" s="14" t="n"/>
      <x:c r="D1" s="14" t="n"/>
      <x:c r="E1" s="15" t="n"/>
    </x:row>
    <x:row r="2" ht="36" customHeight="1">
      <x:c r="A2" s="2" t="inlineStr">
        <x:is>
          <x:t xml:space="preserve">Use this as a syntax helper after you identify the business question and the required inputs.</x:t>
        </x:is>
      </x:c>
      <x:c r="B2" s="14" t="n"/>
      <x:c r="C2" s="14" t="n"/>
      <x:c r="D2" s="14" t="n"/>
      <x:c r="E2" s="15" t="n"/>
    </x:row>
    <x:row r="4">
      <x:c r="A4" s="5" t="inlineStr">
        <x:is>
          <x:t xml:space="preserve">Concept</x:t>
        </x:is>
      </x:c>
      <x:c r="B4" s="5" t="inlineStr">
        <x:is>
          <x:t xml:space="preserve">Business formula</x:t>
        </x:is>
      </x:c>
      <x:c r="C4" s="5" t="inlineStr">
        <x:is>
          <x:t xml:space="preserve">Excel syntax pattern</x:t>
        </x:is>
      </x:c>
      <x:c r="D4" s="5" t="inlineStr">
        <x:is>
          <x:t xml:space="preserve">Example using lesson numbers</x:t>
        </x:is>
      </x:c>
      <x:c r="E4" s="5" t="inlineStr">
        <x:is>
          <x:t xml:space="preserve">Result</x:t>
        </x:is>
      </x:c>
    </x:row>
    <x:row r="5" ht="42" customHeight="1">
      <x:c r="A5" s="4" t="inlineStr">
        <x:is>
          <x:t xml:space="preserve">Bid-Ask Spread</x:t>
        </x:is>
      </x:c>
      <x:c r="B5" s="4" t="inlineStr">
        <x:is>
          <x:t xml:space="preserve">Ask Price - Bid Price</x:t>
        </x:is>
      </x:c>
      <x:c r="C5" s="4" t="str">
        <x:v>=Ask_Cell - Bid_Cell</x:v>
      </x:c>
      <x:c r="D5" s="4" t="inlineStr">
        <x:is>
          <x:t xml:space="preserve">$39.68 - $39.55</x:t>
        </x:is>
      </x:c>
      <x:c r="E5" s="4" t="inlineStr">
        <x:is>
          <x:t xml:space="preserve">$0.13</x:t>
        </x:is>
      </x:c>
    </x:row>
    <x:row r="6" ht="42" customHeight="1">
      <x:c r="A6" s="4" t="inlineStr">
        <x:is>
          <x:t xml:space="preserve">Dividend Yield</x:t>
        </x:is>
      </x:c>
      <x:c r="B6" s="4" t="inlineStr">
        <x:is>
          <x:t xml:space="preserve">Annual Dividend / Stock Price</x:t>
        </x:is>
      </x:c>
      <x:c r="C6" s="4" t="str">
        <x:v>=Dividend_Cell / Price_Cell</x:v>
      </x:c>
      <x:c r="D6" s="4" t="inlineStr">
        <x:is>
          <x:t xml:space="preserve">$1.21 / $39.62</x:t>
        </x:is>
      </x:c>
      <x:c r="E6" s="4" t="inlineStr">
        <x:is>
          <x:t xml:space="preserve">3.05%</x:t>
        </x:is>
      </x:c>
    </x:row>
    <x:row r="7" ht="42" customHeight="1">
      <x:c r="A7" s="4" t="inlineStr">
        <x:is>
          <x:t xml:space="preserve">Preferred Dividend Total</x:t>
        </x:is>
      </x:c>
      <x:c r="B7" s="4" t="inlineStr">
        <x:is>
          <x:t xml:space="preserve">Rate x Par Value x Preferred Shares</x:t>
        </x:is>
      </x:c>
      <x:c r="C7" s="4" t="str">
        <x:v>=Rate_Cell * Par_Cell * Shares_Cell</x:v>
      </x:c>
      <x:c r="D7" s="4" t="inlineStr">
        <x:is>
          <x:t xml:space="preserve">8% x $50 x 1,000</x:t>
        </x:is>
      </x:c>
      <x:c r="E7" s="4" t="inlineStr">
        <x:is>
          <x:t xml:space="preserve">$4,000</x:t>
        </x:is>
      </x:c>
    </x:row>
    <x:row r="8" ht="42" customHeight="1">
      <x:c r="A8" s="4" t="inlineStr">
        <x:is>
          <x:t xml:space="preserve">Common Dividend/Share</x:t>
        </x:is>
      </x:c>
      <x:c r="B8" s="4" t="inlineStr">
        <x:is>
          <x:t xml:space="preserve">(Total Dividends - Preferred Dividends) / Common Shares</x:t>
        </x:is>
      </x:c>
      <x:c r="C8" s="4" t="str">
        <x:v>=(TotalDiv - PrefDiv) / CommonShares</x:v>
      </x:c>
      <x:c r="D8" s="4" t="inlineStr">
        <x:is>
          <x:t xml:space="preserve">($10,000 - $4,000) / 4,000</x:t>
        </x:is>
      </x:c>
      <x:c r="E8" s="4" t="inlineStr">
        <x:is>
          <x:t xml:space="preserve">$1.50</x:t>
        </x:is>
      </x:c>
    </x:row>
    <x:row r="9" ht="42" customHeight="1">
      <x:c r="A9" s="4" t="inlineStr">
        <x:is>
          <x:t xml:space="preserve">Total Buy Cost</x:t>
        </x:is>
      </x:c>
      <x:c r="B9" s="4" t="inlineStr">
        <x:is>
          <x:t xml:space="preserve">Shares x Buy Price x (1 + Commission Rate)</x:t>
        </x:is>
      </x:c>
      <x:c r="C9" s="4" t="str">
        <x:v>=Shares * BuyPrice * (1 + Commission)</x:v>
      </x:c>
      <x:c r="D9" s="4" t="inlineStr">
        <x:is>
          <x:t xml:space="preserve">200 x $39.09 x 1.01</x:t>
        </x:is>
      </x:c>
      <x:c r="E9" s="4" t="inlineStr">
        <x:is>
          <x:t xml:space="preserve">$7,896.18</x:t>
        </x:is>
      </x:c>
    </x:row>
    <x:row r="10" ht="42" customHeight="1">
      <x:c r="A10" s="4" t="inlineStr">
        <x:is>
          <x:t xml:space="preserve">Net Sale Proceeds</x:t>
        </x:is>
      </x:c>
      <x:c r="B10" s="4" t="inlineStr">
        <x:is>
          <x:t xml:space="preserve">Shares x Sale Price x (1 - Commission Rate)</x:t>
        </x:is>
      </x:c>
      <x:c r="C10" s="4" t="str">
        <x:v>=Shares * SalePrice * (1 - Commission)</x:v>
      </x:c>
      <x:c r="D10" s="4" t="inlineStr">
        <x:is>
          <x:t xml:space="preserve">200 x $41.10 x 0.99</x:t>
        </x:is>
      </x:c>
      <x:c r="E10" s="4" t="inlineStr">
        <x:is>
          <x:t xml:space="preserve">$8,137.80</x:t>
        </x:is>
      </x:c>
    </x:row>
    <x:row r="11" ht="42" customHeight="1">
      <x:c r="A11" s="4" t="inlineStr">
        <x:is>
          <x:t xml:space="preserve">ROI</x:t>
        </x:is>
      </x:c>
      <x:c r="B11" s="4" t="inlineStr">
        <x:is>
          <x:t xml:space="preserve">(Net Proceeds - Total Buy Cost + Dividends) / Total Buy Cost</x:t>
        </x:is>
      </x:c>
      <x:c r="C11" s="4" t="str">
        <x:v>=(NetProceeds - BuyCost + Dividends) / BuyCost</x:v>
      </x:c>
      <x:c r="D11" s="4" t="inlineStr">
        <x:is>
          <x:t xml:space="preserve">($8,137.80 - $7,896.18 + $242.00) / $7,896.18</x:t>
        </x:is>
      </x:c>
      <x:c r="E11" s="4" t="inlineStr">
        <x:is>
          <x:t xml:space="preserve">6.12%</x:t>
        </x:is>
      </x:c>
    </x:row>
    <x:row r="12" ht="42" customHeight="1">
      <x:c r="A12" s="4" t="inlineStr">
        <x:is>
          <x:t xml:space="preserve">Bond Dollar Price</x:t>
        </x:is>
      </x:c>
      <x:c r="B12" s="4" t="inlineStr">
        <x:is>
          <x:t xml:space="preserve">Quoted Price / 100 x Face Value</x:t>
        </x:is>
      </x:c>
      <x:c r="C12" s="4" t="str">
        <x:v>=QuotedPrice / 100 * FaceValue</x:v>
      </x:c>
      <x:c r="D12" s="4" t="inlineStr">
        <x:is>
          <x:t xml:space="preserve">99.59 / 100 x $1,000</x:t>
        </x:is>
      </x:c>
      <x:c r="E12" s="4" t="inlineStr">
        <x:is>
          <x:t xml:space="preserve">$995.90</x:t>
        </x:is>
      </x:c>
    </x:row>
    <x:row r="13" ht="42" customHeight="1">
      <x:c r="A13" s="4" t="inlineStr">
        <x:is>
          <x:t xml:space="preserve">Bond Current Yield</x:t>
        </x:is>
      </x:c>
      <x:c r="B13" s="4" t="inlineStr">
        <x:is>
          <x:t xml:space="preserve">Annual Interest / Dollar Price</x:t>
        </x:is>
      </x:c>
      <x:c r="C13" s="4" t="str">
        <x:v>=AnnualInterest / DollarPrice</x:v>
      </x:c>
      <x:c r="D13" s="4" t="inlineStr">
        <x:is>
          <x:t xml:space="preserve">$40 / $995.90</x:t>
        </x:is>
      </x:c>
      <x:c r="E13" s="4" t="inlineStr">
        <x:is>
          <x:t xml:space="preserve">4.02%</x:t>
        </x:is>
      </x:c>
    </x:row>
    <x:row r="14" ht="42" customHeight="1">
      <x:c r="A14" s="4" t="inlineStr">
        <x:is>
          <x:t xml:space="preserve">Net Asset Value</x:t>
        </x:is>
      </x:c>
      <x:c r="B14" s="4" t="inlineStr">
        <x:is>
          <x:t xml:space="preserve">(Holdings - Liabilities) / Shares Outstanding</x:t>
        </x:is>
      </x:c>
      <x:c r="C14" s="4" t="str">
        <x:v>=(Holdings - Liabilities) / Shares</x:v>
      </x:c>
      <x:c r="D14" s="4" t="inlineStr">
        <x:is>
          <x:t xml:space="preserve">($5,550,000 - $770,000) / 600,000</x:t>
        </x:is>
      </x:c>
      <x:c r="E14" s="4" t="inlineStr">
        <x:is>
          <x:t xml:space="preserve">$7.97</x:t>
        </x:is>
      </x:c>
    </x:row>
    <x:row r="15" ht="42" customHeight="1">
      <x:c r="A15" s="4" t="inlineStr">
        <x:is>
          <x:t xml:space="preserve">Fund Purchase Cost</x:t>
        </x:is>
      </x:c>
      <x:c r="B15" s="4" t="inlineStr">
        <x:is>
          <x:t xml:space="preserve">Rounded NAV x Shares Purchased</x:t>
        </x:is>
      </x:c>
      <x:c r="C15" s="4" t="str">
        <x:v>=ROUND(NAV,2) * SharesToBuy</x:v>
      </x:c>
      <x:c r="D15" s="4" t="inlineStr">
        <x:is>
          <x:t xml:space="preserve">$7.97 x 80</x:t>
        </x:is>
      </x:c>
      <x:c r="E15" s="4" t="inlineStr">
        <x:is>
          <x:t xml:space="preserve">$637.60</x:t>
        </x:is>
      </x:c>
    </x:row>
  </x:sheetData>
  <x:mergeCells>
    <x:mergeCell ref="A2:E2"/>
    <x:mergeCell ref="A1:E1"/>
  </x:mergeCells>
  <x:pageMargins left="0.7" right="0.7" top="0.75" bottom="0.75" header="0.3" footer="0.3"/>
</x:worksheet>
</file>