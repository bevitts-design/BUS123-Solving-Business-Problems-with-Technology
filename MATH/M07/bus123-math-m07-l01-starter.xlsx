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e554b911db4be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cdbc33781bab4536"/>
    <x:sheet xmlns:r="http://schemas.openxmlformats.org/officeDocument/2006/relationships" name="Live You Try It" sheetId="2" r:id="R35fabe95a40f4c5e"/>
    <x:sheet xmlns:r="http://schemas.openxmlformats.org/officeDocument/2006/relationships" name="Class Challenge" sheetId="3" r:id="R5ea17215c9834815"/>
    <x:sheet xmlns:r="http://schemas.openxmlformats.org/officeDocument/2006/relationships" name="FormulaReferenceCard" sheetId="4" r:id="R6e28592a662847c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164" formatCode="$#,##0.00"/>
    <x:numFmt numFmtId="165" formatCode="0.0%"/>
    <x:numFmt numFmtId="166" formatCode="0.0000"/>
    <x:numFmt numFmtId="200" formatCode="&quot;$&quot;#,##0.00"/>
    <x:numFmt numFmtId="201" formatCode="&quot;$&quot;#,##0.00;[Red]-&quot;$&quot;#,##0.00"/>
    <x:numFmt numFmtId="202" formatCode="0.00%;[Red]-0.00%"/>
  </x:numFmts>
  <x:fonts count="14">
    <x:font>
      <x:sz val="11"/>
      <x:color theme="1"/>
      <x:name val="Calibri"/>
    </x:font>
    <x:font>
      <x:b/>
      <x:sz val="16"/>
      <x:color rgb="FFFFFFFF"/>
      <x:name val="Aptos Display"/>
    </x:font>
    <x:font>
      <x:b/>
      <x:sz val="12"/>
      <x:color rgb="FFFFFFFF"/>
      <x:name val="Aptos"/>
    </x:font>
    <x:font>
      <x:b/>
      <x:color rgb="FF1A1F2C"/>
      <x:name val="Aptos"/>
    </x:font>
    <x:font>
      <x:i/>
      <x:color rgb="FF4A5567"/>
      <x:name val="Aptos"/>
    </x:font>
    <x:font>
      <x:b/>
      <x:sz val="11"/>
      <x:color rgb="FFFFFFFF"/>
      <x:name val="Aptos"/>
    </x:font>
    <x:font>
      <x:b/>
      <x:color rgb="FF355773"/>
      <x:name val="Aptos Mono"/>
    </x:font>
    <x:font>
      <x:sz val="11"/>
      <x:color rgb="FF1A1F2C"/>
      <x:name val="DM Sans"/>
    </x:font>
    <x:font>
      <x:b/>
      <x:sz val="20"/>
      <x:color rgb="FFFFFFFF"/>
      <x:name val="DM Sans"/>
    </x:font>
    <x:font>
      <x:i/>
      <x:sz val="11"/>
      <x:color rgb="FF4A5567"/>
      <x:name val="DM Sans"/>
    </x:font>
    <x:font>
      <x:b/>
      <x:sz val="10"/>
      <x:color rgb="FF355773"/>
      <x:name val="DM Sans"/>
    </x:font>
    <x:font>
      <x:b/>
      <x:sz val="11"/>
      <x:color rgb="FFFFFFFF"/>
      <x:name val="DM Sans"/>
    </x:font>
    <x:font>
      <x:sz val="9"/>
      <x:color rgb="FF355773"/>
      <x:name val="JetBrains Mono"/>
    </x:font>
    <x:font>
      <x:b/>
      <x:sz val="11"/>
      <x:color rgb="FF9C4A2B"/>
      <x:name val="DM Sans"/>
    </x:font>
  </x:fonts>
  <x:fills count="27">
    <x:fill>
      <x:patternFill patternType="none"/>
    </x:fill>
    <x:fill>
      <x:patternFill patternType="gray125"/>
    </x:fill>
    <x:fill>
      <x:patternFill patternType="solid">
        <x:fgColor rgb="FF0E1116"/>
      </x:patternFill>
    </x:fill>
    <x:fill>
      <x:patternFill patternType="solid">
        <x:fgColor rgb="FF4A7C5E"/>
      </x:patternFill>
    </x:fill>
    <x:fill>
      <x:patternFill patternType="solid">
        <x:fgColor rgb="FFB8843D"/>
      </x:patternFill>
    </x:fill>
    <x:fill>
      <x:patternFill patternType="solid">
        <x:fgColor rgb="FFF2EEE5"/>
      </x:patternFill>
    </x:fill>
    <x:fill>
      <x:patternFill patternType="solid">
        <x:fgColor rgb="FF355773"/>
      </x:patternFill>
    </x:fill>
    <x:fill>
      <x:patternFill patternType="solid">
        <x:fgColor rgb="FFFFF2CC"/>
      </x:patternFill>
    </x:fill>
    <x:fill>
      <x:patternFill patternType="solid">
        <x:fgColor rgb="FFEAF3EC"/>
      </x:patternFill>
    </x:fill>
    <x:fill>
      <x:patternFill patternType="solid">
        <x:fgColor rgb="FF0E1116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  <x:fill>
      <x:patternFill patternType="solid">
        <x:fgColor rgb="FF355773"/>
      </x:patternFill>
    </x:fill>
    <x:fill>
      <x:patternFill patternType="solid">
        <x:fgColor rgb="FFB8843D"/>
      </x:patternFill>
    </x:fill>
    <x:fill>
      <x:patternFill patternType="solid">
        <x:fgColor rgb="FF4A7C5E"/>
      </x:patternFill>
    </x:fill>
    <x:fill>
      <x:patternFill patternType="solid">
        <x:fgColor rgb="FFE8EEF3"/>
      </x:patternFill>
    </x:fill>
    <x:fill>
      <x:patternFill patternType="solid">
        <x:fgColor rgb="FFFFF2CC"/>
      </x:patternFill>
    </x:fill>
    <x:fill>
      <x:patternFill patternType="solid">
        <x:fgColor rgb="FF9C4A2B"/>
      </x:patternFill>
    </x:fill>
    <x:fill>
      <x:patternFill patternType="solid">
        <x:fgColor rgb="FF0E1116"/>
      </x:patternFill>
    </x:fill>
    <x:fill>
      <x:patternFill patternType="solid">
        <x:fgColor rgb="FFF2EEE5"/>
      </x:patternFill>
    </x:fill>
    <x:fill>
      <x:patternFill patternType="solid">
        <x:fgColor rgb="FFEAF3EC"/>
      </x:patternFill>
    </x:fill>
    <x:fill>
      <x:patternFill patternType="solid">
        <x:fgColor rgb="FF355773"/>
      </x:patternFill>
    </x:fill>
    <x:fill>
      <x:patternFill patternType="solid">
        <x:fgColor rgb="FFB8843D"/>
      </x:patternFill>
    </x:fill>
    <x:fill>
      <x:patternFill patternType="solid">
        <x:fgColor rgb="FF4A7C5E"/>
      </x:patternFill>
    </x:fill>
    <x:fill>
      <x:patternFill patternType="solid">
        <x:fgColor rgb="FFE8EEF3"/>
      </x:patternFill>
    </x:fill>
    <x:fill>
      <x:patternFill patternType="solid">
        <x:fgColor rgb="FFFFF2CC"/>
      </x:patternFill>
    </x:fill>
    <x:fill>
      <x:patternFill patternType="solid">
        <x:fgColor rgb="FF9C4A2B"/>
      </x:patternFill>
    </x:fill>
  </x:fills>
  <x:borders count="14">
    <x:border/>
    <x:border>
      <x:left style="thin">
        <x:color rgb="FFE5E1D6"/>
      </x:left>
      <x:right style="thin">
        <x:color rgb="FFE5E1D6"/>
      </x:right>
      <x:top style="thin">
        <x:color rgb="FFE5E1D6"/>
      </x:top>
      <x:bottom style="thin">
        <x:color rgb="FFE5E1D6"/>
      </x:bottom>
    </x:border>
    <x:border>
      <x:left style="thin">
        <x:color rgb="FFE5E1D6"/>
      </x:left>
      <x:top style="thin">
        <x:color rgb="FFE5E1D6"/>
      </x:top>
      <x:bottom style="thin">
        <x:color rgb="FFE5E1D6"/>
      </x:bottom>
    </x:border>
    <x:border>
      <x:top style="thin">
        <x:color rgb="FFE5E1D6"/>
      </x:top>
      <x:bottom style="thin">
        <x:color rgb="FFE5E1D6"/>
      </x:bottom>
    </x:border>
    <x:border>
      <x:right style="thin">
        <x:color rgb="FFE5E1D6"/>
      </x:right>
      <x:top style="thin">
        <x:color rgb="FFE5E1D6"/>
      </x:top>
      <x:bottom style="thin">
        <x:color rgb="FFE5E1D6"/>
      </x:bottom>
    </x:border>
    <x:border>
      <x:right style="thin">
        <x:color rgb="FFE5E1D6"/>
      </x:right>
      <x:bottom style="thin">
        <x:color rgb="FFE5E1D6"/>
      </x:bottom>
    </x:border>
    <x:border>
      <x:left style="thin">
        <x:color rgb="FFE5E1D6"/>
      </x:left>
      <x:right style="thin">
        <x:color rgb="FFE5E1D6"/>
      </x:right>
      <x:bottom style="thin">
        <x:color rgb="FFE5E1D6"/>
      </x:bottom>
    </x:border>
    <x:border>
      <x:left style="thin">
        <x:color rgb="FFE5E1D6"/>
      </x:left>
      <x:bottom style="thin">
        <x:color rgb="FFE5E1D6"/>
      </x:bottom>
    </x:border>
    <x:border>
      <x:left style="thin">
        <x:color rgb="FFE5E1D6"/>
      </x:left>
      <x:right style="thin">
        <x:color rgb="FFE5E1D6"/>
      </x:right>
      <x:top style="thin">
        <x:color rgb="FFE5E1D6"/>
      </x:top>
      <x:bottom style="thin">
        <x:color rgb="FFE5E1D6"/>
      </x:bottom>
    </x:border>
    <x:border>
      <x:right style="thin">
        <x:color rgb="FFE5E1D6"/>
      </x:right>
      <x:top style="thin">
        <x:color rgb="FFE5E1D6"/>
      </x:top>
    </x:border>
    <x:border>
      <x:left style="thin">
        <x:color rgb="FFE5E1D6"/>
      </x:left>
      <x:right style="thin">
        <x:color rgb="FFE5E1D6"/>
      </x:right>
      <x:top style="thin">
        <x:color rgb="FFE5E1D6"/>
      </x:top>
    </x:border>
    <x:border>
      <x:left style="thin">
        <x:color rgb="FFE5E1D6"/>
      </x:left>
      <x:top style="thin">
        <x:color rgb="FFE5E1D6"/>
      </x:top>
    </x:border>
    <x:border>
      <x:top style="thin">
        <x:color rgb="FFE5E1D6"/>
      </x:top>
    </x:border>
    <x:border>
      <x:bottom style="thin">
        <x:color rgb="FFE5E1D6"/>
      </x:bottom>
    </x:border>
  </x:borders>
  <x:cellStyleXfs count="1">
    <x:xf numFmtId="0" fontId="0" fillId="0" borderId="0"/>
  </x:cellStyleXfs>
  <x:cellXfs count="182">
    <x:xf numFmtId="0" fontId="0" fillId="0" borderId="0" xfId="0"/>
    <x:xf numFmtId="0" fontId="1" fillId="2" borderId="0" xfId="0" applyAlignment="1">
      <x:alignment vertical="center" wrapText="1"/>
    </x:xf>
    <x:xf numFmtId="0" fontId="0" fillId="2" borderId="0" xfId="0" applyAlignment="1">
      <x:alignment vertical="center" wrapText="1"/>
    </x:xf>
    <x:xf numFmtId="0" fontId="0" fillId="0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0" fillId="3" borderId="0" xfId="0" applyAlignment="1">
      <x:alignment vertical="center" wrapText="1"/>
    </x:xf>
    <x:xf numFmtId="0" fontId="3" fillId="0" borderId="1" xfId="0" applyAlignment="1">
      <x:alignment vertical="center" wrapText="1"/>
    </x:xf>
    <x:xf numFmtId="0" fontId="0" fillId="0" borderId="1" xfId="0" applyAlignment="1">
      <x:alignment vertical="center" wrapText="1"/>
    </x:xf>
    <x:xf numFmtId="0" fontId="2" fillId="4" borderId="0" xfId="0" applyAlignment="1">
      <x:alignment vertical="center" wrapText="1"/>
    </x:xf>
    <x:xf numFmtId="0" fontId="0" fillId="4" borderId="0" xfId="0" applyAlignment="1">
      <x:alignment vertical="center" wrapText="1"/>
    </x:xf>
    <x:xf numFmtId="0" fontId="4" fillId="5" borderId="0" xfId="0" applyAlignment="1">
      <x:alignment vertical="center" wrapText="1"/>
    </x:xf>
    <x:xf numFmtId="0" fontId="5" fillId="6" borderId="1" xfId="0" applyAlignment="1">
      <x:alignment vertical="center" wrapText="1"/>
    </x:xf>
    <x:xf numFmtId="164" fontId="0" fillId="7" borderId="1" xfId="0" applyAlignment="1">
      <x:alignment vertical="center" wrapText="1"/>
    </x:xf>
    <x:xf numFmtId="0" fontId="0" fillId="5" borderId="1" xfId="0" applyAlignment="1">
      <x:alignment vertical="center" wrapText="1"/>
    </x:xf>
    <x:xf numFmtId="0" fontId="0" fillId="8" borderId="1" xfId="0" applyAlignment="1">
      <x:alignment vertical="center" wrapText="1"/>
    </x:xf>
    <x:xf numFmtId="165" fontId="0" fillId="7" borderId="1" xfId="0" applyAlignment="1">
      <x:alignment vertical="center" wrapText="1"/>
    </x:xf>
    <x:xf numFmtId="166" fontId="0" fillId="7" borderId="1" xfId="0" applyAlignment="1">
      <x:alignment vertical="center" wrapText="1"/>
    </x:xf>
    <x:xf numFmtId="0" fontId="6" fillId="8" borderId="1" xfId="0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0" fontId="7" fillId="9" borderId="0" xfId="0" applyNumberFormat="1" applyFont="1" applyFill="1" applyBorder="1" applyAlignment="1">
      <x:alignment vertical="center"/>
    </x:xf>
    <x:xf numFmtId="0" fontId="8" fillId="9" borderId="0" xfId="0" applyNumberFormat="1" applyFont="1" applyFill="1" applyBorder="1" applyAlignment="1">
      <x:alignment vertical="center"/>
    </x:xf>
    <x:xf numFmtId="0" fontId="7" fillId="10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7" fillId="11" borderId="0" xfId="0" applyNumberFormat="1" applyFont="1" applyFill="1" applyBorder="1" applyAlignment="1">
      <x:alignment vertical="center"/>
    </x:xf>
    <x:xf numFmtId="0" fontId="10" fillId="11" borderId="0" xfId="0" applyNumberFormat="1" applyFont="1" applyFill="1" applyBorder="1" applyAlignment="1">
      <x:alignment vertical="center"/>
    </x:xf>
    <x:xf numFmtId="0" fontId="10" fillId="11" borderId="0" xfId="0" applyNumberFormat="1" applyFont="1" applyFill="1" applyBorder="1" applyAlignment="1">
      <x:alignment vertical="center" wrapText="1"/>
    </x:xf>
    <x:xf numFmtId="0" fontId="7" fillId="12" borderId="0" xfId="0" applyNumberFormat="1" applyFont="1" applyFill="1" applyBorder="1" applyAlignment="1">
      <x:alignment vertical="center"/>
    </x:xf>
    <x:xf numFmtId="0" fontId="11" fillId="12" borderId="0" xfId="0" applyNumberFormat="1" applyFont="1" applyFill="1" applyBorder="1" applyAlignment="1">
      <x:alignment vertical="center"/>
    </x:xf>
    <x:xf numFmtId="0" fontId="11" fillId="12" borderId="2" xfId="0" applyNumberFormat="1" applyFont="1" applyFill="1" applyBorder="1" applyAlignment="1">
      <x:alignment vertical="center"/>
    </x:xf>
    <x:xf numFmtId="0" fontId="11" fillId="12" borderId="3" xfId="0" applyNumberFormat="1" applyFont="1" applyFill="1" applyBorder="1" applyAlignment="1">
      <x:alignment vertical="center"/>
    </x:xf>
    <x:xf numFmtId="0" fontId="11" fillId="12" borderId="4" xfId="0" applyNumberFormat="1" applyFont="1" applyFill="1" applyBorder="1" applyAlignment="1">
      <x:alignment vertical="center"/>
    </x:xf>
    <x:xf numFmtId="0" fontId="7" fillId="13" borderId="0" xfId="0" applyNumberFormat="1" applyFont="1" applyFill="1" applyBorder="1" applyAlignment="1">
      <x:alignment vertical="center"/>
    </x:xf>
    <x:xf numFmtId="0" fontId="11" fillId="13" borderId="0" xfId="0" applyNumberFormat="1" applyFont="1" applyFill="1" applyBorder="1" applyAlignment="1">
      <x:alignment vertical="center"/>
    </x:xf>
    <x:xf numFmtId="0" fontId="11" fillId="13" borderId="2" xfId="0" applyNumberFormat="1" applyFont="1" applyFill="1" applyBorder="1" applyAlignment="1">
      <x:alignment vertical="center"/>
    </x:xf>
    <x:xf numFmtId="0" fontId="11" fillId="13" borderId="3" xfId="0" applyNumberFormat="1" applyFont="1" applyFill="1" applyBorder="1" applyAlignment="1">
      <x:alignment vertical="center"/>
    </x:xf>
    <x:xf numFmtId="0" fontId="11" fillId="13" borderId="4" xfId="0" applyNumberFormat="1" applyFont="1" applyFill="1" applyBorder="1" applyAlignment="1">
      <x:alignment vertical="center"/>
    </x:xf>
    <x:xf numFmtId="0" fontId="7" fillId="14" borderId="0" xfId="0" applyNumberFormat="1" applyFont="1" applyFill="1" applyBorder="1" applyAlignment="1">
      <x:alignment vertical="center"/>
    </x:xf>
    <x:xf numFmtId="0" fontId="11" fillId="14" borderId="0" xfId="0" applyNumberFormat="1" applyFont="1" applyFill="1" applyBorder="1" applyAlignment="1">
      <x:alignment vertical="center"/>
    </x:xf>
    <x:xf numFmtId="0" fontId="11" fillId="14" borderId="2" xfId="0" applyNumberFormat="1" applyFont="1" applyFill="1" applyBorder="1" applyAlignment="1">
      <x:alignment vertical="center"/>
    </x:xf>
    <x:xf numFmtId="0" fontId="11" fillId="14" borderId="3" xfId="0" applyNumberFormat="1" applyFont="1" applyFill="1" applyBorder="1" applyAlignment="1">
      <x:alignment vertical="center"/>
    </x:xf>
    <x:xf numFmtId="0" fontId="11" fillId="14" borderId="4" xfId="0" applyNumberFormat="1" applyFont="1" applyFill="1" applyBorder="1" applyAlignment="1">
      <x:alignment vertical="center"/>
    </x:xf>
    <x:xf numFmtId="0" fontId="11" fillId="14" borderId="2" xfId="0" applyNumberFormat="1" applyFont="1" applyFill="1" applyBorder="1" applyAlignment="1">
      <x:alignment vertical="center" wrapText="1"/>
    </x:xf>
    <x:xf numFmtId="0" fontId="11" fillId="14" borderId="3" xfId="0" applyNumberFormat="1" applyFont="1" applyFill="1" applyBorder="1" applyAlignment="1">
      <x:alignment vertical="center" wrapText="1"/>
    </x:xf>
    <x:xf numFmtId="0" fontId="11" fillId="14" borderId="4" xfId="0" applyNumberFormat="1" applyFont="1" applyFill="1" applyBorder="1" applyAlignment="1">
      <x:alignment vertical="center" wrapText="1"/>
    </x:xf>
    <x:xf numFmtId="0" fontId="7" fillId="15" borderId="0" xfId="0" applyNumberFormat="1" applyFont="1" applyFill="1" applyBorder="1" applyAlignment="1">
      <x:alignment vertical="center"/>
    </x:xf>
    <x:xf numFmtId="0" fontId="7" fillId="16" borderId="0" xfId="0" applyNumberFormat="1" applyFont="1" applyFill="1" applyBorder="1" applyAlignment="1">
      <x:alignment vertical="center"/>
    </x:xf>
    <x:xf numFmtId="0" fontId="7" fillId="15" borderId="5" xfId="0" applyNumberFormat="1" applyFont="1" applyFill="1" applyBorder="1" applyAlignment="1">
      <x:alignment vertical="center"/>
    </x:xf>
    <x:xf numFmtId="0" fontId="7" fillId="15" borderId="6" xfId="0" applyNumberFormat="1" applyFont="1" applyFill="1" applyBorder="1" applyAlignment="1">
      <x:alignment vertical="center"/>
    </x:xf>
    <x:xf numFmtId="0" fontId="7" fillId="16" borderId="6" xfId="0" applyNumberFormat="1" applyFont="1" applyFill="1" applyBorder="1" applyAlignment="1">
      <x:alignment vertical="center"/>
    </x:xf>
    <x:xf numFmtId="0" fontId="7" fillId="16" borderId="7" xfId="0" applyNumberFormat="1" applyFont="1" applyFill="1" applyBorder="1" applyAlignment="1">
      <x:alignment vertical="center"/>
    </x:xf>
    <x:xf numFmtId="0" fontId="7" fillId="15" borderId="4" xfId="0" applyNumberFormat="1" applyFont="1" applyFill="1" applyBorder="1" applyAlignment="1">
      <x:alignment vertical="center"/>
    </x:xf>
    <x:xf numFmtId="0" fontId="7" fillId="15" borderId="8" xfId="0" applyNumberFormat="1" applyFont="1" applyFill="1" applyBorder="1" applyAlignment="1">
      <x:alignment vertical="center"/>
    </x:xf>
    <x:xf numFmtId="0" fontId="7" fillId="16" borderId="8" xfId="0" applyNumberFormat="1" applyFont="1" applyFill="1" applyBorder="1" applyAlignment="1">
      <x:alignment vertical="center"/>
    </x:xf>
    <x:xf numFmtId="0" fontId="7" fillId="16" borderId="2" xfId="0" applyNumberFormat="1" applyFont="1" applyFill="1" applyBorder="1" applyAlignment="1">
      <x:alignment vertical="center"/>
    </x:xf>
    <x:xf numFmtId="0" fontId="7" fillId="15" borderId="9" xfId="0" applyNumberFormat="1" applyFont="1" applyFill="1" applyBorder="1" applyAlignment="1">
      <x:alignment vertical="center"/>
    </x:xf>
    <x:xf numFmtId="0" fontId="7" fillId="15" borderId="10" xfId="0" applyNumberFormat="1" applyFont="1" applyFill="1" applyBorder="1" applyAlignment="1">
      <x:alignment vertical="center"/>
    </x:xf>
    <x:xf numFmtId="0" fontId="7" fillId="16" borderId="10" xfId="0" applyNumberFormat="1" applyFont="1" applyFill="1" applyBorder="1" applyAlignment="1">
      <x:alignment vertical="center"/>
    </x:xf>
    <x:xf numFmtId="0" fontId="7" fillId="16" borderId="11" xfId="0" applyNumberFormat="1" applyFont="1" applyFill="1" applyBorder="1" applyAlignment="1">
      <x:alignment vertical="center"/>
    </x:xf>
    <x:xf numFmtId="0" fontId="7" fillId="15" borderId="6" xfId="0" applyNumberFormat="1" applyFont="1" applyFill="1" applyBorder="1" applyAlignment="1">
      <x:alignment vertical="center" wrapText="1"/>
    </x:xf>
    <x:xf numFmtId="0" fontId="7" fillId="15" borderId="8" xfId="0" applyNumberFormat="1" applyFont="1" applyFill="1" applyBorder="1" applyAlignment="1">
      <x:alignment vertical="center" wrapText="1"/>
    </x:xf>
    <x:xf numFmtId="0" fontId="7" fillId="15" borderId="10" xfId="0" applyNumberFormat="1" applyFont="1" applyFill="1" applyBorder="1" applyAlignment="1">
      <x:alignment vertical="center" wrapText="1"/>
    </x:xf>
    <x:xf numFmtId="0" fontId="12" fillId="15" borderId="6" xfId="0" applyNumberFormat="1" applyFont="1" applyFill="1" applyBorder="1" applyAlignment="1">
      <x:alignment vertical="center"/>
    </x:xf>
    <x:xf numFmtId="0" fontId="12" fillId="15" borderId="8" xfId="0" applyNumberFormat="1" applyFont="1" applyFill="1" applyBorder="1" applyAlignment="1">
      <x:alignment vertical="center"/>
    </x:xf>
    <x:xf numFmtId="0" fontId="12" fillId="15" borderId="10" xfId="0" applyNumberFormat="1" applyFont="1" applyFill="1" applyBorder="1" applyAlignment="1">
      <x:alignment vertical="center"/>
    </x:xf>
    <x:xf numFmtId="0" fontId="12" fillId="15" borderId="6" xfId="0" applyNumberFormat="1" applyFont="1" applyFill="1" applyBorder="1" applyAlignment="1">
      <x:alignment vertical="center" wrapText="1"/>
    </x:xf>
    <x:xf numFmtId="0" fontId="12" fillId="15" borderId="8" xfId="0" applyNumberFormat="1" applyFont="1" applyFill="1" applyBorder="1" applyAlignment="1">
      <x:alignment vertical="center" wrapText="1"/>
    </x:xf>
    <x:xf numFmtId="0" fontId="12" fillId="15" borderId="10" xfId="0" applyNumberFormat="1" applyFont="1" applyFill="1" applyBorder="1" applyAlignment="1">
      <x:alignment vertical="center" wrapText="1"/>
    </x:xf>
    <x:xf numFmtId="200" fontId="7" fillId="15" borderId="6" xfId="0" applyNumberFormat="1" applyFont="1" applyFill="1" applyBorder="1" applyAlignment="1">
      <x:alignment vertical="center"/>
    </x:xf>
    <x:xf numFmtId="200" fontId="7" fillId="15" borderId="8" xfId="0" applyNumberFormat="1" applyFont="1" applyFill="1" applyBorder="1" applyAlignment="1">
      <x:alignment vertical="center"/>
    </x:xf>
    <x:xf numFmtId="200" fontId="7" fillId="15" borderId="10" xfId="0" applyNumberFormat="1" applyFont="1" applyFill="1" applyBorder="1" applyAlignment="1">
      <x:alignment vertical="center"/>
    </x:xf>
    <x:xf numFmtId="201" fontId="7" fillId="16" borderId="6" xfId="0" applyNumberFormat="1" applyFont="1" applyFill="1" applyBorder="1" applyAlignment="1">
      <x:alignment vertical="center"/>
    </x:xf>
    <x:xf numFmtId="201" fontId="7" fillId="16" borderId="7" xfId="0" applyNumberFormat="1" applyFont="1" applyFill="1" applyBorder="1" applyAlignment="1">
      <x:alignment vertical="center"/>
    </x:xf>
    <x:xf numFmtId="201" fontId="7" fillId="16" borderId="8" xfId="0" applyNumberFormat="1" applyFont="1" applyFill="1" applyBorder="1" applyAlignment="1">
      <x:alignment vertical="center"/>
    </x:xf>
    <x:xf numFmtId="201" fontId="7" fillId="16" borderId="2" xfId="0" applyNumberFormat="1" applyFont="1" applyFill="1" applyBorder="1" applyAlignment="1">
      <x:alignment vertical="center"/>
    </x:xf>
    <x:xf numFmtId="201" fontId="7" fillId="16" borderId="10" xfId="0" applyNumberFormat="1" applyFont="1" applyFill="1" applyBorder="1" applyAlignment="1">
      <x:alignment vertical="center"/>
    </x:xf>
    <x:xf numFmtId="201" fontId="7" fillId="16" borderId="11" xfId="0" applyNumberFormat="1" applyFont="1" applyFill="1" applyBorder="1" applyAlignment="1">
      <x:alignment vertical="center"/>
    </x:xf>
    <x:xf numFmtId="202" fontId="7" fillId="15" borderId="6" xfId="0" applyNumberFormat="1" applyFont="1" applyFill="1" applyBorder="1" applyAlignment="1">
      <x:alignment vertical="center"/>
    </x:xf>
    <x:xf numFmtId="202" fontId="7" fillId="15" borderId="8" xfId="0" applyNumberFormat="1" applyFont="1" applyFill="1" applyBorder="1" applyAlignment="1">
      <x:alignment vertical="center"/>
    </x:xf>
    <x:xf numFmtId="202" fontId="7" fillId="15" borderId="10" xfId="0" applyNumberFormat="1" applyFont="1" applyFill="1" applyBorder="1" applyAlignment="1">
      <x:alignment vertical="center"/>
    </x:xf>
    <x:xf numFmtId="0" fontId="7" fillId="17" borderId="0" xfId="0" applyNumberFormat="1" applyFont="1" applyFill="1" applyBorder="1" applyAlignment="1">
      <x:alignment vertical="center"/>
    </x:xf>
    <x:xf numFmtId="0" fontId="11" fillId="17" borderId="0" xfId="0" applyNumberFormat="1" applyFont="1" applyFill="1" applyBorder="1" applyAlignment="1">
      <x:alignment vertical="center"/>
    </x:xf>
    <x:xf numFmtId="0" fontId="11" fillId="17" borderId="2" xfId="0" applyNumberFormat="1" applyFont="1" applyFill="1" applyBorder="1" applyAlignment="1">
      <x:alignment vertical="center"/>
    </x:xf>
    <x:xf numFmtId="0" fontId="11" fillId="17" borderId="3" xfId="0" applyNumberFormat="1" applyFont="1" applyFill="1" applyBorder="1" applyAlignment="1">
      <x:alignment vertical="center"/>
    </x:xf>
    <x:xf numFmtId="0" fontId="11" fillId="17" borderId="4" xfId="0" applyNumberFormat="1" applyFont="1" applyFill="1" applyBorder="1" applyAlignment="1">
      <x:alignment vertical="center"/>
    </x:xf>
    <x:xf numFmtId="0" fontId="7" fillId="0" borderId="4" xfId="0" applyNumberFormat="1" applyFont="1" applyFill="1" applyBorder="1" applyAlignment="1">
      <x:alignment vertical="center"/>
    </x:xf>
    <x:xf numFmtId="0" fontId="7" fillId="0" borderId="8" xfId="0" applyNumberFormat="1" applyFont="1" applyFill="1" applyBorder="1" applyAlignment="1">
      <x:alignment vertical="center"/>
    </x:xf>
    <x:xf numFmtId="0" fontId="7" fillId="0" borderId="9" xfId="0" applyNumberFormat="1" applyFont="1" applyFill="1" applyBorder="1" applyAlignment="1">
      <x:alignment vertical="center"/>
    </x:xf>
    <x:xf numFmtId="0" fontId="7" fillId="0" borderId="10" xfId="0" applyNumberFormat="1" applyFont="1" applyFill="1" applyBorder="1" applyAlignment="1">
      <x:alignment vertical="center"/>
    </x:xf>
    <x:xf numFmtId="0" fontId="13" fillId="16" borderId="10" xfId="0" applyNumberFormat="1" applyFont="1" applyFill="1" applyBorder="1" applyAlignment="1">
      <x:alignment vertical="center"/>
    </x:xf>
    <x:xf numFmtId="201" fontId="13" fillId="16" borderId="11" xfId="0" applyNumberFormat="1" applyFont="1" applyFill="1" applyBorder="1" applyAlignment="1">
      <x:alignment vertical="center"/>
    </x:xf>
    <x:xf numFmtId="0" fontId="11" fillId="12" borderId="0" xfId="0" applyNumberFormat="1" applyFont="1" applyFill="1" applyBorder="1" applyAlignment="1">
      <x:alignment vertical="center" wrapText="1"/>
    </x:xf>
    <x:xf numFmtId="0" fontId="7" fillId="16" borderId="0" xfId="0" applyNumberFormat="1" applyFont="1" applyFill="1" applyBorder="1" applyAlignment="1">
      <x:alignment vertical="center" wrapText="1"/>
    </x:xf>
    <x:xf numFmtId="0" fontId="11" fillId="12" borderId="11" xfId="0" applyNumberFormat="1" applyFont="1" applyFill="1" applyBorder="1" applyAlignment="1">
      <x:alignment vertical="center" wrapText="1"/>
    </x:xf>
    <x:xf numFmtId="0" fontId="11" fillId="12" borderId="12" xfId="0" applyNumberFormat="1" applyFont="1" applyFill="1" applyBorder="1" applyAlignment="1">
      <x:alignment vertical="center" wrapText="1"/>
    </x:xf>
    <x:xf numFmtId="0" fontId="7" fillId="16" borderId="12" xfId="0" applyNumberFormat="1" applyFont="1" applyFill="1" applyBorder="1" applyAlignment="1">
      <x:alignment vertical="center" wrapText="1"/>
    </x:xf>
    <x:xf numFmtId="0" fontId="7" fillId="16" borderId="9" xfId="0" applyNumberFormat="1" applyFont="1" applyFill="1" applyBorder="1" applyAlignment="1">
      <x:alignment vertical="center" wrapText="1"/>
    </x:xf>
    <x:xf numFmtId="0" fontId="11" fillId="12" borderId="7" xfId="0" applyNumberFormat="1" applyFont="1" applyFill="1" applyBorder="1" applyAlignment="1">
      <x:alignment vertical="center" wrapText="1"/>
    </x:xf>
    <x:xf numFmtId="0" fontId="11" fillId="12" borderId="13" xfId="0" applyNumberFormat="1" applyFont="1" applyFill="1" applyBorder="1" applyAlignment="1">
      <x:alignment vertical="center" wrapText="1"/>
    </x:xf>
    <x:xf numFmtId="0" fontId="7" fillId="16" borderId="13" xfId="0" applyNumberFormat="1" applyFont="1" applyFill="1" applyBorder="1" applyAlignment="1">
      <x:alignment vertical="center" wrapText="1"/>
    </x:xf>
    <x:xf numFmtId="0" fontId="7" fillId="16" borderId="5" xfId="0" applyNumberFormat="1" applyFont="1" applyFill="1" applyBorder="1" applyAlignment="1">
      <x:alignment vertical="center" wrapText="1"/>
    </x:xf>
    <x:xf numFmtId="0" fontId="7" fillId="18" borderId="0" xfId="0" applyNumberFormat="1" applyFont="1" applyFill="1" applyBorder="1" applyAlignment="1">
      <x:alignment vertical="center"/>
    </x:xf>
    <x:xf numFmtId="0" fontId="8" fillId="18" borderId="0" xfId="0" applyNumberFormat="1" applyFont="1" applyFill="1" applyBorder="1" applyAlignment="1">
      <x:alignment vertical="center"/>
    </x:xf>
    <x:xf numFmtId="0" fontId="7" fillId="19" borderId="0" xfId="0" applyNumberFormat="1" applyFont="1" applyFill="1" applyBorder="1" applyAlignment="1">
      <x:alignment vertical="center"/>
    </x:xf>
    <x:xf numFmtId="0" fontId="9" fillId="19" borderId="0" xfId="0" applyNumberFormat="1" applyFont="1" applyFill="1" applyBorder="1" applyAlignment="1">
      <x:alignment vertical="center"/>
    </x:xf>
    <x:xf numFmtId="0" fontId="9" fillId="19" borderId="0" xfId="0" applyNumberFormat="1" applyFont="1" applyFill="1" applyBorder="1" applyAlignment="1">
      <x:alignment vertical="center" wrapText="1"/>
    </x:xf>
    <x:xf numFmtId="0" fontId="7" fillId="20" borderId="0" xfId="0" applyNumberFormat="1" applyFont="1" applyFill="1" applyBorder="1" applyAlignment="1">
      <x:alignment vertical="center"/>
    </x:xf>
    <x:xf numFmtId="0" fontId="10" fillId="20" borderId="0" xfId="0" applyNumberFormat="1" applyFont="1" applyFill="1" applyBorder="1" applyAlignment="1">
      <x:alignment vertical="center"/>
    </x:xf>
    <x:xf numFmtId="0" fontId="10" fillId="20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vertical="center"/>
    </x:xf>
    <x:xf numFmtId="0" fontId="11" fillId="21" borderId="0" xfId="0" applyNumberFormat="1" applyFont="1" applyFill="1" applyBorder="1" applyAlignment="1">
      <x:alignment vertical="center"/>
    </x:xf>
    <x:xf numFmtId="0" fontId="11" fillId="21" borderId="2" xfId="0" applyNumberFormat="1" applyFont="1" applyFill="1" applyBorder="1" applyAlignment="1">
      <x:alignment vertical="center"/>
    </x:xf>
    <x:xf numFmtId="0" fontId="11" fillId="21" borderId="3" xfId="0" applyNumberFormat="1" applyFont="1" applyFill="1" applyBorder="1" applyAlignment="1">
      <x:alignment vertical="center"/>
    </x:xf>
    <x:xf numFmtId="0" fontId="11" fillId="21" borderId="4" xfId="0" applyNumberFormat="1" applyFont="1" applyFill="1" applyBorder="1" applyAlignment="1">
      <x:alignment vertical="center"/>
    </x:xf>
    <x:xf numFmtId="0" fontId="7" fillId="22" borderId="0" xfId="0" applyNumberFormat="1" applyFont="1" applyFill="1" applyBorder="1" applyAlignment="1">
      <x:alignment vertical="center"/>
    </x:xf>
    <x:xf numFmtId="0" fontId="11" fillId="22" borderId="0" xfId="0" applyNumberFormat="1" applyFont="1" applyFill="1" applyBorder="1" applyAlignment="1">
      <x:alignment vertical="center"/>
    </x:xf>
    <x:xf numFmtId="0" fontId="11" fillId="22" borderId="2" xfId="0" applyNumberFormat="1" applyFont="1" applyFill="1" applyBorder="1" applyAlignment="1">
      <x:alignment vertical="center"/>
    </x:xf>
    <x:xf numFmtId="0" fontId="11" fillId="22" borderId="3" xfId="0" applyNumberFormat="1" applyFont="1" applyFill="1" applyBorder="1" applyAlignment="1">
      <x:alignment vertical="center"/>
    </x:xf>
    <x:xf numFmtId="0" fontId="11" fillId="22" borderId="4" xfId="0" applyNumberFormat="1" applyFont="1" applyFill="1" applyBorder="1" applyAlignment="1">
      <x:alignment vertical="center"/>
    </x:xf>
    <x:xf numFmtId="0" fontId="7" fillId="23" borderId="0" xfId="0" applyNumberFormat="1" applyFont="1" applyFill="1" applyBorder="1" applyAlignment="1">
      <x:alignment vertical="center"/>
    </x:xf>
    <x:xf numFmtId="0" fontId="11" fillId="23" borderId="0" xfId="0" applyNumberFormat="1" applyFont="1" applyFill="1" applyBorder="1" applyAlignment="1">
      <x:alignment vertical="center"/>
    </x:xf>
    <x:xf numFmtId="0" fontId="11" fillId="23" borderId="2" xfId="0" applyNumberFormat="1" applyFont="1" applyFill="1" applyBorder="1" applyAlignment="1">
      <x:alignment vertical="center"/>
    </x:xf>
    <x:xf numFmtId="0" fontId="11" fillId="23" borderId="3" xfId="0" applyNumberFormat="1" applyFont="1" applyFill="1" applyBorder="1" applyAlignment="1">
      <x:alignment vertical="center"/>
    </x:xf>
    <x:xf numFmtId="0" fontId="11" fillId="23" borderId="4" xfId="0" applyNumberFormat="1" applyFont="1" applyFill="1" applyBorder="1" applyAlignment="1">
      <x:alignment vertical="center"/>
    </x:xf>
    <x:xf numFmtId="0" fontId="11" fillId="23" borderId="2" xfId="0" applyNumberFormat="1" applyFont="1" applyFill="1" applyBorder="1" applyAlignment="1">
      <x:alignment vertical="center" wrapText="1"/>
    </x:xf>
    <x:xf numFmtId="0" fontId="11" fillId="23" borderId="3" xfId="0" applyNumberFormat="1" applyFont="1" applyFill="1" applyBorder="1" applyAlignment="1">
      <x:alignment vertical="center" wrapText="1"/>
    </x:xf>
    <x:xf numFmtId="0" fontId="11" fillId="23" borderId="4" xfId="0" applyNumberFormat="1" applyFont="1" applyFill="1" applyBorder="1" applyAlignment="1">
      <x:alignment vertical="center" wrapText="1"/>
    </x:xf>
    <x:xf numFmtId="0" fontId="7" fillId="24" borderId="0" xfId="0" applyNumberFormat="1" applyFont="1" applyFill="1" applyBorder="1" applyAlignment="1">
      <x:alignment vertical="center"/>
    </x:xf>
    <x:xf numFmtId="0" fontId="7" fillId="25" borderId="0" xfId="0" applyNumberFormat="1" applyFont="1" applyFill="1" applyBorder="1" applyAlignment="1">
      <x:alignment vertical="center"/>
    </x:xf>
    <x:xf numFmtId="0" fontId="7" fillId="24" borderId="5" xfId="0" applyNumberFormat="1" applyFont="1" applyFill="1" applyBorder="1" applyAlignment="1">
      <x:alignment vertical="center"/>
    </x:xf>
    <x:xf numFmtId="0" fontId="7" fillId="24" borderId="6" xfId="0" applyNumberFormat="1" applyFont="1" applyFill="1" applyBorder="1" applyAlignment="1">
      <x:alignment vertical="center"/>
    </x:xf>
    <x:xf numFmtId="0" fontId="7" fillId="25" borderId="6" xfId="0" applyNumberFormat="1" applyFont="1" applyFill="1" applyBorder="1" applyAlignment="1">
      <x:alignment vertical="center"/>
    </x:xf>
    <x:xf numFmtId="0" fontId="7" fillId="25" borderId="7" xfId="0" applyNumberFormat="1" applyFont="1" applyFill="1" applyBorder="1" applyAlignment="1">
      <x:alignment vertical="center"/>
    </x:xf>
    <x:xf numFmtId="0" fontId="7" fillId="24" borderId="4" xfId="0" applyNumberFormat="1" applyFont="1" applyFill="1" applyBorder="1" applyAlignment="1">
      <x:alignment vertical="center"/>
    </x:xf>
    <x:xf numFmtId="0" fontId="7" fillId="24" borderId="1" xfId="0" applyNumberFormat="1" applyFont="1" applyFill="1" applyBorder="1" applyAlignment="1">
      <x:alignment vertical="center"/>
    </x:xf>
    <x:xf numFmtId="0" fontId="7" fillId="25" borderId="1" xfId="0" applyNumberFormat="1" applyFont="1" applyFill="1" applyBorder="1" applyAlignment="1">
      <x:alignment vertical="center"/>
    </x:xf>
    <x:xf numFmtId="0" fontId="7" fillId="25" borderId="2" xfId="0" applyNumberFormat="1" applyFont="1" applyFill="1" applyBorder="1" applyAlignment="1">
      <x:alignment vertical="center"/>
    </x:xf>
    <x:xf numFmtId="0" fontId="7" fillId="24" borderId="9" xfId="0" applyNumberFormat="1" applyFont="1" applyFill="1" applyBorder="1" applyAlignment="1">
      <x:alignment vertical="center"/>
    </x:xf>
    <x:xf numFmtId="0" fontId="7" fillId="24" borderId="10" xfId="0" applyNumberFormat="1" applyFont="1" applyFill="1" applyBorder="1" applyAlignment="1">
      <x:alignment vertical="center"/>
    </x:xf>
    <x:xf numFmtId="0" fontId="7" fillId="25" borderId="10" xfId="0" applyNumberFormat="1" applyFont="1" applyFill="1" applyBorder="1" applyAlignment="1">
      <x:alignment vertical="center"/>
    </x:xf>
    <x:xf numFmtId="0" fontId="7" fillId="25" borderId="11" xfId="0" applyNumberFormat="1" applyFont="1" applyFill="1" applyBorder="1" applyAlignment="1">
      <x:alignment vertical="center"/>
    </x:xf>
    <x:xf numFmtId="0" fontId="7" fillId="24" borderId="6" xfId="0" applyNumberFormat="1" applyFont="1" applyFill="1" applyBorder="1" applyAlignment="1">
      <x:alignment vertical="center" wrapText="1"/>
    </x:xf>
    <x:xf numFmtId="0" fontId="7" fillId="24" borderId="1" xfId="0" applyNumberFormat="1" applyFont="1" applyFill="1" applyBorder="1" applyAlignment="1">
      <x:alignment vertical="center" wrapText="1"/>
    </x:xf>
    <x:xf numFmtId="0" fontId="7" fillId="24" borderId="10" xfId="0" applyNumberFormat="1" applyFont="1" applyFill="1" applyBorder="1" applyAlignment="1">
      <x:alignment vertical="center" wrapText="1"/>
    </x:xf>
    <x:xf numFmtId="0" fontId="12" fillId="24" borderId="6" xfId="0" applyNumberFormat="1" applyFont="1" applyFill="1" applyBorder="1" applyAlignment="1">
      <x:alignment vertical="center"/>
    </x:xf>
    <x:xf numFmtId="0" fontId="12" fillId="24" borderId="1" xfId="0" applyNumberFormat="1" applyFont="1" applyFill="1" applyBorder="1" applyAlignment="1">
      <x:alignment vertical="center"/>
    </x:xf>
    <x:xf numFmtId="0" fontId="12" fillId="24" borderId="10" xfId="0" applyNumberFormat="1" applyFont="1" applyFill="1" applyBorder="1" applyAlignment="1">
      <x:alignment vertical="center"/>
    </x:xf>
    <x:xf numFmtId="0" fontId="12" fillId="24" borderId="6" xfId="0" applyNumberFormat="1" applyFont="1" applyFill="1" applyBorder="1" applyAlignment="1">
      <x:alignment vertical="center" wrapText="1"/>
    </x:xf>
    <x:xf numFmtId="0" fontId="12" fillId="24" borderId="1" xfId="0" applyNumberFormat="1" applyFont="1" applyFill="1" applyBorder="1" applyAlignment="1">
      <x:alignment vertical="center" wrapText="1"/>
    </x:xf>
    <x:xf numFmtId="0" fontId="12" fillId="24" borderId="10" xfId="0" applyNumberFormat="1" applyFont="1" applyFill="1" applyBorder="1" applyAlignment="1">
      <x:alignment vertical="center" wrapText="1"/>
    </x:xf>
    <x:xf numFmtId="200" fontId="7" fillId="24" borderId="6" xfId="0" applyNumberFormat="1" applyFont="1" applyFill="1" applyBorder="1" applyAlignment="1">
      <x:alignment vertical="center"/>
    </x:xf>
    <x:xf numFmtId="200" fontId="7" fillId="24" borderId="1" xfId="0" applyNumberFormat="1" applyFont="1" applyFill="1" applyBorder="1" applyAlignment="1">
      <x:alignment vertical="center"/>
    </x:xf>
    <x:xf numFmtId="200" fontId="7" fillId="24" borderId="10" xfId="0" applyNumberFormat="1" applyFont="1" applyFill="1" applyBorder="1" applyAlignment="1">
      <x:alignment vertical="center"/>
    </x:xf>
    <x:xf numFmtId="201" fontId="7" fillId="25" borderId="6" xfId="0" applyNumberFormat="1" applyFont="1" applyFill="1" applyBorder="1" applyAlignment="1">
      <x:alignment vertical="center"/>
    </x:xf>
    <x:xf numFmtId="201" fontId="7" fillId="25" borderId="7" xfId="0" applyNumberFormat="1" applyFont="1" applyFill="1" applyBorder="1" applyAlignment="1">
      <x:alignment vertical="center"/>
    </x:xf>
    <x:xf numFmtId="201" fontId="7" fillId="25" borderId="1" xfId="0" applyNumberFormat="1" applyFont="1" applyFill="1" applyBorder="1" applyAlignment="1">
      <x:alignment vertical="center"/>
    </x:xf>
    <x:xf numFmtId="201" fontId="7" fillId="25" borderId="2" xfId="0" applyNumberFormat="1" applyFont="1" applyFill="1" applyBorder="1" applyAlignment="1">
      <x:alignment vertical="center"/>
    </x:xf>
    <x:xf numFmtId="201" fontId="7" fillId="25" borderId="10" xfId="0" applyNumberFormat="1" applyFont="1" applyFill="1" applyBorder="1" applyAlignment="1">
      <x:alignment vertical="center"/>
    </x:xf>
    <x:xf numFmtId="201" fontId="7" fillId="25" borderId="11" xfId="0" applyNumberFormat="1" applyFont="1" applyFill="1" applyBorder="1" applyAlignment="1">
      <x:alignment vertical="center"/>
    </x:xf>
    <x:xf numFmtId="202" fontId="7" fillId="24" borderId="6" xfId="0" applyNumberFormat="1" applyFont="1" applyFill="1" applyBorder="1" applyAlignment="1">
      <x:alignment vertical="center"/>
    </x:xf>
    <x:xf numFmtId="202" fontId="7" fillId="24" borderId="1" xfId="0" applyNumberFormat="1" applyFont="1" applyFill="1" applyBorder="1" applyAlignment="1">
      <x:alignment vertical="center"/>
    </x:xf>
    <x:xf numFmtId="202" fontId="7" fillId="24" borderId="10" xfId="0" applyNumberFormat="1" applyFont="1" applyFill="1" applyBorder="1" applyAlignment="1">
      <x:alignment vertical="center"/>
    </x:xf>
    <x:xf numFmtId="0" fontId="7" fillId="26" borderId="0" xfId="0" applyNumberFormat="1" applyFont="1" applyFill="1" applyBorder="1" applyAlignment="1">
      <x:alignment vertical="center"/>
    </x:xf>
    <x:xf numFmtId="0" fontId="11" fillId="26" borderId="0" xfId="0" applyNumberFormat="1" applyFont="1" applyFill="1" applyBorder="1" applyAlignment="1">
      <x:alignment vertical="center"/>
    </x:xf>
    <x:xf numFmtId="0" fontId="11" fillId="26" borderId="2" xfId="0" applyNumberFormat="1" applyFont="1" applyFill="1" applyBorder="1" applyAlignment="1">
      <x:alignment vertical="center"/>
    </x:xf>
    <x:xf numFmtId="0" fontId="11" fillId="26" borderId="3" xfId="0" applyNumberFormat="1" applyFont="1" applyFill="1" applyBorder="1" applyAlignment="1">
      <x:alignment vertical="center"/>
    </x:xf>
    <x:xf numFmtId="0" fontId="11" fillId="26" borderId="4" xfId="0" applyNumberFormat="1" applyFont="1" applyFill="1" applyBorder="1" applyAlignment="1">
      <x:alignment vertical="center"/>
    </x:xf>
    <x:xf numFmtId="0" fontId="7" fillId="0" borderId="1" xfId="0" applyNumberFormat="1" applyFont="1" applyFill="1" applyBorder="1" applyAlignment="1">
      <x:alignment vertical="center"/>
    </x:xf>
    <x:xf numFmtId="0" fontId="13" fillId="25" borderId="10" xfId="0" applyNumberFormat="1" applyFont="1" applyFill="1" applyBorder="1" applyAlignment="1">
      <x:alignment vertical="center"/>
    </x:xf>
    <x:xf numFmtId="201" fontId="13" fillId="25" borderId="11" xfId="0" applyNumberFormat="1" applyFont="1" applyFill="1" applyBorder="1" applyAlignment="1">
      <x:alignment vertical="center"/>
    </x:xf>
    <x:xf numFmtId="0" fontId="11" fillId="21" borderId="0" xfId="0" applyNumberFormat="1" applyFont="1" applyFill="1" applyBorder="1" applyAlignment="1">
      <x:alignment vertical="center" wrapText="1"/>
    </x:xf>
    <x:xf numFmtId="0" fontId="7" fillId="25" borderId="0" xfId="0" applyNumberFormat="1" applyFont="1" applyFill="1" applyBorder="1" applyAlignment="1">
      <x:alignment vertical="center" wrapText="1"/>
    </x:xf>
    <x:xf numFmtId="0" fontId="11" fillId="21" borderId="11" xfId="0" applyNumberFormat="1" applyFont="1" applyFill="1" applyBorder="1" applyAlignment="1">
      <x:alignment vertical="center" wrapText="1"/>
    </x:xf>
    <x:xf numFmtId="0" fontId="11" fillId="21" borderId="12" xfId="0" applyNumberFormat="1" applyFont="1" applyFill="1" applyBorder="1" applyAlignment="1">
      <x:alignment vertical="center" wrapText="1"/>
    </x:xf>
    <x:xf numFmtId="0" fontId="7" fillId="25" borderId="12" xfId="0" applyNumberFormat="1" applyFont="1" applyFill="1" applyBorder="1" applyAlignment="1">
      <x:alignment vertical="center" wrapText="1"/>
    </x:xf>
    <x:xf numFmtId="0" fontId="7" fillId="25" borderId="9" xfId="0" applyNumberFormat="1" applyFont="1" applyFill="1" applyBorder="1" applyAlignment="1">
      <x:alignment vertical="center" wrapText="1"/>
    </x:xf>
    <x:xf numFmtId="0" fontId="11" fillId="21" borderId="7" xfId="0" applyNumberFormat="1" applyFont="1" applyFill="1" applyBorder="1" applyAlignment="1">
      <x:alignment vertical="center" wrapText="1"/>
    </x:xf>
    <x:xf numFmtId="0" fontId="11" fillId="21" borderId="13" xfId="0" applyNumberFormat="1" applyFont="1" applyFill="1" applyBorder="1" applyAlignment="1">
      <x:alignment vertical="center" wrapText="1"/>
    </x:xf>
    <x:xf numFmtId="0" fontId="7" fillId="25" borderId="13" xfId="0" applyNumberFormat="1" applyFont="1" applyFill="1" applyBorder="1" applyAlignment="1">
      <x:alignment vertical="center" wrapText="1"/>
    </x:xf>
    <x:xf numFmtId="0" fontId="7" fillId="25" borderId="5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3dffdb16554d8e" /><Relationship Type="http://schemas.openxmlformats.org/officeDocument/2006/relationships/theme" Target="/xl/theme/theme1.xml" Id="R330d163f6ebf481c" /><Relationship Type="http://schemas.openxmlformats.org/officeDocument/2006/relationships/sharedStrings" Target="/xl/sharedStrings.xml" Id="R802443778fe64a54" /><Relationship Type="http://schemas.openxmlformats.org/officeDocument/2006/relationships/worksheet" Target="/xl/worksheets/sheet1.xml" Id="Rcdbc33781bab4536" /><Relationship Type="http://schemas.openxmlformats.org/officeDocument/2006/relationships/worksheet" Target="/xl/worksheets/sheet2.xml" Id="R35fabe95a40f4c5e" /><Relationship Type="http://schemas.openxmlformats.org/officeDocument/2006/relationships/worksheet" Target="/xl/worksheets/sheet3.xml" Id="R5ea17215c9834815" /><Relationship Type="http://schemas.openxmlformats.org/officeDocument/2006/relationships/worksheet" Target="/xl/worksheets/sheet4.xml" Id="R6e28592a662847c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4" customWidth="1"/>
    <x:col min="2" max="2" width="26" customWidth="1"/>
    <x:col min="3" max="3" width="34" customWidth="1"/>
    <x:col min="4" max="4" width="24" customWidth="1"/>
    <x:col min="5" max="5" width="30" customWidth="1"/>
    <x:col min="6" max="6" width="26" customWidth="1"/>
  </x:cols>
  <x:sheetData>
    <x:row r="1" ht="34" customHeight="1">
      <x:c r="A1" s="1" t="inlineStr">
        <x:is>
          <x:t xml:space="preserve">BUS123 - MATH-M07-L01 - Sales, Excise, and Property Taxes</x:t>
        </x:is>
      </x:c>
      <x:c r="B1" s="2" t="n"/>
      <x:c r="C1" s="2" t="n"/>
      <x:c r="D1" s="2" t="n"/>
      <x:c r="E1" s="2" t="n"/>
      <x:c r="F1" s="2" t="n"/>
    </x:row>
    <x:row r="2">
      <x:c r="A2" s="3" t="n"/>
      <x:c r="B2" s="3" t="n"/>
      <x:c r="C2" s="3" t="n"/>
      <x:c r="D2" s="3" t="n"/>
      <x:c r="E2" s="3" t="n"/>
      <x:c r="F2" s="3" t="n"/>
    </x:row>
    <x:row r="3" ht="24" customHeight="1">
      <x:c r="A3" s="4" t="inlineStr">
        <x:is>
          <x:t xml:space="preserve">How to use this workbook</x:t>
        </x:is>
      </x:c>
      <x:c r="B3" s="5" t="n"/>
      <x:c r="C3" s="5" t="n"/>
      <x:c r="D3" s="5" t="n"/>
      <x:c r="E3" s="5" t="n"/>
      <x:c r="F3" s="5" t="n"/>
    </x:row>
    <x:row r="4">
      <x:c r="A4" s="3" t="n"/>
      <x:c r="B4" s="6" t="inlineStr">
        <x:is>
          <x:t xml:space="preserve">Course</x:t>
        </x:is>
      </x:c>
      <x:c r="C4" s="7" t="inlineStr">
        <x:is>
          <x:t xml:space="preserve">BUS123 - Solving Business Problems with Technology</x:t>
        </x:is>
      </x:c>
      <x:c r="D4" s="3" t="n"/>
      <x:c r="E4" s="3" t="n"/>
      <x:c r="F4" s="3" t="n"/>
    </x:row>
    <x:row r="5">
      <x:c r="A5" s="3" t="n"/>
      <x:c r="B5" s="6" t="inlineStr">
        <x:is>
          <x:t xml:space="preserve">Module</x:t>
        </x:is>
      </x:c>
      <x:c r="C5" s="7" t="inlineStr">
        <x:is>
          <x:t xml:space="preserve">MATH-M07 - Lesson 01</x:t>
        </x:is>
      </x:c>
      <x:c r="D5" s="3" t="n"/>
      <x:c r="E5" s="3" t="n"/>
      <x:c r="F5" s="3" t="n"/>
    </x:row>
    <x:row r="6">
      <x:c r="A6" s="3" t="n"/>
      <x:c r="B6" s="6" t="inlineStr">
        <x:is>
          <x:t xml:space="preserve">Topic</x:t>
        </x:is>
      </x:c>
      <x:c r="C6" s="7" t="str">
        <x:v>Sales tax, excise tax, and property tax using a simplified training jurisdiction</x:v>
      </x:c>
      <x:c r="D6" s="3" t="n"/>
      <x:c r="E6" s="3" t="n"/>
      <x:c r="F6" s="3" t="n"/>
    </x:row>
    <x:row r="7">
      <x:c r="A7" s="3" t="n"/>
      <x:c r="B7" s="6" t="inlineStr">
        <x:is>
          <x:t xml:space="preserve">Companies</x:t>
        </x:is>
      </x:c>
      <x:c r="C7" s="7" t="str">
        <x:v>Tidal Goods Co. and Meridian Advisory Group; supplied training rules</x:v>
      </x:c>
      <x:c r="D7" s="3" t="n"/>
      <x:c r="E7" s="3" t="n"/>
      <x:c r="F7" s="3" t="n"/>
    </x:row>
    <x:row r="8">
      <x:c r="A8" s="3" t="n"/>
      <x:c r="B8" s="6" t="inlineStr">
        <x:is>
          <x:t xml:space="preserve">Live You Try It</x:t>
        </x:is>
      </x:c>
      <x:c r="C8" s="7" t="str">
        <x:v>Transfer practice with new numbers. Enter inputs, build formulas with cell references, and use formula-aware feedback.</x:v>
      </x:c>
      <x:c r="D8" s="3" t="n"/>
      <x:c r="E8" s="3" t="n"/>
      <x:c r="F8" s="3" t="n"/>
    </x:row>
    <x:row r="9" ht="48" customHeight="1">
      <x:c r="A9" s="3" t="n"/>
      <x:c r="B9" s="6" t="inlineStr">
        <x:is>
          <x:t xml:space="preserve">Class Challenge</x:t>
        </x:is>
      </x:c>
      <x:c r="C9" s="18" t="str">
        <x:v>Tax compliance audit. Complete R01-R03 in pairs, choose one of R04-R06, then finish the remaining records for homework.</x:v>
      </x:c>
      <x:c r="D9" s="3" t="n"/>
      <x:c r="E9" s="3" t="n"/>
      <x:c r="F9" s="3" t="n"/>
    </x:row>
    <x:row r="10">
      <x:c r="A10" s="3" t="n"/>
      <x:c r="B10" s="6" t="inlineStr">
        <x:is>
          <x:t xml:space="preserve">FormulaReferenceCard</x:t>
        </x:is>
      </x:c>
      <x:c r="C10" s="7" t="str">
        <x:v>Syntax reminders to use only after you decide which pattern fits the supplied business rule.</x:v>
      </x:c>
      <x:c r="D10" s="3" t="n"/>
      <x:c r="E10" s="3" t="n"/>
      <x:c r="F10" s="3" t="n"/>
    </x:row>
    <x:row r="11">
      <x:c r="A11" s="3" t="n"/>
      <x:c r="B11" s="3" t="n"/>
      <x:c r="C11" s="3" t="n"/>
      <x:c r="D11" s="3" t="n"/>
      <x:c r="E11" s="3" t="n"/>
      <x:c r="F11" s="3" t="n"/>
    </x:row>
    <x:row r="12">
      <x:c r="A12" s="3" t="n"/>
      <x:c r="B12" s="3" t="n"/>
      <x:c r="C12" s="3" t="n"/>
      <x:c r="D12" s="3" t="n"/>
      <x:c r="E12" s="3" t="n"/>
      <x:c r="F12" s="3" t="n"/>
    </x:row>
    <x:row r="13" ht="24" customHeight="1">
      <x:c r="A13" s="8" t="inlineStr">
        <x:is>
          <x:t xml:space="preserve">Color key</x:t>
        </x:is>
      </x:c>
      <x:c r="B13" s="9" t="n"/>
      <x:c r="C13" s="9" t="n"/>
      <x:c r="D13" s="9" t="n"/>
      <x:c r="E13" s="9" t="n"/>
      <x:c r="F13" s="9" t="n"/>
    </x:row>
    <x:row r="14">
      <x:c r="A14" s="3" t="n"/>
      <x:c r="B14" s="7" t="inlineStr">
        <x:is>
          <x:t xml:space="preserve">Yellow input cells</x:t>
        </x:is>
      </x:c>
      <x:c r="C14" s="7" t="inlineStr">
        <x:is>
          <x:t xml:space="preserve">Student entry cells for slide givens and formulas.</x:t>
        </x:is>
      </x:c>
      <x:c r="D14" s="3" t="n"/>
      <x:c r="E14" s="3" t="n"/>
      <x:c r="F14" s="3" t="n"/>
    </x:row>
    <x:row r="15">
      <x:c r="A15" s="3" t="n"/>
      <x:c r="B15" s="7" t="inlineStr">
        <x:is>
          <x:t xml:space="preserve">Green feedback cells</x:t>
        </x:is>
      </x:c>
      <x:c r="C15" s="7" t="inlineStr">
        <x:is>
          <x:t xml:space="preserve">Self-check formulas on Live You Try It.</x:t>
        </x:is>
      </x:c>
      <x:c r="D15" s="3" t="n"/>
      <x:c r="E15" s="3" t="n"/>
      <x:c r="F15" s="3" t="n"/>
    </x:row>
    <x:row r="16" ht="38" customHeight="1">
      <x:c r="A16" s="3" t="n"/>
      <x:c r="B16" s="7" t="str">
        <x:v>Yellow audit-repair cells</x:v>
      </x:c>
      <x:c r="C16" s="18" t="str">
        <x:v>Only yellow cells are student work. Blue-gray source records and the supplied training-jurisdiction rules stay unchanged.</x:v>
      </x:c>
      <x:c r="D16" s="3" t="n"/>
      <x:c r="E16" s="3" t="n"/>
      <x:c r="F16" s="3" t="n"/>
    </x:row>
  </x:sheetData>
  <x:mergeCells>
    <x:mergeCell ref="A3:F3"/>
    <x:mergeCell ref="A13:F13"/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7" customWidth="1"/>
    <x:col min="2" max="2" width="16" customWidth="1"/>
    <x:col min="3" max="3" width="58" customWidth="1"/>
    <x:col min="4" max="4" width="16" customWidth="1"/>
    <x:col min="5" max="5" width="16" customWidth="1"/>
    <x:col min="6" max="6" width="16" customWidth="1"/>
    <x:col min="7" max="7" width="16" customWidth="1"/>
    <x:col min="8" max="8" width="22" customWidth="1"/>
    <x:col min="9" max="9" width="34" customWidth="1"/>
    <x:col min="10" max="10" width="34" customWidth="1"/>
    <x:col min="11" max="11" width="14" customWidth="1"/>
  </x:cols>
  <x:sheetData>
    <x:row r="1" ht="34" customHeight="1">
      <x:c r="A1" s="1" t="inlineStr">
        <x:is>
          <x:t xml:space="preserve">MATH-M07 - Live You Try It | Self-graded Excel pauses</x:t>
        </x:is>
      </x:c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</x:row>
    <x:row r="2">
      <x:c r="A2" s="3" t="n"/>
      <x:c r="B2" s="3" t="n"/>
      <x:c r="C2" s="3" t="n"/>
      <x:c r="D2" s="3" t="n"/>
      <x:c r="E2" s="3" t="n"/>
      <x:c r="F2" s="3" t="n"/>
      <x:c r="G2" s="3" t="n"/>
      <x:c r="H2" s="3" t="n"/>
      <x:c r="I2" s="3" t="n"/>
      <x:c r="J2" s="3" t="n"/>
      <x:c r="K2" s="3" t="n"/>
    </x:row>
    <x:row r="3">
      <x:c r="A3" s="10" t="str">
        <x:v>Use the new numbers below. Enter the yellow inputs first, then build formulas in column H with the referenced cells. Feedback checks the value and confirms that a formula is present.</x:v>
      </x:c>
      <x:c r="B3" s="3" t="n"/>
      <x:c r="C3" s="3" t="n"/>
      <x:c r="D3" s="3" t="n"/>
      <x:c r="E3" s="3" t="n"/>
      <x:c r="F3" s="3" t="n"/>
      <x:c r="G3" s="3" t="n"/>
      <x:c r="H3" s="3" t="n"/>
      <x:c r="I3" s="3" t="n"/>
      <x:c r="J3" s="3" t="n"/>
      <x:c r="K3" s="3" t="n"/>
    </x:row>
    <x:row r="4">
      <x:c r="A4" s="3" t="n"/>
      <x:c r="B4" s="3" t="n"/>
      <x:c r="C4" s="3" t="n"/>
      <x:c r="D4" s="3" t="n"/>
      <x:c r="E4" s="3" t="n"/>
      <x:c r="F4" s="3" t="n"/>
      <x:c r="G4" s="3" t="n"/>
      <x:c r="H4" s="3" t="n"/>
      <x:c r="I4" s="3" t="n"/>
      <x:c r="J4" s="3" t="n"/>
      <x:c r="K4" s="3" t="n"/>
    </x:row>
    <x:row r="5">
      <x:c r="A5" s="11" t="inlineStr">
        <x:is>
          <x:t xml:space="preserve">#</x:t>
        </x:is>
      </x:c>
      <x:c r="B5" s="11" t="inlineStr">
        <x:is>
          <x:t xml:space="preserve">Topic</x:t>
        </x:is>
      </x:c>
      <x:c r="C5" s="11" t="inlineStr">
        <x:is>
          <x:t xml:space="preserve">Task</x:t>
        </x:is>
      </x:c>
      <x:c r="D5" s="11" t="inlineStr">
        <x:is>
          <x:t xml:space="preserve">Input 1</x:t>
        </x:is>
      </x:c>
      <x:c r="E5" s="11" t="inlineStr">
        <x:is>
          <x:t xml:space="preserve">Input 2</x:t>
        </x:is>
      </x:c>
      <x:c r="F5" s="11" t="inlineStr">
        <x:is>
          <x:t xml:space="preserve">Input 3</x:t>
        </x:is>
      </x:c>
      <x:c r="G5" s="11" t="inlineStr">
        <x:is>
          <x:t xml:space="preserve">Input 4</x:t>
        </x:is>
      </x:c>
      <x:c r="H5" s="11" t="inlineStr">
        <x:is>
          <x:t xml:space="preserve">Formula / Answer</x:t>
        </x:is>
      </x:c>
      <x:c r="I5" s="11" t="inlineStr">
        <x:is>
          <x:t xml:space="preserve">Self-check feedback</x:t>
        </x:is>
      </x:c>
      <x:c r="J5" s="11" t="inlineStr">
        <x:is>
          <x:t xml:space="preserve">Hint</x:t>
        </x:is>
      </x:c>
      <x:c r="K5" s="11" t="inlineStr">
        <x:is>
          <x:t xml:space="preserve">Slide</x:t>
        </x:is>
      </x:c>
    </x:row>
    <x:row r="6">
      <x:c r="A6" s="7" t="n">
        <x:v>1</x:v>
      </x:c>
      <x:c r="B6" s="7" t="inlineStr">
        <x:is>
          <x:t xml:space="preserve">Sales tax</x:t>
        </x:is>
      </x:c>
      <x:c r="C6" s="7" t="str">
        <x:v>D: retail price 735; E: trade discount 95; H: taxable subtotal.</x:v>
      </x:c>
      <x:c r="D6" s="12" t="n"/>
      <x:c r="E6" s="12" t="n"/>
      <x:c r="F6" s="13" t="n"/>
      <x:c r="G6" s="13" t="n"/>
      <x:c r="H6" s="12" t="n"/>
      <x:c r="I6" s="14" t="str">
        <x:f>IF(COUNT(D6,E6,H6)&lt;3,"Enter the new inputs and a formula first",IF(IFERROR(NOT(ISFORMULA(H6)),FALSE),"Use a formula in H6 - do not type the answer",IF(AND(ABS(D6-735)&lt;=0.01,ABS(E6-95)&lt;=0.01,ABS(H6-640)&lt;=0.01),"Correct - value and formula are working","Check: subtract the discount before tax.")))</x:f>
        <x:v>Enter the new inputs and a formula first</x:v>
      </x:c>
      <x:c r="J6" s="7" t="str">
        <x:v>Subtract the discount before tax under the supplied rule.</x:v>
      </x:c>
      <x:c r="K6" s="7" t="str">
        <x:v>slide 8</x:v>
      </x:c>
    </x:row>
    <x:row r="7">
      <x:c r="A7" s="7" t="n">
        <x:v>2</x:v>
      </x:c>
      <x:c r="B7" s="7" t="inlineStr">
        <x:is>
          <x:t xml:space="preserve">Sales tax</x:t>
        </x:is>
      </x:c>
      <x:c r="C7" s="7" t="str">
        <x:v>E: tax rate 5.75%; H: tax owed using row 1 subtotal.</x:v>
      </x:c>
      <x:c r="D7" s="13" t="n"/>
      <x:c r="E7" s="15" t="n"/>
      <x:c r="F7" s="13" t="n"/>
      <x:c r="G7" s="13" t="n"/>
      <x:c r="H7" s="12" t="n"/>
      <x:c r="I7" s="14" t="str">
        <x:f>IF(COUNT(H6,E7,H7)&lt;3,"Enter the new inputs and a formula first",IF(IFERROR(NOT(ISFORMULA(H7)),FALSE),"Use a formula in H7 - do not type the answer",IF(AND(ABS(E7-0.0575)&lt;=5e-05,ABS(H7-36.8)&lt;=0.01),"Correct - value and formula are working","Check: use the taxable subtotal cell, not retail price.")))</x:f>
        <x:v>Enter the new inputs and a formula first</x:v>
      </x:c>
      <x:c r="J7" s="7" t="str">
        <x:v>Reference the taxable subtotal cell, not the retail price.</x:v>
      </x:c>
      <x:c r="K7" s="7" t="str">
        <x:v>slide 8</x:v>
      </x:c>
    </x:row>
    <x:row r="8">
      <x:c r="A8" s="7" t="n">
        <x:v>3</x:v>
      </x:c>
      <x:c r="B8" s="7" t="inlineStr">
        <x:is>
          <x:t xml:space="preserve">Sales tax</x:t>
        </x:is>
      </x:c>
      <x:c r="C8" s="7" t="str">
        <x:v>D: shipping 22; H: total price using rows 1 and 2.</x:v>
      </x:c>
      <x:c r="D8" s="12" t="n"/>
      <x:c r="E8" s="13" t="n"/>
      <x:c r="F8" s="13" t="n"/>
      <x:c r="G8" s="13" t="n"/>
      <x:c r="H8" s="12" t="n"/>
      <x:c r="I8" s="14" t="str">
        <x:f>IF(COUNT(H6,H7,D8,H8)&lt;4,"Enter the new inputs and a formula first",IF(IFERROR(NOT(ISFORMULA(H8)),FALSE),"Use a formula in H8 - do not type the answer",IF(AND(ABS(D8-22)&lt;=0.01,ABS(H8-698.8)&lt;=0.01),"Correct - value and formula are working","Check: add shipping after the subtotal and tax.")))</x:f>
        <x:v>Enter the new inputs and a formula first</x:v>
      </x:c>
      <x:c r="J8" s="7" t="str">
        <x:v>Reference the subtotal and tax results, then add shipping.</x:v>
      </x:c>
      <x:c r="K8" s="7" t="str">
        <x:v>slide 8</x:v>
      </x:c>
    </x:row>
    <x:row r="9">
      <x:c r="A9" s="7" t="n">
        <x:v>4</x:v>
      </x:c>
      <x:c r="B9" s="7" t="inlineStr">
        <x:is>
          <x:t xml:space="preserve">Reverse tax</x:t>
        </x:is>
      </x:c>
      <x:c r="C9" s="7" t="str">
        <x:v>D: receipts 64,200; E: tax rate 7%; H: pre-tax sales.</x:v>
      </x:c>
      <x:c r="D9" s="12" t="n"/>
      <x:c r="E9" s="15" t="n"/>
      <x:c r="F9" s="13" t="n"/>
      <x:c r="G9" s="13" t="n"/>
      <x:c r="H9" s="12" t="n"/>
      <x:c r="I9" s="14" t="str">
        <x:f>IF(COUNT(D9,E9,H9)&lt;3,"Enter the new inputs and a formula first",IF(IFERROR(NOT(ISFORMULA(H9)),FALSE),"Use a formula in H9 - do not type the answer",IF(AND(ABS(D9-64200)&lt;=0.01,ABS(E9-0.07)&lt;=5e-05,ABS(H9-60000)&lt;=0.01),"Correct - value and formula are working","Check: divide receipts by 1 plus the rate.")))</x:f>
        <x:v>Enter the new inputs and a formula first</x:v>
      </x:c>
      <x:c r="J9" s="7" t="str">
        <x:v>Divide receipts by 1 plus the tax rate.</x:v>
      </x:c>
      <x:c r="K9" s="7" t="str">
        <x:v>slide 8</x:v>
      </x:c>
    </x:row>
    <x:row r="10">
      <x:c r="A10" s="7" t="n">
        <x:v>5</x:v>
      </x:c>
      <x:c r="B10" s="7" t="inlineStr">
        <x:is>
          <x:t xml:space="preserve">Reverse tax</x:t>
        </x:is>
      </x:c>
      <x:c r="C10" s="7" t="str">
        <x:v>H: tax held using row 4 receipts and pre-tax sales.</x:v>
      </x:c>
      <x:c r="D10" s="13" t="n"/>
      <x:c r="E10" s="13" t="n"/>
      <x:c r="F10" s="13" t="n"/>
      <x:c r="G10" s="13" t="n"/>
      <x:c r="H10" s="12" t="n"/>
      <x:c r="I10" s="14" t="str">
        <x:f>IF(COUNT(D9,H9,H10)&lt;3,"Enter the new inputs and a formula first",IF(IFERROR(NOT(ISFORMULA(H10)),FALSE),"Use a formula in H10 - do not type the answer",IF(AND(ABS(H10-4200)&lt;=0.01),"Correct - value and formula are working","Check: subtract pre-tax sales from receipts.")))</x:f>
        <x:v>Enter the new inputs and a formula first</x:v>
      </x:c>
      <x:c r="J10" s="7" t="str">
        <x:v>Reference receipts and pre-tax sales.</x:v>
      </x:c>
      <x:c r="K10" s="7" t="str">
        <x:v>slide 8</x:v>
      </x:c>
    </x:row>
    <x:row r="11">
      <x:c r="A11" s="7" t="n">
        <x:v>6</x:v>
      </x:c>
      <x:c r="B11" s="7" t="inlineStr">
        <x:is>
          <x:t xml:space="preserve">Excise tax</x:t>
        </x:is>
      </x:c>
      <x:c r="C11" s="7" t="str">
        <x:v>D: base cost 7,250; E: sales tax rate 6%; H: sales tax.</x:v>
      </x:c>
      <x:c r="D11" s="12" t="n"/>
      <x:c r="E11" s="15" t="n"/>
      <x:c r="F11" s="13" t="n"/>
      <x:c r="G11" s="13" t="n"/>
      <x:c r="H11" s="12" t="n"/>
      <x:c r="I11" s="14" t="str">
        <x:f>IF(COUNT(D11,E11,H11)&lt;3,"Enter the new inputs and a formula first",IF(IFERROR(NOT(ISFORMULA(H11)),FALSE),"Use a formula in H11 - do not type the answer",IF(AND(ABS(D11-7250)&lt;=0.01,ABS(E11-0.06)&lt;=5e-05,ABS(H11-435)&lt;=0.01),"Correct - value and formula are working","Check: both rates must point to the supplied base.")))</x:f>
        <x:v>Enter the new inputs and a formula first</x:v>
      </x:c>
      <x:c r="J11" s="7" t="str">
        <x:v>Reference the supplied base and sales-tax rate.</x:v>
      </x:c>
      <x:c r="K11" s="7" t="str">
        <x:v>slide 13</x:v>
      </x:c>
    </x:row>
    <x:row r="12">
      <x:c r="A12" s="7" t="n">
        <x:v>7</x:v>
      </x:c>
      <x:c r="B12" s="7" t="inlineStr">
        <x:is>
          <x:t xml:space="preserve">Excise tax</x:t>
        </x:is>
      </x:c>
      <x:c r="C12" s="7" t="str">
        <x:v>D: base cost 7,250; E: excise tax rate 4.5%; H: excise tax.</x:v>
      </x:c>
      <x:c r="D12" s="12" t="n"/>
      <x:c r="E12" s="15" t="n"/>
      <x:c r="F12" s="13" t="n"/>
      <x:c r="G12" s="13" t="n"/>
      <x:c r="H12" s="12" t="n"/>
      <x:c r="I12" s="14" t="str">
        <x:f>IF(COUNT(D12,E12,H12)&lt;3,"Enter the new inputs and a formula first",IF(IFERROR(NOT(ISFORMULA(H12)),FALSE),"Use a formula in H12 - do not type the answer",IF(AND(ABS(D12-7250)&lt;=0.01,ABS(E12-0.045)&lt;=5e-05,ABS(H12-326.25)&lt;=0.01),"Correct - value and formula are working","Check: use the base and excise rate, not a tax-included amount.")))</x:f>
        <x:v>Enter the new inputs and a formula first</x:v>
      </x:c>
      <x:c r="J12" s="7" t="str">
        <x:v>Reference the supplied base and excise-tax rate.</x:v>
      </x:c>
      <x:c r="K12" s="7" t="str">
        <x:v>slide 13</x:v>
      </x:c>
    </x:row>
    <x:row r="13">
      <x:c r="A13" s="7" t="n">
        <x:v>8</x:v>
      </x:c>
      <x:c r="B13" s="7" t="inlineStr">
        <x:is>
          <x:t xml:space="preserve">Excise tax</x:t>
        </x:is>
      </x:c>
      <x:c r="C13" s="7" t="str">
        <x:v>D: base cost 7,250; H: total cost using rows 6 and 7.</x:v>
      </x:c>
      <x:c r="D13" s="12" t="n"/>
      <x:c r="E13" s="13" t="n"/>
      <x:c r="F13" s="13" t="n"/>
      <x:c r="G13" s="13" t="n"/>
      <x:c r="H13" s="12" t="n"/>
      <x:c r="I13" s="14" t="str">
        <x:f>IF(COUNT(D13,H11,H12,H13)&lt;4,"Enter the new inputs and a formula first",IF(IFERROR(NOT(ISFORMULA(H13)),FALSE),"Use a formula in H13 - do not type the answer",IF(AND(ABS(D13-7250)&lt;=0.01,ABS(H13-8011.25)&lt;=0.01),"Correct - value and formula are working","Check: add the base and both separate tax results.")))</x:f>
        <x:v>Enter the new inputs and a formula first</x:v>
      </x:c>
      <x:c r="J13" s="7" t="str">
        <x:v>Reference the base and both separate tax results.</x:v>
      </x:c>
      <x:c r="K13" s="7" t="str">
        <x:v>slide 13</x:v>
      </x:c>
    </x:row>
    <x:row r="14">
      <x:c r="A14" s="7" t="n">
        <x:v>9</x:v>
      </x:c>
      <x:c r="B14" s="7" t="inlineStr">
        <x:is>
          <x:t xml:space="preserve">Property tax</x:t>
        </x:is>
      </x:c>
      <x:c r="C14" s="7" t="str">
        <x:v>D: market value 540,000; E: assessment rate 32%; H: assessed value.</x:v>
      </x:c>
      <x:c r="D14" s="12" t="n"/>
      <x:c r="E14" s="15" t="n"/>
      <x:c r="F14" s="13" t="n"/>
      <x:c r="G14" s="13" t="n"/>
      <x:c r="H14" s="12" t="n"/>
      <x:c r="I14" s="14" t="str">
        <x:f>IF(COUNT(D14,E14,H14)&lt;3,"Enter the new inputs and a formula first",IF(IFERROR(NOT(ISFORMULA(H14)),FALSE),"Use a formula in H14 - do not type the answer",IF(AND(ABS(D14-540000)&lt;=0.01,ABS(E14-0.32)&lt;=5e-05,ABS(H14-172800)&lt;=0.01),"Correct - value and formula are working","Check: multiply market value by the supplied assessment rate.")))</x:f>
        <x:v>Enter the new inputs and a formula first</x:v>
      </x:c>
      <x:c r="J14" s="7" t="str">
        <x:v>Reference market value and the supplied assessment rate.</x:v>
      </x:c>
      <x:c r="K14" s="7" t="str">
        <x:v>slide 17</x:v>
      </x:c>
    </x:row>
    <x:row r="15">
      <x:c r="A15" s="7" t="n">
        <x:v>10</x:v>
      </x:c>
      <x:c r="B15" s="7" t="inlineStr">
        <x:is>
          <x:t xml:space="preserve">Property tax</x:t>
        </x:is>
      </x:c>
      <x:c r="C15" s="7" t="str">
        <x:v>D: town budget 234,500; E: total assessed value 3,450,000; H: rounded rate.</x:v>
      </x:c>
      <x:c r="D15" s="12" t="n"/>
      <x:c r="E15" s="12" t="n"/>
      <x:c r="F15" s="13" t="n"/>
      <x:c r="G15" s="13" t="n"/>
      <x:c r="H15" s="16" t="n"/>
      <x:c r="I15" s="14" t="str">
        <x:f>IF(COUNT(D15,E15,H15)&lt;3,"Enter the new inputs and a formula first",IF(IFERROR(NOT(ISFORMULA(H15)),FALSE),"Use a formula in H15 - do not type the answer",IF(AND(ABS(D15-234500)&lt;=0.01,ABS(E15-3450000)&lt;=0.01,ABS(H15-0.068)&lt;=5e-05),"Correct - value and formula are working","Check: round budget divided by total assessed value to four decimals.")))</x:f>
        <x:v>Enter the new inputs and a formula first</x:v>
      </x:c>
      <x:c r="J15" s="7" t="str">
        <x:v>Use ROUND on budget divided by total assessed value.</x:v>
      </x:c>
      <x:c r="K15" s="7" t="str">
        <x:v>slide 17</x:v>
      </x:c>
    </x:row>
    <x:row r="16">
      <x:c r="A16" s="7" t="n">
        <x:v>11</x:v>
      </x:c>
      <x:c r="B16" s="7" t="inlineStr">
        <x:is>
          <x:t xml:space="preserve">Property tax</x:t>
        </x:is>
      </x:c>
      <x:c r="C16" s="7" t="str">
        <x:v>H: annual tax due using row 9 assessed value and row 10 rounded rate.</x:v>
      </x:c>
      <x:c r="D16" s="13" t="n"/>
      <x:c r="E16" s="13" t="n"/>
      <x:c r="F16" s="13" t="n"/>
      <x:c r="G16" s="13" t="n"/>
      <x:c r="H16" s="12" t="n"/>
      <x:c r="I16" s="14" t="str">
        <x:f>IF(COUNT(H14,H15,H16)&lt;3,"Enter the new inputs and a formula first",IF(IFERROR(NOT(ISFORMULA(H16)),FALSE),"Use a formula in H16 - do not type the answer",IF(AND(ABS(H16-11750.4)&lt;=0.01),"Correct - value and formula are working","Check: multiply assessed value by the rounded rate.")))</x:f>
        <x:v>Enter the new inputs and a formula first</x:v>
      </x:c>
      <x:c r="J16" s="7" t="str">
        <x:v>Reference the assessed value and rounded-rate results.</x:v>
      </x:c>
      <x:c r="K16" s="7" t="str">
        <x:v>slide 17</x:v>
      </x:c>
    </x:row>
  </x:sheetData>
  <x:mergeCells>
    <x:mergeCell ref="A1:K1"/>
    <x:mergeCell ref="A3:K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hidden="0" customWidth="1"/>
    <x:col min="2" max="2" width="14" hidden="0" customWidth="1"/>
    <x:col min="3" max="3" width="37" hidden="0" customWidth="1"/>
    <x:col min="4" max="4" width="17" hidden="0" customWidth="1"/>
    <x:col min="5" max="5" width="18" hidden="0" customWidth="1"/>
    <x:col min="6" max="6" width="17" hidden="0" customWidth="1"/>
    <x:col min="7" max="7" width="18" hidden="0" customWidth="1"/>
    <x:col min="8" max="8" width="34" hidden="0" customWidth="1"/>
    <x:col min="9" max="9" width="17" hidden="0" customWidth="1"/>
    <x:col min="10" max="10" width="16" hidden="0" customWidth="1"/>
    <x:col min="11" max="11" width="23" hidden="0" customWidth="1"/>
    <x:col min="12" max="12" width="18" hidden="0" customWidth="1"/>
  </x:cols>
  <x:sheetData>
    <x:row r="1" ht="36" customHeight="1">
      <x:c r="A1" s="104" t="str">
        <x:v>MATH-M07 - Class Challenge | Tax Compliance Audit</x:v>
      </x:c>
      <x:c r="B1" s="104"/>
      <x:c r="C1" s="104"/>
      <x:c r="D1" s="104"/>
      <x:c r="E1" s="104"/>
      <x:c r="F1" s="104"/>
      <x:c r="G1" s="104"/>
      <x:c r="H1" s="104"/>
      <x:c r="I1" s="104"/>
      <x:c r="J1" s="104"/>
      <x:c r="K1" s="104"/>
      <x:c r="L1" s="104"/>
    </x:row>
    <x:row r="2">
      <x:c r="A2" s="20"/>
      <x:c r="B2" s="20"/>
      <x:c r="C2" s="20"/>
      <x:c r="D2" s="20"/>
      <x:c r="E2" s="20"/>
      <x:c r="F2" s="20"/>
      <x:c r="G2" s="20"/>
      <x:c r="H2" s="20"/>
      <x:c r="I2" s="20"/>
      <x:c r="J2" s="20"/>
      <x:c r="K2" s="20"/>
      <x:c r="L2" s="20"/>
    </x:row>
    <x:row r="3" ht="38" customHeight="1">
      <x:c r="A3" s="107" t="str">
        <x:v>Work in pairs: complete R01-R03, then choose one of R04-R06. Finish the remaining records for homework. Enter 0 for OK or 1 for ERROR, repair every formula, compute the adjustment, and reconcile to the control total.</x:v>
      </x:c>
      <x:c r="B3" s="107"/>
      <x:c r="C3" s="107"/>
      <x:c r="D3" s="107"/>
      <x:c r="E3" s="107"/>
      <x:c r="F3" s="107"/>
      <x:c r="G3" s="107"/>
      <x:c r="H3" s="107"/>
      <x:c r="I3" s="107"/>
      <x:c r="J3" s="107"/>
      <x:c r="K3" s="107"/>
      <x:c r="L3" s="107"/>
    </x:row>
    <x:row r="4" ht="32" customHeight="1">
      <x:c r="A4" s="110" t="str">
        <x:v>All cases use the supplied training-jurisdiction rules. Blue-gray cells are source data and stay unchanged. Yellow cells are your audit work. Corrected liabilities must be formulas, not typed answers.</x:v>
      </x:c>
      <x:c r="B4" s="110"/>
      <x:c r="C4" s="110"/>
      <x:c r="D4" s="110"/>
      <x:c r="E4" s="110"/>
      <x:c r="F4" s="110"/>
      <x:c r="G4" s="110"/>
      <x:c r="H4" s="110"/>
      <x:c r="I4" s="110"/>
      <x:c r="J4" s="110"/>
      <x:c r="K4" s="110"/>
      <x:c r="L4" s="110"/>
    </x:row>
    <x:row r="5">
      <x:c r="A5" s="113" t="str">
        <x:v>SUPPLIED SOURCE DATA + FILED CALCULATION</x:v>
      </x:c>
      <x:c r="B5" s="114"/>
      <x:c r="C5" s="114"/>
      <x:c r="D5" s="114"/>
      <x:c r="E5" s="114"/>
      <x:c r="F5" s="114"/>
      <x:c r="G5" s="114"/>
      <x:c r="H5" s="114"/>
      <x:c r="I5" s="115"/>
      <x:c r="J5" s="118" t="str">
        <x:v>STUDENT AUDIT REPAIRS</x:v>
      </x:c>
      <x:c r="K5" s="119"/>
      <x:c r="L5" s="120"/>
    </x:row>
    <x:row r="6" ht="42" customHeight="1">
      <x:c r="A6" s="126" t="str">
        <x:v>Record</x:v>
      </x:c>
      <x:c r="B6" s="127" t="str">
        <x:v>Tax area</x:v>
      </x:c>
      <x:c r="C6" s="127" t="str">
        <x:v>Audit case</x:v>
      </x:c>
      <x:c r="D6" s="127" t="str">
        <x:v>Amount / market value</x:v>
      </x:c>
      <x:c r="E6" s="127" t="str">
        <x:v>Discount / assessment rate</x:v>
      </x:c>
      <x:c r="F6" s="127" t="str">
        <x:v>Tax rate / town budget</x:v>
      </x:c>
      <x:c r="G6" s="127" t="str">
        <x:v>Second rate / total AV</x:v>
      </x:c>
      <x:c r="H6" s="127" t="str">
        <x:v>Filed formula</x:v>
      </x:c>
      <x:c r="I6" s="127" t="str">
        <x:v>Reported liability</x:v>
      </x:c>
      <x:c r="J6" s="127" t="str">
        <x:v>Finding code
0=OK · 1=ERROR</x:v>
      </x:c>
      <x:c r="K6" s="127" t="str">
        <x:v>Corrected liability formula</x:v>
      </x:c>
      <x:c r="L6" s="128" t="str">
        <x:v>Adjustment
(corrected - reported)</x:v>
      </x:c>
    </x:row>
    <x:row r="7" ht="42" customHeight="1">
      <x:c r="A7" s="131" t="str">
        <x:v>R01</x:v>
      </x:c>
      <x:c r="B7" s="143" t="str">
        <x:v>Sales tax</x:v>
      </x:c>
      <x:c r="C7" s="143" t="str">
        <x:v>Tidal invoice: $1,200 less $180 trade discount; tax liability only</x:v>
      </x:c>
      <x:c r="D7" s="152" t="n">
        <x:v>1200</x:v>
      </x:c>
      <x:c r="E7" s="152" t="n">
        <x:v>180</x:v>
      </x:c>
      <x:c r="F7" s="161" t="n">
        <x:v>0.0625</x:v>
      </x:c>
      <x:c r="G7" s="161"/>
      <x:c r="H7" s="149" t="str">
        <x:v>=ROUND((D7-E7)*F7,2)</x:v>
      </x:c>
      <x:c r="I7" s="152" t="n">
        <x:f>ROUND((D7-E7)*F7,2)</x:f>
        <x:v>63.75</x:v>
      </x:c>
      <x:c r="J7" s="133"/>
      <x:c r="K7" s="155"/>
      <x:c r="L7" s="156"/>
    </x:row>
    <x:row r="8" ht="42" customHeight="1">
      <x:c r="A8" s="135" t="str">
        <x:v>R02</x:v>
      </x:c>
      <x:c r="B8" s="144" t="str">
        <x:v>Sales tax</x:v>
      </x:c>
      <x:c r="C8" s="144" t="str">
        <x:v>Tidal order: $480 less $80 trade discount; tax liability only</x:v>
      </x:c>
      <x:c r="D8" s="153" t="n">
        <x:v>480</x:v>
      </x:c>
      <x:c r="E8" s="153" t="n">
        <x:v>80</x:v>
      </x:c>
      <x:c r="F8" s="162" t="n">
        <x:v>0.06</x:v>
      </x:c>
      <x:c r="G8" s="162"/>
      <x:c r="H8" s="150" t="str">
        <x:v>=ROUND(D8*F8,2)</x:v>
      </x:c>
      <x:c r="I8" s="153" t="n">
        <x:f>ROUND(D8*F8,2)</x:f>
        <x:v>28.8</x:v>
      </x:c>
      <x:c r="J8" s="137"/>
      <x:c r="K8" s="157"/>
      <x:c r="L8" s="158"/>
    </x:row>
    <x:row r="9" ht="42" customHeight="1">
      <x:c r="A9" s="135" t="str">
        <x:v>R03</x:v>
      </x:c>
      <x:c r="B9" s="144" t="str">
        <x:v>Sales tax</x:v>
      </x:c>
      <x:c r="C9" s="144" t="str">
        <x:v>Tidal register: tax is included in $78,625 total receipts</x:v>
      </x:c>
      <x:c r="D9" s="153" t="n">
        <x:v>78625</x:v>
      </x:c>
      <x:c r="E9" s="162"/>
      <x:c r="F9" s="162" t="n">
        <x:v>0.0625</x:v>
      </x:c>
      <x:c r="G9" s="162"/>
      <x:c r="H9" s="150" t="str">
        <x:v>=ROUND(D9-D9/(1+F9),2)</x:v>
      </x:c>
      <x:c r="I9" s="153" t="n">
        <x:f>ROUND(D9-D9/(1+F9),2)</x:f>
        <x:v>4625</x:v>
      </x:c>
      <x:c r="J9" s="137"/>
      <x:c r="K9" s="157"/>
      <x:c r="L9" s="158"/>
    </x:row>
    <x:row r="10" ht="42" customHeight="1">
      <x:c r="A10" s="135" t="str">
        <x:v>R04</x:v>
      </x:c>
      <x:c r="B10" s="144" t="str">
        <x:v>Excise tax</x:v>
      </x:c>
      <x:c r="C10" s="144" t="str">
        <x:v>Meridian appliance: 7% sales and 8% excise tax share a $6,200 base</x:v>
      </x:c>
      <x:c r="D10" s="153" t="n">
        <x:v>6200</x:v>
      </x:c>
      <x:c r="E10" s="162"/>
      <x:c r="F10" s="162" t="n">
        <x:v>0.07</x:v>
      </x:c>
      <x:c r="G10" s="162" t="n">
        <x:v>0.08</x:v>
      </x:c>
      <x:c r="H10" s="150" t="str">
        <x:v>=ROUND(D10*(F10+G10),2)</x:v>
      </x:c>
      <x:c r="I10" s="153" t="n">
        <x:f>ROUND(D10*(F10+G10),2)</x:f>
        <x:v>930</x:v>
      </x:c>
      <x:c r="J10" s="137"/>
      <x:c r="K10" s="157"/>
      <x:c r="L10" s="158"/>
    </x:row>
    <x:row r="11" ht="42" customHeight="1">
      <x:c r="A11" s="135" t="str">
        <x:v>R05</x:v>
      </x:c>
      <x:c r="B11" s="144" t="str">
        <x:v>Excise tax</x:v>
      </x:c>
      <x:c r="C11" s="144" t="str">
        <x:v>Meridian equipment: 7% sales and 9% excise tax share an $8,400 base</x:v>
      </x:c>
      <x:c r="D11" s="153" t="n">
        <x:v>8400</x:v>
      </x:c>
      <x:c r="E11" s="162"/>
      <x:c r="F11" s="162" t="n">
        <x:v>0.07</x:v>
      </x:c>
      <x:c r="G11" s="162" t="n">
        <x:v>0.09</x:v>
      </x:c>
      <x:c r="H11" s="150" t="str">
        <x:v>=ROUND(D11*F11+(D11+D11*F11)*G11,2)</x:v>
      </x:c>
      <x:c r="I11" s="153" t="n">
        <x:f>ROUND(D11*F11+(D11+D11*F11)*G11,2)</x:f>
        <x:v>1396.92</x:v>
      </x:c>
      <x:c r="J11" s="137"/>
      <x:c r="K11" s="157"/>
      <x:c r="L11" s="158"/>
    </x:row>
    <x:row r="12" ht="42" customHeight="1">
      <x:c r="A12" s="139" t="str">
        <x:v>R06</x:v>
      </x:c>
      <x:c r="B12" s="145" t="str">
        <x:v>Property tax</x:v>
      </x:c>
      <x:c r="C12" s="145" t="str">
        <x:v>Meridian office: annual property tax using assessed value and a 4-decimal rate</x:v>
      </x:c>
      <x:c r="D12" s="154" t="n">
        <x:v>820000</x:v>
      </x:c>
      <x:c r="E12" s="163" t="n">
        <x:v>0.4</x:v>
      </x:c>
      <x:c r="F12" s="154" t="n">
        <x:v>310000</x:v>
      </x:c>
      <x:c r="G12" s="154" t="n">
        <x:v>4750000</x:v>
      </x:c>
      <x:c r="H12" s="151" t="str">
        <x:v>=ROUND(D12*ROUND(F12/G12,4),2)</x:v>
      </x:c>
      <x:c r="I12" s="154" t="n">
        <x:f>ROUND(D12*ROUND(F12/G12,4),2)</x:f>
        <x:v>53546</x:v>
      </x:c>
      <x:c r="J12" s="141"/>
      <x:c r="K12" s="159"/>
      <x:c r="L12" s="160"/>
    </x:row>
    <x:row r="13">
      <x:c r="A13" s="20"/>
      <x:c r="B13" s="20"/>
      <x:c r="C13" s="20"/>
      <x:c r="D13" s="20"/>
      <x:c r="E13" s="20"/>
      <x:c r="F13" s="20"/>
      <x:c r="G13" s="20"/>
      <x:c r="H13" s="20"/>
      <x:c r="I13" s="20"/>
      <x:c r="J13" s="20"/>
      <x:c r="K13" s="20"/>
      <x:c r="L13" s="20"/>
    </x:row>
    <x:row r="14">
      <x:c r="A14" s="20"/>
      <x:c r="B14" s="20"/>
      <x:c r="C14" s="20"/>
      <x:c r="D14" s="20"/>
      <x:c r="E14" s="20"/>
      <x:c r="F14" s="20"/>
      <x:c r="G14" s="20"/>
      <x:c r="H14" s="20"/>
      <x:c r="I14" s="20"/>
      <x:c r="J14" s="20"/>
      <x:c r="K14" s="20"/>
      <x:c r="L14" s="20"/>
    </x:row>
    <x:row r="15">
      <x:c r="A15" s="166" t="str">
        <x:v>LIABILITY RECONCILIATION</x:v>
      </x:c>
      <x:c r="B15" s="167"/>
      <x:c r="C15" s="167"/>
      <x:c r="D15" s="167"/>
      <x:c r="E15" s="167"/>
      <x:c r="F15" s="167"/>
      <x:c r="G15" s="167"/>
      <x:c r="H15" s="167"/>
      <x:c r="I15" s="167"/>
      <x:c r="J15" s="167"/>
      <x:c r="K15" s="167"/>
      <x:c r="L15" s="168"/>
    </x:row>
    <x:row r="16">
      <x:c r="A16" s="131" t="str">
        <x:v>Reported liability total (supplied)</x:v>
      </x:c>
      <x:c r="B16" s="132"/>
      <x:c r="C16" s="132"/>
      <x:c r="D16" s="152" t="n">
        <x:f>SUM(I7:I12)</x:f>
        <x:v>60590.47</x:v>
      </x:c>
      <x:c r="E16" s="132" t="str">
        <x:v>Control total (supplied)</x:v>
      </x:c>
      <x:c r="F16" s="132"/>
      <x:c r="G16" s="132"/>
      <x:c r="H16" s="152" t="n">
        <x:v>28405.15</x:v>
      </x:c>
      <x:c r="I16" s="133" t="str">
        <x:v>Corrected total</x:v>
      </x:c>
      <x:c r="J16" s="133"/>
      <x:c r="K16" s="156"/>
      <x:c r="L16" s="20"/>
    </x:row>
    <x:row r="17">
      <x:c r="A17" s="87"/>
      <x:c r="B17" s="169"/>
      <x:c r="C17" s="169"/>
      <x:c r="D17" s="169"/>
      <x:c r="E17" s="169"/>
      <x:c r="F17" s="169"/>
      <x:c r="G17" s="169"/>
      <x:c r="H17" s="169"/>
      <x:c r="I17" s="137" t="str">
        <x:v>Net adjustment</x:v>
      </x:c>
      <x:c r="J17" s="137"/>
      <x:c r="K17" s="158"/>
      <x:c r="L17" s="20"/>
    </x:row>
    <x:row r="18">
      <x:c r="A18" s="87"/>
      <x:c r="B18" s="169"/>
      <x:c r="C18" s="169"/>
      <x:c r="D18" s="169"/>
      <x:c r="E18" s="169"/>
      <x:c r="F18" s="169"/>
      <x:c r="G18" s="169"/>
      <x:c r="H18" s="169"/>
      <x:c r="I18" s="137" t="str">
        <x:v>Corrected from reported</x:v>
      </x:c>
      <x:c r="J18" s="137"/>
      <x:c r="K18" s="158"/>
      <x:c r="L18" s="20"/>
    </x:row>
    <x:row r="19">
      <x:c r="A19" s="89"/>
      <x:c r="B19" s="90"/>
      <x:c r="C19" s="90"/>
      <x:c r="D19" s="90"/>
      <x:c r="E19" s="90"/>
      <x:c r="F19" s="90"/>
      <x:c r="G19" s="90"/>
      <x:c r="H19" s="90"/>
      <x:c r="I19" s="170" t="str">
        <x:v>Reconciliation difference</x:v>
      </x:c>
      <x:c r="J19" s="170"/>
      <x:c r="K19" s="171"/>
      <x:c r="L19" s="20"/>
    </x:row>
    <x:row r="20">
      <x:c r="A20" s="20"/>
      <x:c r="B20" s="20"/>
      <x:c r="C20" s="20"/>
      <x:c r="D20" s="20"/>
      <x:c r="E20" s="20"/>
      <x:c r="F20" s="20"/>
      <x:c r="G20" s="20"/>
      <x:c r="H20" s="20"/>
      <x:c r="I20" s="20"/>
      <x:c r="J20" s="20"/>
      <x:c r="K20" s="20"/>
      <x:c r="L20" s="20"/>
    </x:row>
    <x:row r="21" ht="32" customHeight="1">
      <x:c r="A21" s="174" t="str">
        <x:v>AUDIT NOTE
In 8+ words, identify the most consequential issue and explain why.</x:v>
      </x:c>
      <x:c r="B21" s="175"/>
      <x:c r="C21" s="175"/>
      <x:c r="D21" s="176"/>
      <x:c r="E21" s="176"/>
      <x:c r="F21" s="176"/>
      <x:c r="G21" s="176"/>
      <x:c r="H21" s="176"/>
      <x:c r="I21" s="176"/>
      <x:c r="J21" s="176"/>
      <x:c r="K21" s="176"/>
      <x:c r="L21" s="177"/>
    </x:row>
    <x:row r="22" ht="32" customHeight="1">
      <x:c r="A22" s="178"/>
      <x:c r="B22" s="179"/>
      <x:c r="C22" s="179"/>
      <x:c r="D22" s="180"/>
      <x:c r="E22" s="180"/>
      <x:c r="F22" s="180"/>
      <x:c r="G22" s="180"/>
      <x:c r="H22" s="180"/>
      <x:c r="I22" s="180"/>
      <x:c r="J22" s="180"/>
      <x:c r="K22" s="180"/>
      <x:c r="L22" s="181"/>
    </x:row>
    <x:row r="23">
      <x:c r="A23" s="20"/>
      <x:c r="B23" s="20"/>
      <x:c r="C23" s="20"/>
      <x:c r="D23" s="20"/>
      <x:c r="E23" s="20"/>
      <x:c r="F23" s="20"/>
      <x:c r="G23" s="20"/>
      <x:c r="H23" s="20"/>
      <x:c r="I23" s="20"/>
      <x:c r="J23" s="20"/>
      <x:c r="K23" s="20"/>
      <x:c r="L23" s="20"/>
    </x:row>
    <x:row r="24">
      <x:c r="A24" s="20"/>
      <x:c r="B24" s="20"/>
      <x:c r="C24" s="20"/>
      <x:c r="D24" s="20"/>
      <x:c r="E24" s="20"/>
      <x:c r="F24" s="20"/>
      <x:c r="G24" s="20"/>
      <x:c r="H24" s="20"/>
      <x:c r="I24" s="20"/>
      <x:c r="J24" s="20"/>
      <x:c r="K24" s="20"/>
      <x:c r="L24" s="20"/>
    </x:row>
  </x:sheetData>
  <x:mergeCells>
    <x:mergeCell ref="A16:C16"/>
    <x:mergeCell ref="E16:G16"/>
    <x:mergeCell ref="I16:J16"/>
    <x:mergeCell ref="I17:J17"/>
    <x:mergeCell ref="I18:J18"/>
    <x:mergeCell ref="I19:J19"/>
    <x:mergeCell ref="A21:C22"/>
    <x:mergeCell ref="A1:L1"/>
    <x:mergeCell ref="A3:L3"/>
    <x:mergeCell ref="A4:L4"/>
    <x:mergeCell ref="A5:I5"/>
    <x:mergeCell ref="J5:L5"/>
    <x:mergeCell ref="A15:L15"/>
    <x:mergeCell ref="D21:L22"/>
  </x:mergeCells>
  <x:dataValidations count="1">
    <x:dataValidation type="list" sqref="J7:J12">
      <x:formula1>"0,1"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customWidth="1"/>
    <x:col min="2" max="2" width="36" customWidth="1"/>
    <x:col min="3" max="3" width="44" customWidth="1"/>
    <x:col min="4" max="4" width="38" customWidth="1"/>
  </x:cols>
  <x:sheetData>
    <x:row r="1" ht="34" customHeight="1">
      <x:c r="A1" s="1" t="inlineStr">
        <x:is>
          <x:t xml:space="preserve">MATH-M07 - FormulaReferenceCard</x:t>
        </x:is>
      </x:c>
      <x:c r="B1" s="2" t="n"/>
      <x:c r="C1" s="2" t="n"/>
      <x:c r="D1" s="2" t="n"/>
    </x:row>
    <x:row r="2">
      <x:c r="A2" s="3" t="n"/>
      <x:c r="B2" s="3" t="n"/>
      <x:c r="C2" s="3" t="n"/>
      <x:c r="D2" s="3" t="n"/>
    </x:row>
    <x:row r="3">
      <x:c r="A3" s="11" t="inlineStr">
        <x:is>
          <x:t xml:space="preserve">Concept</x:t>
        </x:is>
      </x:c>
      <x:c r="B3" s="11" t="inlineStr">
        <x:is>
          <x:t xml:space="preserve">Excel Pattern</x:t>
        </x:is>
      </x:c>
      <x:c r="C3" s="11" t="inlineStr">
        <x:is>
          <x:t xml:space="preserve">Plain-English Meaning</x:t>
        </x:is>
      </x:c>
      <x:c r="D3" s="11" t="inlineStr">
        <x:is>
          <x:t xml:space="preserve">Watch Out For</x:t>
        </x:is>
      </x:c>
    </x:row>
    <x:row r="4">
      <x:c r="A4" s="7" t="inlineStr">
        <x:is>
          <x:t xml:space="preserve">Taxable subtotal</x:t>
        </x:is>
      </x:c>
      <x:c r="B4" s="17" t="inlineStr">
        <x:is>
          <x:t xml:space="preserve">=Price-Discount</x:t>
        </x:is>
      </x:c>
      <x:c r="C4" s="7" t="inlineStr">
        <x:is>
          <x:t xml:space="preserve">Finds the amount subject to sales tax.</x:t>
        </x:is>
      </x:c>
      <x:c r="D4" s="7" t="str">
        <x:v>Apply qualifying discounts before tax under the supplied rule.</x:v>
      </x:c>
    </x:row>
    <x:row r="5">
      <x:c r="A5" s="7" t="inlineStr">
        <x:is>
          <x:t xml:space="preserve">Sales tax owed</x:t>
        </x:is>
      </x:c>
      <x:c r="B5" s="17" t="inlineStr">
        <x:is>
          <x:t xml:space="preserve">=Taxable*Rate</x:t>
        </x:is>
      </x:c>
      <x:c r="C5" s="7" t="inlineStr">
        <x:is>
          <x:t xml:space="preserve">Calculates the tax on the taxable subtotal.</x:t>
        </x:is>
      </x:c>
      <x:c r="D5" s="7" t="str">
        <x:v>Use the tax rate as a decimal and the taxable subtotal as the base.</x:v>
      </x:c>
    </x:row>
    <x:row r="6">
      <x:c r="A6" s="7" t="inlineStr">
        <x:is>
          <x:t xml:space="preserve">Total price</x:t>
        </x:is>
      </x:c>
      <x:c r="B6" s="17" t="inlineStr">
        <x:is>
          <x:t xml:space="preserve">=Taxable+Tax+Shipping</x:t>
        </x:is>
      </x:c>
      <x:c r="C6" s="7" t="inlineStr">
        <x:is>
          <x:t xml:space="preserve">Adds taxable amount, tax, and shipping.</x:t>
        </x:is>
      </x:c>
      <x:c r="D6" s="7" t="str">
        <x:v>Add shipping after tax under the supplied rule.</x:v>
      </x:c>
    </x:row>
    <x:row r="7">
      <x:c r="A7" s="7" t="inlineStr">
        <x:is>
          <x:t xml:space="preserve">Back-calculate sales</x:t>
        </x:is>
      </x:c>
      <x:c r="B7" s="17" t="inlineStr">
        <x:is>
          <x:t xml:space="preserve">=TotalReceipts/(1+Rate)</x:t>
        </x:is>
      </x:c>
      <x:c r="C7" s="7" t="inlineStr">
        <x:is>
          <x:t xml:space="preserve">Finds sales before tax from total receipts.</x:t>
        </x:is>
      </x:c>
      <x:c r="D7" s="7" t="str">
        <x:v>Do not divide receipts by the tax rate alone.</x:v>
      </x:c>
    </x:row>
    <x:row r="8">
      <x:c r="A8" s="7" t="inlineStr">
        <x:is>
          <x:t xml:space="preserve">Tax remittance</x:t>
        </x:is>
      </x:c>
      <x:c r="B8" s="17" t="inlineStr">
        <x:is>
          <x:t xml:space="preserve">=Receipts-PreTaxSales</x:t>
        </x:is>
      </x:c>
      <x:c r="C8" s="7" t="inlineStr">
        <x:is>
          <x:t xml:space="preserve">Finds tax collected and owed to the government.</x:t>
        </x:is>
      </x:c>
      <x:c r="D8" s="7" t="str">
        <x:v>Collected tax is a liability, not revenue.</x:v>
      </x:c>
    </x:row>
    <x:row r="9">
      <x:c r="A9" s="7" t="inlineStr">
        <x:is>
          <x:t xml:space="preserve">Separate excise taxes</x:t>
        </x:is>
      </x:c>
      <x:c r="B9" s="17" t="inlineStr">
        <x:is>
          <x:t xml:space="preserve">=Base*SalesRate and =Base*ExciseRate</x:t>
        </x:is>
      </x:c>
      <x:c r="C9" s="7" t="inlineStr">
        <x:is>
          <x:t xml:space="preserve">Calculates both tax amounts from the same base.</x:t>
        </x:is>
      </x:c>
      <x:c r="D9" s="7" t="str">
        <x:v>Use only when the scenario says both taxes share one base.</x:v>
      </x:c>
    </x:row>
    <x:row r="10">
      <x:c r="A10" s="7" t="inlineStr">
        <x:is>
          <x:t xml:space="preserve">Combined excise shortcut</x:t>
        </x:is>
      </x:c>
      <x:c r="B10" s="17" t="inlineStr">
        <x:is>
          <x:t xml:space="preserve">=Base*(1+SalesRate+ExciseRate)</x:t>
        </x:is>
      </x:c>
      <x:c r="C10" s="7" t="inlineStr">
        <x:is>
          <x:t xml:space="preserve">Combines rates when they share one base.</x:t>
        </x:is>
      </x:c>
      <x:c r="D10" s="7" t="str">
        <x:v>The shortcut is valid only under the supplied same-base rule.</x:v>
      </x:c>
    </x:row>
    <x:row r="11">
      <x:c r="A11" s="7" t="inlineStr">
        <x:is>
          <x:t xml:space="preserve">Assessed value</x:t>
        </x:is>
      </x:c>
      <x:c r="B11" s="17" t="inlineStr">
        <x:is>
          <x:t xml:space="preserve">=MarketValue*AssessmentRate</x:t>
        </x:is>
      </x:c>
      <x:c r="C11" s="7" t="inlineStr">
        <x:is>
          <x:t xml:space="preserve">Converts market value to taxable assessed value.</x:t>
        </x:is>
      </x:c>
      <x:c r="D11" s="7" t="str">
        <x:v>Use the assessment rule supplied by the training municipality.</x:v>
      </x:c>
    </x:row>
    <x:row r="12">
      <x:c r="A12" s="7" t="inlineStr">
        <x:is>
          <x:t xml:space="preserve">Property tax rate</x:t>
        </x:is>
      </x:c>
      <x:c r="B12" s="17" t="inlineStr">
        <x:is>
          <x:t xml:space="preserve">=ROUND(Budget/TotalAV,4)</x:t>
        </x:is>
      </x:c>
      <x:c r="C12" s="7" t="inlineStr">
        <x:is>
          <x:t xml:space="preserve">Rounds the municipal tax rate to four decimals.</x:t>
        </x:is>
      </x:c>
      <x:c r="D12" s="7" t="str">
        <x:v>Round the rate before applying it to assessed value.</x:v>
      </x:c>
    </x:row>
    <x:row r="13">
      <x:c r="A13" s="7" t="inlineStr">
        <x:is>
          <x:t xml:space="preserve">Annual property tax</x:t>
        </x:is>
      </x:c>
      <x:c r="B13" s="17" t="inlineStr">
        <x:is>
          <x:t xml:space="preserve">=RoundedRate*AssessedValue</x:t>
        </x:is>
      </x:c>
      <x:c r="C13" s="7" t="inlineStr">
        <x:is>
          <x:t xml:space="preserve">Calculates annual property tax due.</x:t>
        </x:is>
      </x:c>
      <x:c r="D13" s="7" t="str">
        <x:v>Use assessed value and the rounded rate.</x:v>
      </x:c>
    </x:row>
    <x:row r="14">
      <x:c r="A14" s="7" t="inlineStr">
        <x:is>
          <x:t xml:space="preserve">Monthly NNN reserve</x:t>
        </x:is>
      </x:c>
      <x:c r="B14" s="17" t="inlineStr">
        <x:is>
          <x:t xml:space="preserve">=AnnualTax/12</x:t>
        </x:is>
      </x:c>
      <x:c r="C14" s="7" t="inlineStr">
        <x:is>
          <x:t xml:space="preserve">Converts annual property tax into monthly planning cost.</x:t>
        </x:is>
      </x:c>
      <x:c r="D14" s="7" t="str">
        <x:v>Use for lease cash-flow planning; actual obligations depend on lease terms.</x:v>
      </x:c>
    </x:row>
  </x:sheetData>
  <x:mergeCells>
    <x:mergeCell ref="A1:D1"/>
  </x:mergeCells>
  <x:pageMargins left="0.7" right="0.7" top="0.75" bottom="0.75" header="0.3" footer="0.3"/>
</x:worksheet>
</file>