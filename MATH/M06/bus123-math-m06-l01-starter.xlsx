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COGS Schedule" sheetId="2" state="visible" r:id="rId2"/>
    <sheet xmlns:r="http://schemas.openxmlformats.org/officeDocument/2006/relationships" name="Inventory Methods" sheetId="3" state="visible" r:id="rId3"/>
    <sheet xmlns:r="http://schemas.openxmlformats.org/officeDocument/2006/relationships" name="Overhead Allocation" sheetId="4" state="visible" r:id="rId4"/>
    <sheet xmlns:r="http://schemas.openxmlformats.org/officeDocument/2006/relationships" name="FormulaReferenceCard" sheetId="5" state="visible" r:id="rId5"/>
  </sheets>
  <definedNames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\$#,##0.00"/>
  </numFmts>
  <fonts count="28">
    <font>
      <name val="Calibri"/>
      <color theme="1"/>
      <sz val="11"/>
    </font>
    <font>
      <name val="Calibri"/>
      <b val="1"/>
      <color rgb="FFFFFFFF"/>
      <sz val="18"/>
    </font>
    <font>
      <name val="Calibri"/>
      <i val="1"/>
      <color rgb="FFB8843D"/>
      <sz val="12"/>
    </font>
    <font>
      <name val="Calibri"/>
      <b val="1"/>
      <color rgb="FFFFFFFF"/>
      <sz val="12"/>
    </font>
    <font>
      <name val="Calibri"/>
      <color rgb="FF1A1F2C"/>
      <sz val="11"/>
    </font>
    <font>
      <name val="Calibri"/>
      <b val="1"/>
      <color rgb="FFFFFFFF"/>
      <sz val="11"/>
    </font>
    <font>
      <name val="Calibri"/>
      <color rgb="FF4A7C5E"/>
      <sz val="11"/>
    </font>
    <font>
      <name val="Calibri"/>
      <sz val="11"/>
    </font>
    <font>
      <name val="Calibri"/>
      <b val="1"/>
      <color rgb="FF4A7C5E"/>
      <sz val="12"/>
    </font>
    <font>
      <name val="Calibri"/>
      <b val="1"/>
      <color rgb="FFFFFFFF"/>
      <sz val="16"/>
    </font>
    <font>
      <name val="Calibri"/>
      <i val="1"/>
      <color rgb="FFB8843D"/>
      <sz val="11"/>
    </font>
    <font>
      <name val="Calibri"/>
      <color rgb="FF0000FF"/>
      <sz val="11"/>
    </font>
    <font>
      <name val="Calibri"/>
      <b val="1"/>
      <color rgb="FF1A5C35"/>
      <sz val="11"/>
    </font>
    <font>
      <name val="Calibri"/>
      <i val="1"/>
      <color rgb="FF8A8A8A"/>
      <sz val="10"/>
    </font>
    <font>
      <name val="Calibri"/>
      <b val="1"/>
      <color rgb="FF0E1116"/>
      <sz val="11"/>
    </font>
    <font>
      <name val="Calibri"/>
      <color rgb="FF1A5C35"/>
      <sz val="11"/>
    </font>
    <font>
      <name val="Calibri"/>
      <color rgb="FF000000"/>
      <sz val="11"/>
    </font>
    <font>
      <name val="Calibri"/>
      <b val="1"/>
      <color rgb="FFB8843D"/>
      <sz val="11"/>
    </font>
    <font>
      <name val="Calibri"/>
      <b val="1"/>
      <color rgb="FF1A1F2C"/>
      <sz val="11"/>
    </font>
    <font>
      <name val="Calibri"/>
      <b val="1"/>
      <color rgb="FF0000FF"/>
      <sz val="12"/>
    </font>
    <font>
      <name val="Calibri"/>
      <i val="1"/>
      <color rgb="FF4A7C5E"/>
      <sz val="11"/>
    </font>
    <font>
      <name val="Calibri"/>
      <b val="1"/>
      <color rgb="FFB8843D"/>
      <sz val="13"/>
    </font>
    <font>
      <name val="Calibri"/>
      <i val="1"/>
      <color rgb="FFFFFFFF"/>
      <sz val="11"/>
    </font>
    <font>
      <name val="Calibri"/>
      <i val="1"/>
      <color rgb="FFB8843D"/>
      <sz val="10"/>
    </font>
    <font>
      <name val="Calibri"/>
      <color rgb="FF0000FF"/>
      <sz val="12"/>
    </font>
    <font>
      <name val="Courier New"/>
      <b val="1"/>
      <color rgb="FF1A5C35"/>
      <sz val="10"/>
    </font>
    <font>
      <name val="Calibri"/>
      <color rgb="FF0000FF"/>
      <sz val="10"/>
    </font>
    <font>
      <name val="Calibri"/>
      <b val="1"/>
      <color rgb="FF355773"/>
      <sz val="11"/>
    </font>
  </fonts>
  <fills count="20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4A7C5E"/>
      </patternFill>
    </fill>
    <fill>
      <patternFill patternType="solid">
        <fgColor rgb="FFD6EDE0"/>
      </patternFill>
    </fill>
    <fill>
      <patternFill patternType="solid">
        <fgColor rgb="FFFAF8F3"/>
      </patternFill>
    </fill>
    <fill>
      <patternFill patternType="solid">
        <fgColor rgb="FFB8843D"/>
      </patternFill>
    </fill>
    <fill>
      <patternFill patternType="solid">
        <fgColor rgb="FFFFD966"/>
      </patternFill>
    </fill>
    <fill>
      <patternFill patternType="solid">
        <fgColor rgb="FFE8F5E9"/>
      </patternFill>
    </fill>
    <fill>
      <patternFill patternType="solid">
        <fgColor rgb="FFFFF8EE"/>
      </patternFill>
    </fill>
    <fill>
      <patternFill patternType="solid">
        <fgColor rgb="FFFBF0DC"/>
      </patternFill>
    </fill>
    <fill>
      <patternFill patternType="solid">
        <fgColor rgb="FF9C4A2B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8">
    <border/>
    <border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</border>
    <border>
      <left style="thin">
        <color rgb="FFD4C9B8"/>
      </left>
      <top style="thin">
        <color rgb="FFD4C9B8"/>
      </top>
      <bottom style="thin">
        <color rgb="FFD4C9B8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  <border>
      <top style="thin">
        <color rgb="FFD4C9B8"/>
      </top>
    </border>
    <border>
      <top style="thin">
        <color rgb="FFD4C9B8"/>
      </top>
      <bottom style="thin">
        <color rgb="FFD4C9B8"/>
      </bottom>
    </border>
    <border>
      <right style="thin">
        <color rgb="FFD4C9B8"/>
      </right>
      <top style="thin">
        <color rgb="FFD4C9B8"/>
      </top>
    </border>
    <border>
      <right style="thin">
        <color rgb="FFD4C9B8"/>
      </right>
      <top style="thin">
        <color rgb="FFD4C9B8"/>
      </top>
      <bottom style="thin">
        <color rgb="FFD4C9B8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0" fillId="2" borderId="0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5" borderId="1" pivotButton="0" quotePrefix="0" xfId="0"/>
    <xf numFmtId="0" fontId="5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3" fontId="11" fillId="7" borderId="1" applyAlignment="1" pivotButton="0" quotePrefix="0" xfId="0">
      <alignment horizontal="center"/>
    </xf>
    <xf numFmtId="3" fontId="12" fillId="8" borderId="1" applyAlignment="1" pivotButton="0" quotePrefix="0" xfId="0">
      <alignment horizontal="center"/>
    </xf>
    <xf numFmtId="0" fontId="4" fillId="9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3" fontId="11" fillId="7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left" vertical="center"/>
    </xf>
    <xf numFmtId="3" fontId="15" fillId="8" borderId="1" applyAlignment="1" pivotButton="0" quotePrefix="0" xfId="0">
      <alignment horizontal="center" vertical="center"/>
    </xf>
    <xf numFmtId="164" fontId="15" fillId="8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5" fontId="11" fillId="7" borderId="1" applyAlignment="1" pivotButton="0" quotePrefix="0" xfId="0">
      <alignment horizontal="center"/>
    </xf>
    <xf numFmtId="165" fontId="12" fillId="8" borderId="1" applyAlignment="1" pivotButton="0" quotePrefix="0" xfId="0">
      <alignment horizontal="center"/>
    </xf>
    <xf numFmtId="0" fontId="4" fillId="9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 vertical="center"/>
    </xf>
    <xf numFmtId="3" fontId="5" fillId="2" borderId="1" applyAlignment="1" pivotButton="0" quotePrefix="0" xfId="0">
      <alignment horizontal="center"/>
    </xf>
    <xf numFmtId="0" fontId="0" fillId="2" borderId="1" pivotButton="0" quotePrefix="0" xfId="0"/>
    <xf numFmtId="165" fontId="17" fillId="2" borderId="1" applyAlignment="1" pivotButton="0" quotePrefix="0" xfId="0">
      <alignment horizontal="center"/>
    </xf>
    <xf numFmtId="3" fontId="19" fillId="7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5" fontId="15" fillId="8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/>
    </xf>
    <xf numFmtId="0" fontId="0" fillId="3" borderId="1" pivotButton="0" quotePrefix="0" xfId="0"/>
    <xf numFmtId="165" fontId="21" fillId="3" borderId="1" applyAlignment="1" pivotButton="0" quotePrefix="0" xfId="0">
      <alignment horizontal="center"/>
    </xf>
    <xf numFmtId="0" fontId="0" fillId="4" borderId="1" pivotButton="0" quotePrefix="0" xfId="0"/>
    <xf numFmtId="0" fontId="4" fillId="10" borderId="1" applyAlignment="1" pivotButton="0" quotePrefix="0" xfId="0">
      <alignment horizontal="left" vertical="center"/>
    </xf>
    <xf numFmtId="3" fontId="15" fillId="8" borderId="1" applyAlignment="1" pivotButton="0" quotePrefix="0" xfId="0">
      <alignment horizontal="center"/>
    </xf>
    <xf numFmtId="166" fontId="15" fillId="8" borderId="1" applyAlignment="1" pivotButton="0" quotePrefix="0" xfId="0">
      <alignment horizontal="center"/>
    </xf>
    <xf numFmtId="0" fontId="18" fillId="10" borderId="1" applyAlignment="1" pivotButton="0" quotePrefix="0" xfId="0">
      <alignment horizontal="left" vertical="center"/>
    </xf>
    <xf numFmtId="166" fontId="11" fillId="7" borderId="1" applyAlignment="1" pivotButton="0" quotePrefix="0" xfId="0">
      <alignment horizontal="center"/>
    </xf>
    <xf numFmtId="164" fontId="11" fillId="7" borderId="1" applyAlignment="1" pivotButton="0" quotePrefix="0" xfId="0">
      <alignment horizontal="center"/>
    </xf>
    <xf numFmtId="0" fontId="0" fillId="9" borderId="1" pivotButton="0" quotePrefix="0" xfId="0"/>
    <xf numFmtId="0" fontId="5" fillId="2" borderId="1" applyAlignment="1" pivotButton="0" quotePrefix="0" xfId="0">
      <alignment horizontal="left" vertical="center"/>
    </xf>
    <xf numFmtId="3" fontId="17" fillId="2" borderId="1" applyAlignment="1" pivotButton="0" quotePrefix="0" xfId="0">
      <alignment horizontal="center"/>
    </xf>
    <xf numFmtId="164" fontId="17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49" fontId="15" fillId="8" borderId="1" applyAlignment="1" pivotButton="0" quotePrefix="0" xfId="0">
      <alignment horizontal="center"/>
    </xf>
    <xf numFmtId="164" fontId="15" fillId="8" borderId="1" applyAlignment="1" pivotButton="0" quotePrefix="0" xfId="0">
      <alignment horizontal="center"/>
    </xf>
    <xf numFmtId="164" fontId="24" fillId="7" borderId="1" applyAlignment="1" pivotButton="0" quotePrefix="0" xfId="0">
      <alignment horizontal="center"/>
    </xf>
    <xf numFmtId="0" fontId="18" fillId="5" borderId="1" applyAlignment="1" pivotButton="0" quotePrefix="0" xfId="0">
      <alignment horizontal="left" vertical="center"/>
    </xf>
    <xf numFmtId="0" fontId="25" fillId="4" borderId="1" applyAlignment="1" pivotButton="0" quotePrefix="0" xfId="0">
      <alignment horizontal="left" vertical="center" wrapText="1"/>
    </xf>
    <xf numFmtId="0" fontId="26" fillId="1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/>
    </xf>
    <xf numFmtId="0" fontId="13" fillId="9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8" fillId="5" borderId="2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13" fillId="9" borderId="2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0" fontId="22" fillId="3" borderId="0" applyAlignment="1" pivotButton="0" quotePrefix="0" xfId="0">
      <alignment horizontal="left" vertical="center"/>
    </xf>
    <xf numFmtId="3" fontId="23" fillId="2" borderId="1" applyAlignment="1" pivotButton="0" quotePrefix="0" xfId="0">
      <alignment horizontal="left" vertical="center"/>
    </xf>
    <xf numFmtId="0" fontId="13" fillId="10" borderId="2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17" fillId="12" borderId="0" pivotButton="0" quotePrefix="0" xfId="0"/>
    <xf numFmtId="0" fontId="17" fillId="12" borderId="0" applyAlignment="1" pivotButton="0" quotePrefix="0" xfId="0">
      <alignment wrapText="1"/>
    </xf>
    <xf numFmtId="0" fontId="0" fillId="13" borderId="0" pivotButton="0" quotePrefix="0" xfId="0"/>
    <xf numFmtId="0" fontId="4" fillId="13" borderId="0" pivotButton="0" quotePrefix="0" xfId="0"/>
    <xf numFmtId="0" fontId="4" fillId="13" borderId="3" pivotButton="0" quotePrefix="0" xfId="0"/>
    <xf numFmtId="0" fontId="4" fillId="13" borderId="3" applyAlignment="1" pivotButton="0" quotePrefix="0" xfId="0">
      <alignment wrapText="1"/>
    </xf>
    <xf numFmtId="0" fontId="4" fillId="14" borderId="3" applyAlignment="1" pivotButton="0" quotePrefix="0" xfId="0">
      <alignment wrapText="1"/>
    </xf>
    <xf numFmtId="0" fontId="27" fillId="14" borderId="3" applyAlignment="1" pivotButton="0" quotePrefix="0" xfId="0">
      <alignment wrapText="1"/>
    </xf>
    <xf numFmtId="0" fontId="4" fillId="15" borderId="3" applyAlignment="1" pivotButton="0" quotePrefix="0" xfId="0">
      <alignment wrapText="1"/>
    </xf>
    <xf numFmtId="0" fontId="0" fillId="16" borderId="0" pivotButton="0" quotePrefix="0" xfId="0"/>
    <xf numFmtId="0" fontId="17" fillId="16" borderId="0" pivotButton="0" quotePrefix="0" xfId="0"/>
    <xf numFmtId="0" fontId="17" fillId="16" borderId="3" pivotButton="0" quotePrefix="0" xfId="0"/>
    <xf numFmtId="0" fontId="17" fillId="16" borderId="3" applyAlignment="1" pivotButton="0" quotePrefix="0" xfId="0">
      <alignment wrapText="1"/>
    </xf>
    <xf numFmtId="0" fontId="0" fillId="17" borderId="0" pivotButton="0" quotePrefix="0" xfId="0"/>
    <xf numFmtId="0" fontId="4" fillId="17" borderId="0" pivotButton="0" quotePrefix="0" xfId="0"/>
    <xf numFmtId="0" fontId="4" fillId="17" borderId="3" pivotButton="0" quotePrefix="0" xfId="0"/>
    <xf numFmtId="0" fontId="4" fillId="17" borderId="3" applyAlignment="1" pivotButton="0" quotePrefix="0" xfId="0">
      <alignment wrapText="1"/>
    </xf>
    <xf numFmtId="0" fontId="4" fillId="18" borderId="3" applyAlignment="1" pivotButton="0" quotePrefix="0" xfId="0">
      <alignment wrapText="1"/>
    </xf>
    <xf numFmtId="0" fontId="27" fillId="18" borderId="3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0" fillId="0" borderId="5" pivotButton="0" quotePrefix="0" xfId="0"/>
    <xf numFmtId="0" fontId="0" fillId="0" borderId="7" pivotButton="0" quotePrefix="0" xfId="0"/>
  </cellXfs>
  <cellStyles count="1">
    <cellStyle name="Normal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35"/>
      <rgbColor rgb="FF000080"/>
      <rgbColor rgb="FFB8843D"/>
      <rgbColor rgb="FF800080"/>
      <rgbColor rgb="FF008080"/>
      <rgbColor rgb="FFD4C9B8"/>
      <rgbColor rgb="FF8A8A8A"/>
      <rgbColor rgb="FF9999FF"/>
      <rgbColor rgb="FF993366"/>
      <rgbColor rgb="FFFFF8EE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8F3"/>
      <rgbColor rgb="FFD6EDE0"/>
      <rgbColor rgb="FFFBF0DC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C5E"/>
      <rgbColor rgb="FF0E1116"/>
      <rgbColor rgb="FF333300"/>
      <rgbColor rgb="FF9C4A2B"/>
      <rgbColor rgb="FF993366"/>
      <rgbColor rgb="FF333399"/>
      <rgbColor rgb="FF1A1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10" defaultColWidth="8.6640625" defaultRowHeight="15"/>
  <cols>
    <col width="28" customWidth="1" min="1" max="1"/>
    <col width="8" customWidth="1" min="2" max="2"/>
    <col width="30" customWidth="1" min="3" max="3"/>
    <col width="15" customWidth="1" min="4" max="7"/>
  </cols>
  <sheetData>
    <row r="1" ht="60" customHeight="1">
      <c r="A1" s="14" t="inlineStr">
        <is>
          <t>BUS123 · MATH-M06 · Tidal Goods Co. — Inventory, Overhead &amp; COGS</t>
        </is>
      </c>
    </row>
    <row r="2" ht="27.75" customHeight="1">
      <c r="A2" s="13" t="inlineStr">
        <is>
          <t>From Raw Data to Management-Ready Reports</t>
        </is>
      </c>
    </row>
    <row r="3" ht="19.5" customHeight="1">
      <c r="A3" s="15" t="n"/>
      <c r="B3" s="15" t="n"/>
      <c r="C3" s="15" t="n"/>
      <c r="D3" s="15" t="n"/>
      <c r="E3" s="15" t="n"/>
      <c r="F3" s="15" t="n"/>
      <c r="G3" s="15" t="n"/>
    </row>
    <row r="4" ht="15.75" customHeight="1"/>
    <row r="5" ht="31.5" customHeight="1">
      <c r="A5" s="12" t="inlineStr">
        <is>
          <t>Learning Objectives</t>
        </is>
      </c>
    </row>
    <row r="6" ht="21.75" customHeight="1">
      <c r="A6" s="11" t="inlineStr">
        <is>
          <t>✓  Calculate COGS using the Beginning Inventory + Purchases − Ending Inventory formula</t>
        </is>
      </c>
    </row>
    <row r="7" ht="21.75" customHeight="1">
      <c r="A7" s="10" t="inlineStr">
        <is>
          <t>✓  Compare inventory values under FIFO and Weighted Average Cost (WAC) methods</t>
        </is>
      </c>
    </row>
    <row r="8" ht="21.75" customHeight="1">
      <c r="A8" s="11" t="inlineStr">
        <is>
          <t>✓  Calculate gross profit margin and markup percentages from cost and revenue data</t>
        </is>
      </c>
    </row>
    <row r="9" ht="21.75" customHeight="1">
      <c r="A9" s="10" t="inlineStr">
        <is>
          <t>✓  Allocate overhead costs across departments using a square footage basis</t>
        </is>
      </c>
    </row>
    <row r="10" ht="21.75" customHeight="1">
      <c r="A10" s="11" t="inlineStr">
        <is>
          <t>✓  Format and present financial data in a clear, professional management report</t>
        </is>
      </c>
    </row>
    <row r="12" ht="19.5" customHeight="1"/>
    <row r="13" ht="31.5" customHeight="1">
      <c r="A13" s="9" t="inlineStr">
        <is>
          <t>How to Use This Workbook</t>
        </is>
      </c>
    </row>
    <row r="14" ht="24" customHeight="1">
      <c r="A14" s="62" t="inlineStr">
        <is>
          <t>Tab</t>
        </is>
      </c>
      <c r="B14" s="8" t="inlineStr">
        <is>
          <t>What You'll Do</t>
        </is>
      </c>
      <c r="C14" s="107" t="n"/>
      <c r="D14" s="107" t="n"/>
      <c r="E14" s="107" t="n"/>
      <c r="F14" s="107" t="n"/>
      <c r="G14" s="107" t="n"/>
    </row>
    <row r="15" ht="24" customHeight="1">
      <c r="A15" s="17" t="inlineStr">
        <is>
          <t>COGS Schedule</t>
        </is>
      </c>
      <c r="B15" s="7" t="inlineStr">
        <is>
          <t>Enter raw data and build Tidal's quarterly cost of goods sold schedule</t>
        </is>
      </c>
      <c r="C15" s="107" t="n"/>
      <c r="D15" s="107" t="n"/>
      <c r="E15" s="107" t="n"/>
      <c r="F15" s="107" t="n"/>
      <c r="G15" s="107" t="n"/>
    </row>
    <row r="16" ht="24" customHeight="1">
      <c r="A16" s="17" t="inlineStr">
        <is>
          <t>Inventory Methods</t>
        </is>
      </c>
      <c r="B16" s="7" t="inlineStr">
        <is>
          <t>Compare FIFO vs Weighted Average Cost — same data, different profit</t>
        </is>
      </c>
      <c r="C16" s="107" t="n"/>
      <c r="D16" s="107" t="n"/>
      <c r="E16" s="107" t="n"/>
      <c r="F16" s="107" t="n"/>
      <c r="G16" s="107" t="n"/>
    </row>
    <row r="17" ht="24" customHeight="1">
      <c r="A17" s="17" t="inlineStr">
        <is>
          <t>Overhead Allocation</t>
        </is>
      </c>
      <c r="B17" s="7" t="inlineStr">
        <is>
          <t>Distribute Tidal's indirect costs across its two departments</t>
        </is>
      </c>
      <c r="C17" s="107" t="n"/>
      <c r="D17" s="107" t="n"/>
      <c r="E17" s="107" t="n"/>
      <c r="F17" s="107" t="n"/>
      <c r="G17" s="107" t="n"/>
    </row>
    <row r="18" ht="24" customHeight="1">
      <c r="A18" s="17" t="inlineStr">
        <is>
          <t>Formula Reference Card</t>
        </is>
      </c>
      <c r="B18" s="7" t="inlineStr">
        <is>
          <t>Quick-reference guide to all formulas used in this activity</t>
        </is>
      </c>
      <c r="C18" s="107" t="n"/>
      <c r="D18" s="107" t="n"/>
      <c r="E18" s="107" t="n"/>
      <c r="F18" s="107" t="n"/>
      <c r="G18" s="107" t="n"/>
    </row>
    <row r="20" ht="19.5" customHeight="1"/>
    <row r="21" ht="27.75" customHeight="1">
      <c r="A21" s="6" t="inlineStr">
        <is>
          <t>Cell Color Legend</t>
        </is>
      </c>
    </row>
    <row r="22" ht="21.75" customHeight="1">
      <c r="A22" s="18" t="n"/>
      <c r="B22" s="19" t="n"/>
      <c r="C22" s="5" t="inlineStr">
        <is>
          <t>Yellow cells = YOUR INPUT — these are empty for a reason</t>
        </is>
      </c>
    </row>
    <row r="23" ht="21.75" customHeight="1">
      <c r="A23" s="18" t="n"/>
      <c r="B23" s="20" t="n"/>
      <c r="C23" s="5" t="inlineStr">
        <is>
          <t>Green result cells = calculated output (do not edit)</t>
        </is>
      </c>
    </row>
    <row r="24" ht="21.75" customHeight="1">
      <c r="A24" s="18" t="n"/>
      <c r="B24" s="21" t="n"/>
      <c r="C24" s="5" t="inlineStr">
        <is>
          <t>White/cream cells = labels, formulas, or reference data</t>
        </is>
      </c>
    </row>
    <row r="26" ht="19.5" customHeight="1"/>
    <row r="27" ht="30" customHeight="1">
      <c r="A27" s="4" t="inlineStr">
        <is>
          <t>📌  Start on the COGS Schedule tab →</t>
        </is>
      </c>
    </row>
  </sheetData>
  <mergeCells count="19">
    <mergeCell ref="A8:G8"/>
    <mergeCell ref="C24:G24"/>
    <mergeCell ref="B14:G14"/>
    <mergeCell ref="B17:G17"/>
    <mergeCell ref="A10:G10"/>
    <mergeCell ref="A13:G13"/>
    <mergeCell ref="A9:G9"/>
    <mergeCell ref="C22:G22"/>
    <mergeCell ref="B15:G15"/>
    <mergeCell ref="A1:G1"/>
    <mergeCell ref="A6:G6"/>
    <mergeCell ref="A7:G7"/>
    <mergeCell ref="C23:G23"/>
    <mergeCell ref="B16:G16"/>
    <mergeCell ref="A27:G27"/>
    <mergeCell ref="A21:G21"/>
    <mergeCell ref="A2:G2"/>
    <mergeCell ref="B18:G18"/>
    <mergeCell ref="A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10" defaultColWidth="8.6640625" defaultRowHeight="15"/>
  <cols>
    <col width="32" customWidth="1" min="1" max="1"/>
    <col width="16" customWidth="1" min="2" max="2"/>
    <col width="36" customWidth="1" min="3" max="3"/>
    <col width="12" customWidth="1" min="4" max="6"/>
  </cols>
  <sheetData>
    <row r="1" ht="48" customHeight="1">
      <c r="A1" s="3" t="inlineStr">
        <is>
          <t>Tidal Goods Co. — Quarterly COGS Schedule</t>
        </is>
      </c>
    </row>
    <row r="2" ht="24" customHeight="1">
      <c r="A2" s="2" t="inlineStr">
        <is>
          <t>Q1 2026  |  Raw Data → Formatted Management Report</t>
        </is>
      </c>
    </row>
    <row r="3" ht="6" customHeight="1">
      <c r="A3" s="15" t="n"/>
      <c r="B3" s="15" t="n"/>
      <c r="C3" s="15" t="n"/>
      <c r="D3" s="15" t="n"/>
      <c r="E3" s="15" t="n"/>
      <c r="F3" s="15" t="n"/>
    </row>
    <row r="4" ht="13.5" customHeight="1"/>
    <row r="5" ht="27.75" customHeight="1">
      <c r="A5" s="6" t="inlineStr">
        <is>
          <t>RAW DATA — Tidal Goods Co. Q1 2026 Inventory Records</t>
        </is>
      </c>
    </row>
    <row r="6" ht="24" customHeight="1">
      <c r="A6" s="22" t="inlineStr">
        <is>
          <t>Item</t>
        </is>
      </c>
      <c r="B6" s="22" t="inlineStr">
        <is>
          <t>Jan</t>
        </is>
      </c>
      <c r="C6" s="22" t="inlineStr">
        <is>
          <t>Feb</t>
        </is>
      </c>
      <c r="D6" s="22" t="inlineStr">
        <is>
          <t>Mar</t>
        </is>
      </c>
      <c r="E6" s="22" t="inlineStr">
        <is>
          <t>Q1 Total</t>
        </is>
      </c>
    </row>
    <row r="7" ht="21.75" customHeight="1">
      <c r="A7" s="29" t="inlineStr">
        <is>
          <t>Beginning Inventory ($)</t>
        </is>
      </c>
      <c r="B7" s="24" t="n">
        <v>12400</v>
      </c>
      <c r="C7" s="24" t="n">
        <v>14200</v>
      </c>
      <c r="D7" s="24" t="n">
        <v>13800</v>
      </c>
      <c r="E7">
        <f>SUM(B7:D7)</f>
        <v/>
      </c>
      <c r="F7" s="25" t="n"/>
    </row>
    <row r="8" ht="21.75" customHeight="1">
      <c r="A8" s="31" t="inlineStr">
        <is>
          <t>Purchases ($)</t>
        </is>
      </c>
      <c r="B8" s="24" t="n">
        <v>14600</v>
      </c>
      <c r="C8" s="24" t="n">
        <v>12800</v>
      </c>
      <c r="D8" s="24" t="n">
        <v>11200</v>
      </c>
      <c r="E8">
        <f>SUM(B8:D8)</f>
        <v/>
      </c>
      <c r="F8" s="25" t="n"/>
    </row>
    <row r="9" ht="21.75" customHeight="1">
      <c r="A9" s="29" t="inlineStr">
        <is>
          <t>Ending Inventory ($)</t>
        </is>
      </c>
      <c r="B9" s="24" t="n">
        <v>14200</v>
      </c>
      <c r="C9" s="24" t="n">
        <v>13800</v>
      </c>
      <c r="D9" s="24" t="n">
        <v>9800</v>
      </c>
      <c r="E9">
        <f>SUM(B9:D9)</f>
        <v/>
      </c>
      <c r="F9" s="25" t="n"/>
    </row>
    <row r="10" ht="21.75" customHeight="1">
      <c r="A10" s="31" t="inlineStr">
        <is>
          <t>Units Sold</t>
        </is>
      </c>
      <c r="B10" s="24" t="n">
        <v>320</v>
      </c>
      <c r="C10" s="24" t="n">
        <v>290</v>
      </c>
      <c r="D10" s="24" t="n">
        <v>410</v>
      </c>
      <c r="E10">
        <f>SUM(B10:D10)</f>
        <v/>
      </c>
      <c r="F10" s="25" t="n"/>
    </row>
    <row r="12" ht="15.75" customHeight="1"/>
    <row r="13" ht="27.75" customHeight="1">
      <c r="A13" s="1" t="inlineStr">
        <is>
          <t>MANAGEMENT REPORT — COGS Schedule (Build This)</t>
        </is>
      </c>
    </row>
    <row r="14" ht="24" customHeight="1">
      <c r="A14" s="59" t="inlineStr">
        <is>
          <t>Line Item</t>
        </is>
      </c>
      <c r="B14" s="72" t="inlineStr">
        <is>
          <t>Q1 2026 ($)</t>
        </is>
      </c>
      <c r="C14" s="72" t="inlineStr">
        <is>
          <t>Notes / Formula Used</t>
        </is>
      </c>
      <c r="D14" s="107" t="n"/>
      <c r="E14" s="107" t="n"/>
      <c r="F14" s="108" t="n"/>
    </row>
    <row r="15" ht="25.5" customHeight="1">
      <c r="A15" s="29" t="inlineStr">
        <is>
          <t>Beginning Inventory</t>
        </is>
      </c>
      <c r="B15" s="30">
        <f>B7</f>
        <v/>
      </c>
      <c r="C15" s="73" t="inlineStr">
        <is>
          <t>From raw data above — Q1 opening balance</t>
        </is>
      </c>
      <c r="D15" s="107" t="n"/>
      <c r="E15" s="107" t="n"/>
      <c r="F15" s="107" t="n"/>
    </row>
    <row r="16" ht="25.5" customHeight="1">
      <c r="A16" s="31" t="inlineStr">
        <is>
          <t>+ Purchases</t>
        </is>
      </c>
      <c r="B16" s="30">
        <f>E8</f>
        <v/>
      </c>
      <c r="C16" s="73" t="inlineStr">
        <is>
          <t>Total goods purchased during Q1</t>
        </is>
      </c>
      <c r="D16" s="107" t="n"/>
      <c r="E16" s="107" t="n"/>
      <c r="F16" s="107" t="n"/>
    </row>
    <row r="17" ht="25.5" customHeight="1">
      <c r="A17" s="32" t="inlineStr">
        <is>
          <t xml:space="preserve"> Goods Available for Sale</t>
        </is>
      </c>
      <c r="B17" s="33">
        <f>B15+B16</f>
        <v/>
      </c>
      <c r="C17" s="73" t="inlineStr">
        <is>
          <t>Beginning Inventory + Purchases</t>
        </is>
      </c>
      <c r="D17" s="107" t="n"/>
      <c r="E17" s="107" t="n"/>
      <c r="F17" s="107" t="n"/>
    </row>
    <row r="18" ht="25.5" customHeight="1">
      <c r="A18" s="31" t="inlineStr">
        <is>
          <t>- Ending Inventory</t>
        </is>
      </c>
      <c r="B18" s="30">
        <f>D9</f>
        <v/>
      </c>
      <c r="C18" s="73" t="inlineStr">
        <is>
          <t>From physical count at end of Q1</t>
        </is>
      </c>
      <c r="D18" s="107" t="n"/>
      <c r="E18" s="107" t="n"/>
      <c r="F18" s="107" t="n"/>
    </row>
    <row r="19" ht="25.5" customHeight="1">
      <c r="A19" s="32" t="inlineStr">
        <is>
          <t xml:space="preserve"> COST OF GOODS SOLD</t>
        </is>
      </c>
      <c r="B19" s="33">
        <f>B17-B18</f>
        <v/>
      </c>
      <c r="C19" s="73" t="inlineStr">
        <is>
          <t>Goods Available - Ending Inventory</t>
        </is>
      </c>
      <c r="D19" s="107" t="n"/>
      <c r="E19" s="107" t="n"/>
      <c r="F19" s="107" t="n"/>
    </row>
    <row r="20" ht="25.5" customHeight="1">
      <c r="A20" s="31" t="inlineStr">
        <is>
          <t>Revenue (Net Sales)</t>
        </is>
      </c>
      <c r="B20" s="30" t="n">
        <v>110000</v>
      </c>
      <c r="C20" s="73" t="inlineStr">
        <is>
          <t>Provided: $110,000</t>
        </is>
      </c>
      <c r="D20" s="107" t="n"/>
      <c r="E20" s="107" t="n"/>
      <c r="F20" s="107" t="n"/>
    </row>
    <row r="21" ht="25.5" customHeight="1">
      <c r="A21" s="32" t="inlineStr">
        <is>
          <t xml:space="preserve"> Gross Profit</t>
        </is>
      </c>
      <c r="B21" s="33">
        <f>B20-B19</f>
        <v/>
      </c>
      <c r="C21" s="73" t="inlineStr">
        <is>
          <t>Revenue - COGS</t>
        </is>
      </c>
      <c r="D21" s="107" t="n"/>
      <c r="E21" s="107" t="n"/>
      <c r="F21" s="107" t="n"/>
    </row>
    <row r="22" ht="25.5" customHeight="1">
      <c r="A22" s="32" t="inlineStr">
        <is>
          <t xml:space="preserve"> Gross Margin %</t>
        </is>
      </c>
      <c r="B22" s="34">
        <f>B21/B20</f>
        <v/>
      </c>
      <c r="C22" s="73" t="inlineStr">
        <is>
          <t>Gross Profit / Revenue</t>
        </is>
      </c>
      <c r="D22" s="107" t="n"/>
      <c r="E22" s="107" t="n"/>
      <c r="F22" s="107" t="n"/>
    </row>
    <row r="23" ht="7.5" customHeight="1">
      <c r="A23" s="15" t="n"/>
      <c r="B23" s="15" t="n"/>
      <c r="C23" s="15" t="n"/>
      <c r="D23" s="15" t="n"/>
      <c r="E23" s="15" t="n"/>
      <c r="F23" s="15" t="n"/>
    </row>
  </sheetData>
  <mergeCells count="13">
    <mergeCell ref="C22:F22"/>
    <mergeCell ref="A2:F2"/>
    <mergeCell ref="C18:F18"/>
    <mergeCell ref="C17:F17"/>
    <mergeCell ref="A13:F13"/>
    <mergeCell ref="C20:F20"/>
    <mergeCell ref="A1:F1"/>
    <mergeCell ref="A5:F5"/>
    <mergeCell ref="C21:F21"/>
    <mergeCell ref="C16:F16"/>
    <mergeCell ref="C15:F15"/>
    <mergeCell ref="C19:F19"/>
    <mergeCell ref="C14:F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10" defaultColWidth="8.6640625" defaultRowHeight="15"/>
  <cols>
    <col width="28" customWidth="1" min="1" max="1"/>
    <col width="14" customWidth="1" min="2" max="4"/>
    <col width="30" customWidth="1" min="5" max="5"/>
    <col width="10" customWidth="1" min="6" max="8"/>
  </cols>
  <sheetData>
    <row r="1" ht="48" customHeight="1">
      <c r="A1" s="3" t="inlineStr">
        <is>
          <t>Tidal Goods Co. — Inventory Valuation: FIFO vs Weighted Average Cost</t>
        </is>
      </c>
    </row>
    <row r="2" ht="24" customHeight="1">
      <c r="A2" s="2" t="inlineStr">
        <is>
          <t>Same purchases, same units sold — watch how COGS and ending inventory differ</t>
        </is>
      </c>
    </row>
    <row r="3" ht="6" customHeight="1">
      <c r="A3" s="15" t="n"/>
      <c r="B3" s="15" t="n"/>
      <c r="C3" s="15" t="n"/>
      <c r="D3" s="15" t="n"/>
      <c r="E3" s="15" t="n"/>
      <c r="F3" s="15" t="n"/>
      <c r="G3" s="15" t="n"/>
      <c r="H3" s="15" t="n"/>
    </row>
    <row r="4" ht="13.5" customHeight="1"/>
    <row r="5" ht="27.75" customHeight="1">
      <c r="A5" s="6" t="inlineStr">
        <is>
          <t>RAW DATA — Paddleboard Purchase Orders (Q1 2026)</t>
        </is>
      </c>
    </row>
    <row r="6" ht="24" customHeight="1">
      <c r="A6" s="22" t="inlineStr">
        <is>
          <t>Purchase Order</t>
        </is>
      </c>
      <c r="B6" s="22" t="inlineStr">
        <is>
          <t>Date</t>
        </is>
      </c>
      <c r="C6" s="22" t="inlineStr">
        <is>
          <t>Units Purchased</t>
        </is>
      </c>
      <c r="D6" s="22" t="inlineStr">
        <is>
          <t>Unit Cost ($)</t>
        </is>
      </c>
      <c r="E6" s="22" t="inlineStr">
        <is>
          <t>Total Cost ($)</t>
        </is>
      </c>
    </row>
    <row r="7" ht="21.75" customHeight="1">
      <c r="A7" s="35" t="inlineStr">
        <is>
          <t>PO-101</t>
        </is>
      </c>
      <c r="B7" s="35" t="inlineStr">
        <is>
          <t>Feb 3, 2026</t>
        </is>
      </c>
      <c r="C7" s="24" t="n">
        <v>10</v>
      </c>
      <c r="D7" s="36" t="n">
        <v>210</v>
      </c>
      <c r="E7" s="37">
        <f>C7*D7</f>
        <v/>
      </c>
    </row>
    <row r="8" ht="21.75" customHeight="1">
      <c r="A8" s="38" t="inlineStr">
        <is>
          <t>PO-102</t>
        </is>
      </c>
      <c r="B8" s="38" t="inlineStr">
        <is>
          <t>Mar 12, 2026</t>
        </is>
      </c>
      <c r="C8" s="24" t="n">
        <v>10</v>
      </c>
      <c r="D8" s="36" t="n">
        <v>230</v>
      </c>
      <c r="E8" s="37">
        <f>C8*D8</f>
        <v/>
      </c>
    </row>
    <row r="9" ht="21.75" customHeight="1">
      <c r="A9" s="35" t="inlineStr">
        <is>
          <t>PO-103</t>
        </is>
      </c>
      <c r="B9" s="35" t="inlineStr">
        <is>
          <t>Apr 5, 2026</t>
        </is>
      </c>
      <c r="C9" s="24" t="n">
        <v>10</v>
      </c>
      <c r="D9" s="36" t="n">
        <v>250</v>
      </c>
      <c r="E9" s="37">
        <f>C9*D9</f>
        <v/>
      </c>
    </row>
    <row r="10" ht="24" customHeight="1">
      <c r="A10" s="72" t="inlineStr">
        <is>
          <t>TOTALS</t>
        </is>
      </c>
      <c r="B10" s="39" t="n"/>
      <c r="C10" s="40">
        <f>SUM(C7:C9)</f>
        <v/>
      </c>
      <c r="D10" s="41" t="n"/>
      <c r="E10" s="42">
        <f>SUM(E7:E9)</f>
        <v/>
      </c>
    </row>
    <row r="11" ht="13.5" customHeight="1"/>
    <row r="12" ht="25.5" customHeight="1">
      <c r="A12" s="74" t="inlineStr">
        <is>
          <t>Units Sold in Q1:</t>
        </is>
      </c>
      <c r="B12" s="107" t="n"/>
      <c r="C12" s="43" t="n">
        <v>20</v>
      </c>
      <c r="D12" s="75" t="inlineStr">
        <is>
          <t>← You can change this number to see how COGS changes</t>
        </is>
      </c>
    </row>
    <row r="13" ht="15.75" customHeight="1"/>
    <row r="14" ht="27.75" customHeight="1">
      <c r="A14" s="1" t="inlineStr">
        <is>
          <t>METHOD A — FIFO (First In, First Out)</t>
        </is>
      </c>
      <c r="E14" s="76" t="inlineStr">
        <is>
          <t>Oldest purchases go to COGS first</t>
        </is>
      </c>
    </row>
    <row r="15" ht="21.75" customHeight="1">
      <c r="A15" s="80" t="inlineStr">
        <is>
          <t>Layer</t>
        </is>
      </c>
      <c r="B15" s="80" t="inlineStr">
        <is>
          <t>Units from this PO</t>
        </is>
      </c>
      <c r="C15" s="80" t="inlineStr">
        <is>
          <t>Unit Cost</t>
        </is>
      </c>
      <c r="D15" s="80" t="inlineStr">
        <is>
          <t>COGS from Layer</t>
        </is>
      </c>
    </row>
    <row r="16" ht="21.75" customHeight="1">
      <c r="A16" s="45" t="inlineStr">
        <is>
          <t>Layer 1 — PO-101 (oldest)</t>
        </is>
      </c>
      <c r="B16" s="24">
        <f>MIN($C$12,C7)</f>
        <v/>
      </c>
      <c r="C16" s="46">
        <f>D7</f>
        <v/>
      </c>
      <c r="D16" s="36">
        <f>B16*C16</f>
        <v/>
      </c>
    </row>
    <row r="17" ht="21.75" customHeight="1">
      <c r="A17" s="29" t="inlineStr">
        <is>
          <t>Layer 2 — PO-102</t>
        </is>
      </c>
      <c r="B17" s="24">
        <f>MIN(MAX($C$12-SUM($B$16:B16),0),C8)</f>
        <v/>
      </c>
      <c r="C17" s="46">
        <f>D8</f>
        <v/>
      </c>
      <c r="D17" s="36">
        <f>B17*C17</f>
        <v/>
      </c>
    </row>
    <row r="18" ht="25.5" customHeight="1">
      <c r="A18" s="62" t="inlineStr">
        <is>
          <t>FIFO — Total COGS</t>
        </is>
      </c>
      <c r="B18" s="48">
        <f>SUM(B16:B17)</f>
        <v/>
      </c>
      <c r="C18" s="49" t="n"/>
      <c r="D18" s="50">
        <f>SUM(D16:D17)</f>
        <v/>
      </c>
      <c r="E18" s="51" t="n"/>
      <c r="F18" s="51" t="n"/>
      <c r="G18" s="51" t="n"/>
      <c r="H18" s="51" t="n"/>
    </row>
    <row r="19" ht="13.5" customHeight="1"/>
    <row r="20" ht="27.75" customHeight="1">
      <c r="A20" s="6" t="inlineStr">
        <is>
          <t>METHOD B — Weighted Average Cost (WAC)</t>
        </is>
      </c>
      <c r="E20" s="77" t="inlineStr">
        <is>
          <t>Blend all purchase costs into one average unit cost</t>
        </is>
      </c>
    </row>
    <row r="21" ht="24" customHeight="1">
      <c r="A21" s="52" t="inlineStr">
        <is>
          <t>Total Units Available</t>
        </is>
      </c>
      <c r="B21" s="53">
        <f>SUM(C7:C9)</f>
        <v/>
      </c>
      <c r="C21" s="21" t="n"/>
      <c r="D21" s="21" t="n"/>
      <c r="E21" s="75" t="inlineStr">
        <is>
          <t>← from PO totals above</t>
        </is>
      </c>
    </row>
    <row r="22" ht="24" customHeight="1">
      <c r="A22" s="29" t="inlineStr">
        <is>
          <t>Total Cost Available</t>
        </is>
      </c>
      <c r="B22" s="54">
        <f>SUM(E7:E9)</f>
        <v/>
      </c>
      <c r="C22" s="21" t="n"/>
      <c r="D22" s="21" t="n"/>
      <c r="E22" s="75" t="inlineStr">
        <is>
          <t>← from PO totals above</t>
        </is>
      </c>
    </row>
    <row r="23" ht="24" customHeight="1">
      <c r="A23" s="55" t="inlineStr">
        <is>
          <t>WAC Unit Cost</t>
        </is>
      </c>
      <c r="B23" s="56">
        <f>B22/B21</f>
        <v/>
      </c>
      <c r="C23" s="21" t="n"/>
      <c r="D23" s="21" t="n"/>
      <c r="E23" s="75" t="inlineStr">
        <is>
          <t>← Total Cost ÷ Total Units</t>
        </is>
      </c>
    </row>
    <row r="24" ht="24" customHeight="1">
      <c r="A24" s="29" t="inlineStr">
        <is>
          <t>Units Sold</t>
        </is>
      </c>
      <c r="B24" s="53">
        <f>C12</f>
        <v/>
      </c>
      <c r="C24" s="21" t="n"/>
      <c r="D24" s="21" t="n"/>
      <c r="E24" s="75" t="inlineStr">
        <is>
          <t>← from input above</t>
        </is>
      </c>
    </row>
    <row r="25" ht="24" customHeight="1">
      <c r="A25" s="55" t="inlineStr">
        <is>
          <t>WAC — Total COGS</t>
        </is>
      </c>
      <c r="B25" s="56">
        <f>B24*B23</f>
        <v/>
      </c>
      <c r="C25" s="21" t="n"/>
      <c r="D25" s="21" t="n"/>
      <c r="E25" s="75" t="inlineStr">
        <is>
          <t>← Units Sold × WAC Unit Cost</t>
        </is>
      </c>
    </row>
    <row r="27" ht="13.5" customHeight="1"/>
    <row r="28" ht="27.75" customHeight="1">
      <c r="A28" s="78" t="inlineStr">
        <is>
          <t>MANAGEMENT SUMMARY — Method Comparison</t>
        </is>
      </c>
    </row>
    <row r="29" ht="21.75" customHeight="1">
      <c r="A29" s="72" t="inlineStr">
        <is>
          <t>Metric</t>
        </is>
      </c>
      <c r="B29" s="72" t="inlineStr">
        <is>
          <t>FIFO Result</t>
        </is>
      </c>
      <c r="C29" s="72" t="inlineStr">
        <is>
          <t>WAC Result</t>
        </is>
      </c>
      <c r="D29" s="72" t="inlineStr">
        <is>
          <t>Difference</t>
        </is>
      </c>
      <c r="E29" s="72" t="inlineStr">
        <is>
          <t>Business Implication</t>
        </is>
      </c>
    </row>
    <row r="30" ht="24" customHeight="1">
      <c r="A30" s="29" t="inlineStr">
        <is>
          <t>COGS ($)</t>
        </is>
      </c>
      <c r="B30" s="46">
        <f>D18</f>
        <v/>
      </c>
      <c r="C30" s="46">
        <f>B25</f>
        <v/>
      </c>
      <c r="D30" s="46">
        <f>C30-B30</f>
        <v/>
      </c>
      <c r="E30" s="73" t="inlineStr">
        <is>
          <t>Higher COGS → lower gross profit</t>
        </is>
      </c>
      <c r="F30" s="107" t="n"/>
      <c r="G30" s="107" t="n"/>
      <c r="H30" s="107" t="n"/>
    </row>
    <row r="31" ht="24" customHeight="1">
      <c r="A31" s="31" t="inlineStr">
        <is>
          <t>Ending Inventory ($)</t>
        </is>
      </c>
      <c r="B31" s="36">
        <f>E10-B30</f>
        <v/>
      </c>
      <c r="C31" s="36">
        <f>(B21-B24)*B23</f>
        <v/>
      </c>
      <c r="D31" s="36">
        <f>C31-B31</f>
        <v/>
      </c>
      <c r="E31" s="79" t="inlineStr">
        <is>
          <t>Remaining units × method cost</t>
        </is>
      </c>
      <c r="F31" s="107" t="n"/>
      <c r="G31" s="107" t="n"/>
      <c r="H31" s="107" t="n"/>
    </row>
    <row r="32" ht="24" customHeight="1">
      <c r="A32" s="29" t="inlineStr">
        <is>
          <t>Gross Profit Impact</t>
        </is>
      </c>
      <c r="B32" s="36">
        <f>110000-B30</f>
        <v/>
      </c>
      <c r="C32" s="36">
        <f>110000-C30</f>
        <v/>
      </c>
      <c r="D32" s="36">
        <f>C32-B32</f>
        <v/>
      </c>
      <c r="E32" s="73" t="inlineStr">
        <is>
          <t>WAC smooths price fluctuations</t>
        </is>
      </c>
      <c r="F32" s="107" t="n"/>
      <c r="G32" s="107" t="n"/>
      <c r="H32" s="107" t="n"/>
    </row>
  </sheetData>
  <mergeCells count="18">
    <mergeCell ref="E14:H14"/>
    <mergeCell ref="A1:H1"/>
    <mergeCell ref="D12:H12"/>
    <mergeCell ref="E23:H23"/>
    <mergeCell ref="E31:H31"/>
    <mergeCell ref="A2:H2"/>
    <mergeCell ref="A20:D20"/>
    <mergeCell ref="E20:H20"/>
    <mergeCell ref="E30:H30"/>
    <mergeCell ref="A28:H28"/>
    <mergeCell ref="E21:H21"/>
    <mergeCell ref="E22:H22"/>
    <mergeCell ref="E25:H25"/>
    <mergeCell ref="A5:H5"/>
    <mergeCell ref="E32:H32"/>
    <mergeCell ref="E24:H24"/>
    <mergeCell ref="A14:D14"/>
    <mergeCell ref="A12:B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10" defaultColWidth="8.6640625" defaultRowHeight="15"/>
  <cols>
    <col width="30" customWidth="1" min="1" max="1"/>
    <col width="14" customWidth="1" min="2" max="2"/>
    <col width="20" customWidth="1" min="3" max="3"/>
    <col width="16" customWidth="1" min="4" max="5"/>
    <col width="14" customWidth="1" min="6" max="7"/>
  </cols>
  <sheetData>
    <row r="1" ht="48" customHeight="1">
      <c r="A1" s="3" t="inlineStr">
        <is>
          <t>Tidal Goods Co. — Overhead Cost Allocation Report</t>
        </is>
      </c>
    </row>
    <row r="2" ht="24" customHeight="1">
      <c r="A2" s="2" t="inlineStr">
        <is>
          <t>Q1 2026  |  Distributing indirect costs across departments using square footage</t>
        </is>
      </c>
    </row>
    <row r="3" ht="6" customHeight="1">
      <c r="A3" s="15" t="n"/>
      <c r="B3" s="15" t="n"/>
      <c r="C3" s="15" t="n"/>
      <c r="D3" s="15" t="n"/>
      <c r="E3" s="15" t="n"/>
      <c r="F3" s="15" t="n"/>
      <c r="G3" s="15" t="n"/>
    </row>
    <row r="4" ht="13.5" customHeight="1"/>
    <row r="5" ht="27.75" customHeight="1">
      <c r="A5" s="6" t="inlineStr">
        <is>
          <t>STEP 1 — Department Square Footage (Allocation Basis)</t>
        </is>
      </c>
    </row>
    <row r="6" ht="24" customHeight="1">
      <c r="A6" s="22" t="inlineStr">
        <is>
          <t>Department</t>
        </is>
      </c>
      <c r="B6" s="22" t="inlineStr">
        <is>
          <t>Square Footage</t>
        </is>
      </c>
      <c r="C6" s="22" t="inlineStr">
        <is>
          <t>% of Total</t>
        </is>
      </c>
      <c r="D6" s="22" t="inlineStr">
        <is>
          <t>Monthly Revenue ($)</t>
        </is>
      </c>
    </row>
    <row r="7" ht="24" customHeight="1">
      <c r="A7" s="29" t="inlineStr">
        <is>
          <t>Surf Shop (retail floor)</t>
        </is>
      </c>
      <c r="B7" s="24" t="n">
        <v>2400</v>
      </c>
      <c r="C7" s="57">
        <f>B7/$B$9</f>
        <v/>
      </c>
      <c r="D7" s="36" t="n">
        <v>66000</v>
      </c>
      <c r="E7" s="21" t="n"/>
      <c r="F7" s="21" t="n"/>
      <c r="G7" s="21" t="n"/>
    </row>
    <row r="8" ht="24" customHeight="1">
      <c r="A8" s="31" t="inlineStr">
        <is>
          <t>Online Warehouse</t>
        </is>
      </c>
      <c r="B8" s="24" t="n">
        <v>1600</v>
      </c>
      <c r="C8" s="57">
        <f>B8/$B$9</f>
        <v/>
      </c>
      <c r="D8" s="36" t="n">
        <v>44000</v>
      </c>
      <c r="E8" s="58" t="n"/>
      <c r="F8" s="58" t="n"/>
      <c r="G8" s="58" t="n"/>
    </row>
    <row r="9" ht="24" customHeight="1">
      <c r="A9" s="59" t="inlineStr">
        <is>
          <t>TOTALS</t>
        </is>
      </c>
      <c r="B9" s="60">
        <f>SUM(B7:B8)</f>
        <v/>
      </c>
      <c r="C9" s="61">
        <f>SUM(C7:C8)</f>
        <v/>
      </c>
      <c r="D9" s="42">
        <f>SUM(D7:D8)</f>
        <v/>
      </c>
      <c r="E9" s="41" t="n"/>
      <c r="F9" s="41" t="n"/>
      <c r="G9" s="41" t="n"/>
    </row>
    <row r="10" ht="13.5" customHeight="1"/>
    <row r="11" ht="27.75" customHeight="1">
      <c r="A11" s="1" t="inlineStr">
        <is>
          <t>STEP 2 — Monthly Overhead Cost Categories</t>
        </is>
      </c>
    </row>
    <row r="12" ht="24" customHeight="1">
      <c r="A12" s="62" t="inlineStr">
        <is>
          <t>Overhead Category</t>
        </is>
      </c>
      <c r="B12" s="80" t="inlineStr">
        <is>
          <t>Monthly Cost ($)</t>
        </is>
      </c>
      <c r="C12" s="80" t="inlineStr">
        <is>
          <t>Allocation Basis</t>
        </is>
      </c>
      <c r="D12" s="107" t="n"/>
      <c r="E12" s="107" t="n"/>
      <c r="F12" s="107" t="n"/>
      <c r="G12" s="108" t="n"/>
    </row>
    <row r="13" ht="21.75" customHeight="1">
      <c r="A13" s="45" t="inlineStr">
        <is>
          <t>Rent</t>
        </is>
      </c>
      <c r="B13" s="36" t="n">
        <v>9000</v>
      </c>
      <c r="C13" s="81" t="inlineStr">
        <is>
          <t>Square footage</t>
        </is>
      </c>
      <c r="D13" s="107" t="n"/>
      <c r="E13" s="107" t="n"/>
      <c r="F13" s="107" t="n"/>
      <c r="G13" s="107" t="n"/>
    </row>
    <row r="14" ht="21.75" customHeight="1">
      <c r="A14" s="29" t="inlineStr">
        <is>
          <t>Utilities</t>
        </is>
      </c>
      <c r="B14" s="36" t="n">
        <v>4200</v>
      </c>
      <c r="C14" s="73" t="inlineStr">
        <is>
          <t>Square footage</t>
        </is>
      </c>
      <c r="D14" s="107" t="n"/>
      <c r="E14" s="107" t="n"/>
      <c r="F14" s="107" t="n"/>
      <c r="G14" s="107" t="n"/>
    </row>
    <row r="15" ht="21.75" customHeight="1">
      <c r="A15" s="45" t="inlineStr">
        <is>
          <t>Insurance</t>
        </is>
      </c>
      <c r="B15" s="36" t="n">
        <v>3800</v>
      </c>
      <c r="C15" s="81" t="inlineStr">
        <is>
          <t>Square footage</t>
        </is>
      </c>
      <c r="D15" s="107" t="n"/>
      <c r="E15" s="107" t="n"/>
      <c r="F15" s="107" t="n"/>
      <c r="G15" s="107" t="n"/>
    </row>
    <row r="16" ht="21.75" customHeight="1">
      <c r="A16" s="29" t="inlineStr">
        <is>
          <t>Indirect Labor</t>
        </is>
      </c>
      <c r="B16" s="36" t="n">
        <v>3500</v>
      </c>
      <c r="C16" s="73" t="inlineStr">
        <is>
          <t>Revenue share</t>
        </is>
      </c>
      <c r="D16" s="107" t="n"/>
      <c r="E16" s="107" t="n"/>
      <c r="F16" s="107" t="n"/>
      <c r="G16" s="107" t="n"/>
    </row>
    <row r="17" ht="21.75" customHeight="1">
      <c r="A17" s="45" t="inlineStr">
        <is>
          <t>Maintenance</t>
        </is>
      </c>
      <c r="B17" s="36" t="n">
        <v>1500</v>
      </c>
      <c r="C17" s="81" t="inlineStr">
        <is>
          <t>Square footage</t>
        </is>
      </c>
      <c r="D17" s="107" t="n"/>
      <c r="E17" s="107" t="n"/>
      <c r="F17" s="107" t="n"/>
      <c r="G17" s="107" t="n"/>
    </row>
    <row r="18" ht="25.5" customHeight="1">
      <c r="A18" s="62" t="inlineStr">
        <is>
          <t>TOTAL OVERHEAD</t>
        </is>
      </c>
      <c r="B18" s="50">
        <f>SUM(B13:B17)</f>
        <v/>
      </c>
      <c r="C18" s="82" t="inlineStr">
        <is>
          <t>Carry this total into Step 3</t>
        </is>
      </c>
    </row>
    <row r="19" ht="13.5" customHeight="1"/>
    <row r="20" ht="27.75" customHeight="1">
      <c r="A20" s="78" t="inlineStr">
        <is>
          <t>STEP 3 — Allocate Overhead to Departments (Build This)</t>
        </is>
      </c>
    </row>
    <row r="21" ht="21.75" customHeight="1">
      <c r="A21" s="72" t="inlineStr">
        <is>
          <t>Department</t>
        </is>
      </c>
      <c r="B21" s="72" t="inlineStr">
        <is>
          <t>Sq Ft %</t>
        </is>
      </c>
      <c r="C21" s="72" t="inlineStr">
        <is>
          <t>Overhead Allocated ($)</t>
        </is>
      </c>
      <c r="D21" s="72" t="inlineStr">
        <is>
          <t>Revenue ($)</t>
        </is>
      </c>
      <c r="E21" s="72" t="inlineStr">
        <is>
          <t>Overhead Rate %</t>
        </is>
      </c>
      <c r="F21" s="72" t="inlineStr">
        <is>
          <t>Overhead per Unit Sold</t>
        </is>
      </c>
      <c r="G21" s="108" t="n"/>
    </row>
    <row r="22" ht="25.5" customHeight="1">
      <c r="A22" s="63">
        <f>A7</f>
        <v/>
      </c>
      <c r="B22" s="64">
        <f>C7</f>
        <v/>
      </c>
      <c r="C22" s="36">
        <f>$B$18*B22</f>
        <v/>
      </c>
      <c r="D22" s="46">
        <f>D7</f>
        <v/>
      </c>
      <c r="E22" s="57">
        <f>C22/D22</f>
        <v/>
      </c>
      <c r="F22" s="56">
        <f>C22/('COGS Schedule'!$E$10*D22/$D$24)</f>
        <v/>
      </c>
    </row>
    <row r="23" ht="25.5" customHeight="1">
      <c r="A23" s="63">
        <f>A8</f>
        <v/>
      </c>
      <c r="B23" s="64">
        <f>C8</f>
        <v/>
      </c>
      <c r="C23" s="36">
        <f>$B$18*B23</f>
        <v/>
      </c>
      <c r="D23" s="46">
        <f>D8</f>
        <v/>
      </c>
      <c r="E23" s="57">
        <f>C23/D23</f>
        <v/>
      </c>
      <c r="F23" s="56">
        <f>C23/('COGS Schedule'!$E$10*D23/$D$24)</f>
        <v/>
      </c>
    </row>
    <row r="24" ht="25.5" customHeight="1">
      <c r="A24" s="59" t="inlineStr">
        <is>
          <t>TOTALS</t>
        </is>
      </c>
      <c r="B24" s="61">
        <f>SUM(B22:B23)</f>
        <v/>
      </c>
      <c r="C24" s="42">
        <f>SUM(C22:C23)</f>
        <v/>
      </c>
      <c r="D24" s="42">
        <f>SUM(D22:D23)</f>
        <v/>
      </c>
      <c r="E24" s="61">
        <f>C24/D24</f>
        <v/>
      </c>
      <c r="F24" s="83" t="inlineStr">
        <is>
          <t>← Should sum to 100% and total overhead</t>
        </is>
      </c>
      <c r="G24" s="108" t="n"/>
    </row>
    <row r="25" ht="13.5" customHeight="1"/>
    <row r="26" ht="27.75" customHeight="1">
      <c r="A26" s="6" t="inlineStr">
        <is>
          <t>MANAGEMENT SUMMARY — Overhead Rate Analysis</t>
        </is>
      </c>
    </row>
    <row r="27" ht="27.75" customHeight="1">
      <c r="A27" s="55" t="inlineStr">
        <is>
          <t>Company-wide Overhead Rate</t>
        </is>
      </c>
      <c r="B27" s="65">
        <f>B18/D9</f>
        <v/>
      </c>
      <c r="C27" s="84" t="inlineStr">
        <is>
          <t>$22,000 total overhead ÷ $110,000 revenue</t>
        </is>
      </c>
      <c r="D27" s="107" t="n"/>
      <c r="E27" s="107" t="n"/>
      <c r="F27" s="107" t="n"/>
      <c r="G27" s="107" t="n"/>
    </row>
    <row r="28" ht="27.75" customHeight="1">
      <c r="A28" s="55" t="inlineStr">
        <is>
          <t>Trend Note: Q-over-Q Change</t>
        </is>
      </c>
      <c r="B28" s="65" t="n"/>
      <c r="C28" s="84" t="inlineStr">
        <is>
          <t>Was 18% in Q2 2025 — what changed?</t>
        </is>
      </c>
      <c r="D28" s="107" t="n"/>
      <c r="E28" s="107" t="n"/>
      <c r="F28" s="107" t="n"/>
      <c r="G28" s="107" t="n"/>
    </row>
  </sheetData>
  <mergeCells count="17">
    <mergeCell ref="F21:G21"/>
    <mergeCell ref="A1:G1"/>
    <mergeCell ref="F24:G24"/>
    <mergeCell ref="C12:G12"/>
    <mergeCell ref="C16:G16"/>
    <mergeCell ref="C18:G18"/>
    <mergeCell ref="C15:G15"/>
    <mergeCell ref="C28:G28"/>
    <mergeCell ref="C27:G27"/>
    <mergeCell ref="A20:G20"/>
    <mergeCell ref="A26:G26"/>
    <mergeCell ref="A2:G2"/>
    <mergeCell ref="C17:G17"/>
    <mergeCell ref="C14:G14"/>
    <mergeCell ref="C13:G13"/>
    <mergeCell ref="A11:G11"/>
    <mergeCell ref="A5:G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10" defaultColWidth="8.6640625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  <col width="14" customWidth="1" min="5" max="5"/>
  </cols>
  <sheetData>
    <row r="1" ht="31.5" customHeight="1">
      <c r="A1" s="99" t="inlineStr">
        <is>
          <t>Concept</t>
        </is>
      </c>
      <c r="B1" s="99" t="inlineStr">
        <is>
          <t>Excel Pattern</t>
        </is>
      </c>
      <c r="C1" s="99" t="inlineStr">
        <is>
          <t>Plain-English Meaning</t>
        </is>
      </c>
      <c r="D1" s="99" t="inlineStr">
        <is>
          <t>Watch Out For</t>
        </is>
      </c>
    </row>
    <row r="2" ht="31.5" customHeight="1">
      <c r="A2" s="103" t="inlineStr">
        <is>
          <t>COGS</t>
        </is>
      </c>
      <c r="B2" s="105" t="inlineStr">
        <is>
          <t>=BeginningInventory+Purchases-EndingInventory</t>
        </is>
      </c>
      <c r="C2" s="103" t="inlineStr">
        <is>
          <t>Calculates product cost sold during the period.</t>
        </is>
      </c>
      <c r="D2" s="106" t="inlineStr">
        <is>
          <t>Ending inventory is subtracted.</t>
        </is>
      </c>
    </row>
    <row r="3" ht="31.5" customHeight="1">
      <c r="A3" s="103" t="inlineStr">
        <is>
          <t>Gross profit</t>
        </is>
      </c>
      <c r="B3" s="105" t="inlineStr">
        <is>
          <t>=Revenue-COGS</t>
        </is>
      </c>
      <c r="C3" s="103" t="inlineStr">
        <is>
          <t>Shows profit before overhead and operating costs.</t>
        </is>
      </c>
      <c r="D3" s="106" t="inlineStr">
        <is>
          <t>Revenue and COGS must cover the same period.</t>
        </is>
      </c>
    </row>
    <row r="4" ht="31.5" customHeight="1">
      <c r="A4" s="103" t="inlineStr">
        <is>
          <t>Gross margin percent</t>
        </is>
      </c>
      <c r="B4" s="105" t="inlineStr">
        <is>
          <t>=GrossProfit/Revenue</t>
        </is>
      </c>
      <c r="C4" s="103" t="inlineStr">
        <is>
          <t>Shows the percent of revenue left after product cost.</t>
        </is>
      </c>
      <c r="D4" s="106" t="inlineStr">
        <is>
          <t>Margin divides by revenue.</t>
        </is>
      </c>
    </row>
    <row r="5" ht="31.5" customHeight="1">
      <c r="A5" s="103" t="inlineStr">
        <is>
          <t>Markup percent</t>
        </is>
      </c>
      <c r="B5" s="105" t="inlineStr">
        <is>
          <t>=(Revenue-Cost)/Cost</t>
        </is>
      </c>
      <c r="C5" s="103" t="inlineStr">
        <is>
          <t>Shows profit as a percent of cost.</t>
        </is>
      </c>
      <c r="D5" s="106" t="inlineStr">
        <is>
          <t>Markup divides by cost, not revenue.</t>
        </is>
      </c>
    </row>
    <row r="6" ht="31.5" customHeight="1">
      <c r="A6" s="103" t="inlineStr">
        <is>
          <t>WAC unit cost</t>
        </is>
      </c>
      <c r="B6" s="105" t="inlineStr">
        <is>
          <t>=TotalCostAvailable/TotalUnitsAvailable</t>
        </is>
      </c>
      <c r="C6" s="103" t="inlineStr">
        <is>
          <t>Blends inventory purchases into one average unit cost.</t>
        </is>
      </c>
      <c r="D6" s="106" t="inlineStr">
        <is>
          <t>Recalculate when new stock arrives.</t>
        </is>
      </c>
    </row>
    <row r="7" ht="31.5" customHeight="1">
      <c r="A7" s="103" t="inlineStr">
        <is>
          <t>Overhead allocated</t>
        </is>
      </c>
      <c r="B7" s="105" t="inlineStr">
        <is>
          <t>=TotalOverhead*DeptPercent</t>
        </is>
      </c>
      <c r="C7" s="103" t="inlineStr">
        <is>
          <t>Assigns overhead to the department share.</t>
        </is>
      </c>
      <c r="D7" s="106" t="inlineStr">
        <is>
          <t>The percent base must match the allocation driver.</t>
        </is>
      </c>
    </row>
    <row r="8" ht="27.75" customHeight="1"/>
    <row r="9" ht="27.75" customHeight="1"/>
    <row r="11" ht="31.5" customHeight="1"/>
    <row r="12" ht="21.75" customHeight="1"/>
    <row r="13" ht="27.75" customHeight="1"/>
    <row r="14" ht="27.75" customHeight="1"/>
    <row r="15" ht="27.75" customHeight="1"/>
    <row r="17" ht="31.5" customHeight="1"/>
    <row r="18" ht="21.75" customHeight="1"/>
    <row r="19" ht="27.75" customHeight="1"/>
    <row r="20" ht="27.75" customHeight="1"/>
    <row r="21" ht="27.75" customHeight="1"/>
    <row r="23" ht="31.5" customHeight="1"/>
    <row r="24" ht="21.75" customHeight="1"/>
    <row r="25" ht="27.75" customHeight="1"/>
    <row r="26" ht="27.75" customHeight="1"/>
    <row r="27" ht="27.75" customHeight="1"/>
    <row r="29" ht="27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2026-06-22T12:53:27Z</dcterms:modified>
</cp:coreProperties>
</file>