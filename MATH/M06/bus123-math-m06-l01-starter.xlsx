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4A5567"/>
      <sz val="11"/>
    </font>
    <font>
      <name val="Aptos"/>
      <b val="1"/>
      <color rgb="00FFFFFF"/>
      <sz val="12"/>
    </font>
    <font>
      <name val="Aptos"/>
      <b val="1"/>
      <color rgb="00FFFFFF"/>
      <sz val="10"/>
    </font>
    <font>
      <name val="Aptos"/>
      <color rgb="001A1F2C"/>
      <sz val="11"/>
    </font>
    <font>
      <name val="Aptos"/>
      <b val="1"/>
      <color rgb="004A7C5E"/>
      <sz val="10"/>
    </font>
    <font>
      <name val="Aptos"/>
      <color rgb="004A7C5E"/>
      <sz val="10"/>
    </font>
    <font>
      <name val="Aptos"/>
      <b val="1"/>
      <color rgb="004A7C5E"/>
      <sz val="11"/>
    </font>
    <font>
      <name val="Consolas"/>
      <color rgb="00355773"/>
      <sz val="10"/>
    </font>
  </fonts>
  <fills count="12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2EEE5"/>
      </patternFill>
    </fill>
    <fill>
      <patternFill patternType="solid">
        <fgColor rgb="004A7C5E"/>
      </patternFill>
    </fill>
    <fill>
      <patternFill patternType="solid">
        <fgColor rgb="00FFFFFF"/>
      </patternFill>
    </fill>
    <fill>
      <patternFill patternType="solid">
        <fgColor rgb="00B8843D"/>
      </patternFill>
    </fill>
    <fill>
      <patternFill patternType="solid">
        <fgColor rgb="00EAF3EC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9C4A2B"/>
      </patternFill>
    </fill>
  </fills>
  <borders count="8">
    <border>
      <left/>
      <right/>
      <top/>
      <bottom/>
      <diagonal/>
    </border>
    <border>
      <top style="thin">
        <color rgb="00E5E1D6"/>
      </top>
      <bottom style="thin">
        <color rgb="00E5E1D6"/>
      </bottom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/>
      <right/>
      <top style="thin">
        <color rgb="00E5E1D6"/>
      </top>
      <bottom/>
      <diagonal/>
    </border>
    <border>
      <left/>
      <right/>
      <top style="thin">
        <color rgb="00E5E1D6"/>
      </top>
      <bottom style="thin">
        <color rgb="00E5E1D6"/>
      </bottom>
      <diagonal/>
    </border>
    <border>
      <left/>
      <right style="thin">
        <color rgb="00E5E1D6"/>
      </right>
      <top style="thin">
        <color rgb="00E5E1D6"/>
      </top>
      <bottom/>
      <diagonal/>
    </border>
    <border>
      <left/>
      <right style="thin">
        <color rgb="00E5E1D6"/>
      </right>
      <top style="thin">
        <color rgb="00E5E1D6"/>
      </top>
      <bottom style="thin">
        <color rgb="00E5E1D6"/>
      </bottom>
      <diagonal/>
    </border>
    <border>
      <right/>
      <top style="thin">
        <color rgb="00E5E1D6"/>
      </top>
      <bottom style="thin">
        <color rgb="00E5E1D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top" wrapText="1"/>
    </xf>
    <xf numFmtId="0" fontId="5" fillId="5" borderId="2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6" fillId="7" borderId="2" applyAlignment="1" pivotButton="0" quotePrefix="0" xfId="0">
      <alignment horizontal="center" vertical="top" wrapText="1"/>
    </xf>
    <xf numFmtId="0" fontId="0" fillId="5" borderId="2" pivotButton="0" quotePrefix="0" xfId="0"/>
    <xf numFmtId="0" fontId="5" fillId="8" borderId="2" applyAlignment="1" pivotButton="0" quotePrefix="0" xfId="0">
      <alignment horizontal="left" vertical="top" wrapText="1"/>
    </xf>
    <xf numFmtId="164" fontId="5" fillId="9" borderId="2" applyAlignment="1" pivotButton="0" quotePrefix="0" xfId="0">
      <alignment horizontal="center" vertical="top" wrapText="1"/>
    </xf>
    <xf numFmtId="0" fontId="7" fillId="10" borderId="2" applyAlignment="1" pivotButton="0" quotePrefix="0" xfId="0">
      <alignment horizontal="left" vertical="top" wrapText="1"/>
    </xf>
    <xf numFmtId="4" fontId="5" fillId="9" borderId="2" applyAlignment="1" pivotButton="0" quotePrefix="0" xfId="0">
      <alignment horizontal="center" vertical="top" wrapText="1"/>
    </xf>
    <xf numFmtId="165" fontId="5" fillId="9" borderId="2" applyAlignment="1" pivotButton="0" quotePrefix="0" xfId="0">
      <alignment horizontal="center" vertical="top" wrapText="1"/>
    </xf>
    <xf numFmtId="0" fontId="4" fillId="2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left" vertical="top" wrapText="1"/>
    </xf>
    <xf numFmtId="0" fontId="0" fillId="7" borderId="2" pivotButton="0" quotePrefix="0" xfId="0"/>
    <xf numFmtId="0" fontId="3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9" fillId="7" borderId="2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6" pivotButton="0" quotePrefix="0" xfId="0"/>
    <xf numFmtId="0" fontId="3" fillId="4" borderId="7" applyAlignment="1" pivotButton="0" quotePrefix="0" xfId="0">
      <alignment horizontal="left" vertical="center"/>
    </xf>
    <xf numFmtId="0" fontId="3" fillId="6" borderId="7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0" fillId="2" borderId="2" pivotButton="0" quotePrefix="0" xfId="0"/>
    <xf numFmtId="0" fontId="8" fillId="7" borderId="2" applyAlignment="1" pivotButton="0" quotePrefix="0" xfId="0">
      <alignment horizontal="left" vertical="center"/>
    </xf>
    <xf numFmtId="0" fontId="3" fillId="11" borderId="7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1" t="inlineStr">
        <is>
          <t>BUS123 · MATH-M06 · Tidal Goods Co. — Inventory, Overhead &amp; COGS</t>
        </is>
      </c>
    </row>
    <row r="2" ht="24" customHeight="1">
      <c r="A2" s="3" t="inlineStr">
        <is>
          <t>Live You Try It + Class Challenge Workbook</t>
        </is>
      </c>
    </row>
    <row r="3" ht="22" customHeight="1"/>
    <row r="4" ht="24" customHeight="1">
      <c r="A4" s="29" t="inlineStr">
        <is>
          <t>How to Use This Workbook</t>
        </is>
      </c>
      <c r="B4" s="27" t="n"/>
      <c r="C4" s="27" t="n"/>
      <c r="D4" s="27" t="n"/>
      <c r="E4" s="27" t="n"/>
      <c r="F4" s="27" t="n"/>
    </row>
    <row r="5" ht="28" customHeight="1">
      <c r="A5" s="7" t="inlineStr">
        <is>
          <t>Step</t>
        </is>
      </c>
      <c r="B5" s="7" t="inlineStr">
        <is>
          <t>Tab</t>
        </is>
      </c>
      <c r="C5" s="7" t="inlineStr">
        <is>
          <t>Student move</t>
        </is>
      </c>
      <c r="D5" s="7" t="inlineStr">
        <is>
          <t>Status</t>
        </is>
      </c>
    </row>
    <row r="6" ht="38" customHeight="1">
      <c r="A6" s="8" t="inlineStr">
        <is>
          <t>1</t>
        </is>
      </c>
      <c r="B6" s="9" t="inlineStr">
        <is>
          <t>Live You Try It</t>
        </is>
      </c>
      <c r="C6" s="9" t="inlineStr">
        <is>
          <t>Open this tab during slide pauses. Use the exact numbers from the worked examples and let the feedback cell coach you.</t>
        </is>
      </c>
      <c r="D6" s="8" t="inlineStr">
        <is>
          <t>Self-graded</t>
        </is>
      </c>
    </row>
    <row r="7" ht="38" customHeight="1">
      <c r="A7" s="10" t="inlineStr">
        <is>
          <t>2</t>
        </is>
      </c>
      <c r="B7" s="11" t="inlineStr">
        <is>
          <t>Class Challenge</t>
        </is>
      </c>
      <c r="C7" s="11" t="inlineStr">
        <is>
          <t>Complete this harder tab after the live practice. It is the graded or next-level activity.</t>
        </is>
      </c>
      <c r="D7" s="10" t="inlineStr">
        <is>
          <t>Submit/grade</t>
        </is>
      </c>
    </row>
    <row r="8" ht="38" customHeight="1">
      <c r="A8" s="8" t="inlineStr">
        <is>
          <t>3</t>
        </is>
      </c>
      <c r="B8" s="9" t="inlineStr">
        <is>
          <t>FormulaReferenceCard</t>
        </is>
      </c>
      <c r="C8" s="9" t="inlineStr">
        <is>
          <t>Use this as a syntax reminder after you decide which formula fits the business question.</t>
        </is>
      </c>
      <c r="D8" s="8" t="inlineStr">
        <is>
          <t>Reference</t>
        </is>
      </c>
    </row>
    <row r="9" ht="22" customHeight="1"/>
    <row r="10" ht="22" customHeight="1"/>
    <row r="11" ht="24" customHeight="1">
      <c r="A11" s="30" t="inlineStr">
        <is>
          <t>Learning Targets</t>
        </is>
      </c>
      <c r="B11" s="27" t="n"/>
      <c r="C11" s="27" t="n"/>
      <c r="D11" s="27" t="n"/>
      <c r="E11" s="27" t="n"/>
      <c r="F11" s="27" t="n"/>
    </row>
    <row r="12" ht="28" customHeight="1">
      <c r="A12" s="14" t="inlineStr">
        <is>
          <t>I can</t>
        </is>
      </c>
      <c r="B12" s="11" t="inlineStr">
        <is>
          <t>Calculate COGS using Beginning Inventory + Purchases - Ending Inventory.</t>
        </is>
      </c>
      <c r="C12" s="27" t="n"/>
      <c r="D12" s="27" t="n"/>
      <c r="E12" s="27" t="n"/>
      <c r="F12" s="28" t="n"/>
    </row>
    <row r="13" ht="28" customHeight="1">
      <c r="A13" s="14" t="inlineStr">
        <is>
          <t>I can</t>
        </is>
      </c>
      <c r="B13" s="11" t="inlineStr">
        <is>
          <t>Compare FIFO, LIFO, and weighted-average inventory results.</t>
        </is>
      </c>
      <c r="C13" s="27" t="n"/>
      <c r="D13" s="27" t="n"/>
      <c r="E13" s="27" t="n"/>
      <c r="F13" s="28" t="n"/>
    </row>
    <row r="14" ht="28" customHeight="1">
      <c r="A14" s="14" t="inlineStr">
        <is>
          <t>I can</t>
        </is>
      </c>
      <c r="B14" s="11" t="inlineStr">
        <is>
          <t>Calculate gross profit, gross margin, and markup using the right denominator.</t>
        </is>
      </c>
      <c r="C14" s="27" t="n"/>
      <c r="D14" s="27" t="n"/>
      <c r="E14" s="27" t="n"/>
      <c r="F14" s="28" t="n"/>
    </row>
    <row r="15" ht="28" customHeight="1">
      <c r="A15" s="14" t="inlineStr">
        <is>
          <t>I can</t>
        </is>
      </c>
      <c r="B15" s="11" t="inlineStr">
        <is>
          <t>Allocate overhead across departments using a practical basis.</t>
        </is>
      </c>
      <c r="C15" s="27" t="n"/>
      <c r="D15" s="27" t="n"/>
      <c r="E15" s="27" t="n"/>
      <c r="F15" s="28" t="n"/>
    </row>
    <row r="16" ht="28" customHeight="1">
      <c r="A16" s="14" t="inlineStr">
        <is>
          <t>I can</t>
        </is>
      </c>
      <c r="B16" s="11" t="inlineStr">
        <is>
          <t>Explain why small inventory and overhead choices change management decisions.</t>
        </is>
      </c>
      <c r="C16" s="27" t="n"/>
      <c r="D16" s="27" t="n"/>
      <c r="E16" s="27" t="n"/>
      <c r="F16" s="28" t="n"/>
    </row>
  </sheetData>
  <mergeCells count="9">
    <mergeCell ref="A2:F2"/>
    <mergeCell ref="A11:F11"/>
    <mergeCell ref="B12:F12"/>
    <mergeCell ref="B16:F16"/>
    <mergeCell ref="B15:F15"/>
    <mergeCell ref="A1:F1"/>
    <mergeCell ref="A4:F4"/>
    <mergeCell ref="B14:F14"/>
    <mergeCell ref="B13:F13"/>
  </mergeCell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18" customWidth="1" min="3" max="3"/>
    <col width="44" customWidth="1" min="4" max="4"/>
    <col width="27" customWidth="1" min="5" max="5"/>
    <col width="16" customWidth="1" min="6" max="6"/>
    <col width="34" customWidth="1" min="7" max="7"/>
    <col width="34" customWidth="1" min="8" max="8"/>
  </cols>
  <sheetData>
    <row r="1" ht="42" customHeight="1">
      <c r="A1" s="1" t="inlineStr">
        <is>
          <t>M06 · L01 — Live You Try It | Tidal Goods Co.</t>
        </is>
      </c>
    </row>
    <row r="2" ht="24" customHeight="1">
      <c r="A2" s="3" t="inlineStr">
        <is>
          <t>Self-graded Excel pauses using the exact numbers from the slides.</t>
        </is>
      </c>
    </row>
    <row r="3" ht="22" customHeight="1"/>
    <row r="4" ht="24" customHeight="1">
      <c r="B4" s="29" t="inlineStr">
        <is>
          <t>Enter your setup/work, type the final answer, then read the hint or feedback.</t>
        </is>
      </c>
      <c r="C4" s="27" t="n"/>
      <c r="D4" s="27" t="n"/>
      <c r="E4" s="27" t="n"/>
      <c r="F4" s="27" t="n"/>
      <c r="G4" s="27" t="n"/>
      <c r="H4" s="27" t="n"/>
    </row>
    <row r="5" ht="28" customHeight="1">
      <c r="B5" s="7" t="inlineStr">
        <is>
          <t>#</t>
        </is>
      </c>
      <c r="C5" s="7" t="inlineStr">
        <is>
          <t>Slide pause</t>
        </is>
      </c>
      <c r="D5" s="7" t="inlineStr">
        <is>
          <t>Scenario using slide numbers</t>
        </is>
      </c>
      <c r="E5" s="7" t="inlineStr">
        <is>
          <t>What to build</t>
        </is>
      </c>
      <c r="F5" s="7" t="inlineStr">
        <is>
          <t>Final answer</t>
        </is>
      </c>
      <c r="G5" s="7" t="inlineStr">
        <is>
          <t>Hint</t>
        </is>
      </c>
      <c r="H5" s="7" t="inlineStr">
        <is>
          <t>Feedback</t>
        </is>
      </c>
    </row>
    <row r="6" ht="58" customHeight="1">
      <c r="B6" s="8" t="n">
        <v>1</v>
      </c>
      <c r="C6" s="9" t="inlineStr">
        <is>
          <t>Inventory methods</t>
        </is>
      </c>
      <c r="D6" s="9" t="inlineStr">
        <is>
          <t>FIFO COGS: 10 boards at $210 and 10 boards at $230 from the slide comparison.</t>
        </is>
      </c>
      <c r="E6" s="16" t="inlineStr">
        <is>
          <t>Build the FIFO COGS formula.</t>
        </is>
      </c>
      <c r="F6" s="17" t="n"/>
      <c r="G6" s="9" t="inlineStr">
        <is>
          <t>Use the oldest layers first: 10 x $210 plus 10 x $230.</t>
        </is>
      </c>
      <c r="H6" s="18">
        <f>IF(F6="","Hint: Use the oldest layers first: 10 x $210 plus 10 x $230.",IF(ABS(F6-4400)&lt;0.01,"Correct - self-check complete","Try again - Use the oldest layers first: 10 x $210 plus 10 x $230."))</f>
        <v/>
      </c>
    </row>
    <row r="7" ht="58" customHeight="1">
      <c r="B7" s="10" t="n">
        <v>2</v>
      </c>
      <c r="C7" s="11" t="inlineStr">
        <is>
          <t>Inventory methods</t>
        </is>
      </c>
      <c r="D7" s="11" t="inlineStr">
        <is>
          <t>WAC unit cost: 10 boards each at $210, $230, and $250.</t>
        </is>
      </c>
      <c r="E7" s="16" t="inlineStr">
        <is>
          <t>Find the blended unit cost.</t>
        </is>
      </c>
      <c r="F7" s="19" t="n"/>
      <c r="G7" s="11" t="inlineStr">
        <is>
          <t>Add the three layer costs, then divide by 30 total units.</t>
        </is>
      </c>
      <c r="H7" s="18">
        <f>IF(F7="","Hint: Add the three layer costs, then divide by 30 total units.",IF(ABS(F7-230)&lt;0.01,"Correct - self-check complete","Try again - Add the three layer costs, then divide by 30 total units."))</f>
        <v/>
      </c>
    </row>
    <row r="8" ht="58" customHeight="1">
      <c r="B8" s="8" t="n">
        <v>3</v>
      </c>
      <c r="C8" s="9" t="inlineStr">
        <is>
          <t>Inventory methods</t>
        </is>
      </c>
      <c r="D8" s="9" t="inlineStr">
        <is>
          <t>WAC COGS: 20 units sold using the $230.00 weighted-average unit cost.</t>
        </is>
      </c>
      <c r="E8" s="16" t="inlineStr">
        <is>
          <t>Multiply units sold by WAC unit cost.</t>
        </is>
      </c>
      <c r="F8" s="17" t="n"/>
      <c r="G8" s="9" t="inlineStr">
        <is>
          <t>Use 20 units sold times the weighted-average cost.</t>
        </is>
      </c>
      <c r="H8" s="18">
        <f>IF(F8="","Hint: Use 20 units sold times the weighted-average cost.",IF(ABS(F8-4600)&lt;0.01,"Correct - self-check complete","Try again - Use 20 units sold times the weighted-average cost."))</f>
        <v/>
      </c>
    </row>
    <row r="9" ht="58" customHeight="1">
      <c r="B9" s="10" t="n">
        <v>4</v>
      </c>
      <c r="C9" s="11" t="inlineStr">
        <is>
          <t>COGS schedule</t>
        </is>
      </c>
      <c r="D9" s="11" t="inlineStr">
        <is>
          <t>Beginning inventory $12,400, purchases $38,600, ending inventory $9,800.</t>
        </is>
      </c>
      <c r="E9" s="16" t="inlineStr">
        <is>
          <t>Calculate COGS.</t>
        </is>
      </c>
      <c r="F9" s="17" t="n"/>
      <c r="G9" s="11" t="inlineStr">
        <is>
          <t>Beginning inventory + purchases - ending inventory.</t>
        </is>
      </c>
      <c r="H9" s="18">
        <f>IF(F9="","Hint: Beginning inventory + purchases - ending inventory.",IF(ABS(F9-41200)&lt;0.01,"Correct - self-check complete","Try again - Beginning inventory + purchases - ending inventory."))</f>
        <v/>
      </c>
    </row>
    <row r="10" ht="58" customHeight="1">
      <c r="B10" s="8" t="n">
        <v>5</v>
      </c>
      <c r="C10" s="9" t="inlineStr">
        <is>
          <t>Margin vs. markup</t>
        </is>
      </c>
      <c r="D10" s="9" t="inlineStr">
        <is>
          <t>Surf bag sells for $80 and costs Tidal $48.</t>
        </is>
      </c>
      <c r="E10" s="16" t="inlineStr">
        <is>
          <t>Calculate gross margin percent.</t>
        </is>
      </c>
      <c r="F10" s="20" t="n"/>
      <c r="G10" s="9" t="inlineStr">
        <is>
          <t>Profit is $32. Margin divides profit by revenue.</t>
        </is>
      </c>
      <c r="H10" s="18">
        <f>IF(F10="","Hint: Profit is $32. Margin divides profit by revenue.",IF(OR(ABS(F10-0.4)&lt;0.001,ABS(F10-40.0)&lt;0.1),"Correct - self-check complete","Try again - Profit is $32. Margin divides profit by revenue."))</f>
        <v/>
      </c>
    </row>
    <row r="11" ht="58" customHeight="1">
      <c r="B11" s="10" t="n">
        <v>6</v>
      </c>
      <c r="C11" s="11" t="inlineStr">
        <is>
          <t>Margin vs. markup</t>
        </is>
      </c>
      <c r="D11" s="11" t="inlineStr">
        <is>
          <t>Surf bag sells for $80 and costs Tidal $48.</t>
        </is>
      </c>
      <c r="E11" s="16" t="inlineStr">
        <is>
          <t>Calculate markup percent.</t>
        </is>
      </c>
      <c r="F11" s="20" t="n"/>
      <c r="G11" s="11" t="inlineStr">
        <is>
          <t>Profit is $32. Markup divides profit by cost.</t>
        </is>
      </c>
      <c r="H11" s="18">
        <f>IF(F11="","Hint: Profit is $32. Markup divides profit by cost.",IF(OR(ABS(F11-0.6666666666666666)&lt;0.001,ABS(F11-66.66666666666666)&lt;0.1),"Correct - self-check complete","Try again - Profit is $32. Markup divides profit by cost."))</f>
        <v/>
      </c>
    </row>
    <row r="12" ht="58" customHeight="1">
      <c r="B12" s="8" t="n">
        <v>7</v>
      </c>
      <c r="C12" s="9" t="inlineStr">
        <is>
          <t>Overhead allocation</t>
        </is>
      </c>
      <c r="D12" s="9" t="inlineStr">
        <is>
          <t>Monthly rent $9,000. Surf Shop is 2,400 sq ft out of 4,000 total sq ft.</t>
        </is>
      </c>
      <c r="E12" s="16" t="inlineStr">
        <is>
          <t>Allocate rent to the Surf Shop.</t>
        </is>
      </c>
      <c r="F12" s="17" t="n"/>
      <c r="G12" s="9" t="inlineStr">
        <is>
          <t>First find the 60% space share, then multiply by rent.</t>
        </is>
      </c>
      <c r="H12" s="18">
        <f>IF(F12="","Hint: First find the 60% space share, then multiply by rent.",IF(ABS(F12-5400)&lt;0.01,"Correct - self-check complete","Try again - First find the 60% space share, then multiply by rent."))</f>
        <v/>
      </c>
    </row>
    <row r="13" ht="58" customHeight="1">
      <c r="B13" s="10" t="n">
        <v>8</v>
      </c>
      <c r="C13" s="11" t="inlineStr">
        <is>
          <t>Overhead rate</t>
        </is>
      </c>
      <c r="D13" s="11" t="inlineStr">
        <is>
          <t>Total overhead $22,000 and revenue $110,000.</t>
        </is>
      </c>
      <c r="E13" s="16" t="inlineStr">
        <is>
          <t>Calculate the overhead rate.</t>
        </is>
      </c>
      <c r="F13" s="20" t="n"/>
      <c r="G13" s="11" t="inlineStr">
        <is>
          <t>Overhead rate = total overhead divided by revenue.</t>
        </is>
      </c>
      <c r="H13" s="18">
        <f>IF(F13="","Hint: Overhead rate = total overhead divided by revenue.",IF(OR(ABS(F13-0.2)&lt;0.001,ABS(F13-20.0)&lt;0.1),"Correct - self-check complete","Try again - Overhead rate = total overhead divided by revenue."))</f>
        <v/>
      </c>
    </row>
    <row r="14" ht="22" customHeight="1"/>
    <row r="15" ht="22" customHeight="1"/>
    <row r="16" ht="22" customHeight="1">
      <c r="B16" s="31" t="inlineStr">
        <is>
          <t>Self-check score</t>
        </is>
      </c>
      <c r="C16" s="32" t="n"/>
      <c r="D16" s="33">
        <f>COUNTIF(H6:H13,"Correct*")&amp;" of 8 complete"</f>
        <v/>
      </c>
      <c r="E16" s="23" t="n"/>
      <c r="F16" s="23" t="n"/>
      <c r="G16" s="23" t="n"/>
      <c r="H16" s="23" t="n"/>
    </row>
  </sheetData>
  <mergeCells count="5">
    <mergeCell ref="B16:C16"/>
    <mergeCell ref="D16:H16"/>
    <mergeCell ref="B4:H4"/>
    <mergeCell ref="A2:H2"/>
    <mergeCell ref="A1:H1"/>
  </mergeCells>
  <pageMargins left="0.3" right="0.3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52" customWidth="1" min="3" max="3"/>
    <col width="30" customWidth="1" min="4" max="4"/>
    <col width="38" customWidth="1" min="5" max="5"/>
    <col width="24" customWidth="1" min="6" max="6"/>
  </cols>
  <sheetData>
    <row r="1" ht="42" customHeight="1">
      <c r="A1" s="1" t="inlineStr">
        <is>
          <t>M06 · L01 — Class Challenge | Tidal Goods Co.</t>
        </is>
      </c>
    </row>
    <row r="2" ht="24" customHeight="1">
      <c r="A2" s="3" t="inlineStr">
        <is>
          <t>Graded or next-level activity. Build formulas from the facts; explain the business meaning in your own words.</t>
        </is>
      </c>
    </row>
    <row r="3" ht="22" customHeight="1"/>
    <row r="4" ht="24" customHeight="1">
      <c r="A4" s="34" t="inlineStr">
        <is>
          <t>Minimum 15-question challenge: no hints, just model-building and judgment.</t>
        </is>
      </c>
      <c r="B4" s="27" t="n"/>
      <c r="C4" s="27" t="n"/>
      <c r="D4" s="27" t="n"/>
      <c r="E4" s="27" t="n"/>
      <c r="F4" s="27" t="n"/>
    </row>
    <row r="5" ht="28" customHeight="1">
      <c r="A5" s="7" t="inlineStr">
        <is>
          <t>#</t>
        </is>
      </c>
      <c r="B5" s="7" t="inlineStr">
        <is>
          <t>Scenario</t>
        </is>
      </c>
      <c r="C5" s="7" t="inlineStr">
        <is>
          <t>Given facts from the lesson</t>
        </is>
      </c>
      <c r="D5" s="7" t="inlineStr">
        <is>
          <t>Formula to build</t>
        </is>
      </c>
      <c r="E5" s="7" t="inlineStr">
        <is>
          <t>Your answer / formula</t>
        </is>
      </c>
      <c r="F5" s="7" t="inlineStr">
        <is>
          <t>Business meaning</t>
        </is>
      </c>
    </row>
    <row r="6" ht="56" customHeight="1">
      <c r="A6" s="8" t="inlineStr">
        <is>
          <t>C1</t>
        </is>
      </c>
      <c r="B6" s="9" t="inlineStr">
        <is>
          <t>FIFO COGS for 20 boards</t>
        </is>
      </c>
      <c r="C6" s="9" t="inlineStr">
        <is>
          <t>Use 10 units at $210, 10 at $230, 10 at $250, and 20 units sold.</t>
        </is>
      </c>
      <c r="D6" s="9" t="inlineStr">
        <is>
          <t>COGS under FIFO</t>
        </is>
      </c>
      <c r="E6" s="17" t="n"/>
      <c r="F6" s="9" t="inlineStr">
        <is>
          <t>Why does FIFO use the oldest layers first?</t>
        </is>
      </c>
    </row>
    <row r="7" ht="56" customHeight="1">
      <c r="A7" s="10" t="inlineStr">
        <is>
          <t>C2</t>
        </is>
      </c>
      <c r="B7" s="11" t="inlineStr">
        <is>
          <t>LIFO COGS for 20 boards</t>
        </is>
      </c>
      <c r="C7" s="11" t="inlineStr">
        <is>
          <t>Use the same purchase layers and 20 units sold.</t>
        </is>
      </c>
      <c r="D7" s="11" t="inlineStr">
        <is>
          <t>COGS under LIFO</t>
        </is>
      </c>
      <c r="E7" s="17" t="n"/>
      <c r="F7" s="11" t="inlineStr">
        <is>
          <t>Why would LIFO show lower profit during inflation?</t>
        </is>
      </c>
    </row>
    <row r="8" ht="56" customHeight="1">
      <c r="A8" s="8" t="inlineStr">
        <is>
          <t>C3</t>
        </is>
      </c>
      <c r="B8" s="9" t="inlineStr">
        <is>
          <t>Weighted-average unit cost</t>
        </is>
      </c>
      <c r="C8" s="9" t="inlineStr">
        <is>
          <t>Use 10 units at $210, 10 at $230, and 10 at $250.</t>
        </is>
      </c>
      <c r="D8" s="9" t="inlineStr">
        <is>
          <t>WAC unit cost</t>
        </is>
      </c>
      <c r="E8" s="17" t="n"/>
      <c r="F8" s="9" t="inlineStr">
        <is>
          <t>Why is WAC between FIFO and LIFO?</t>
        </is>
      </c>
    </row>
    <row r="9" ht="56" customHeight="1">
      <c r="A9" s="10" t="inlineStr">
        <is>
          <t>C4</t>
        </is>
      </c>
      <c r="B9" s="11" t="inlineStr">
        <is>
          <t>Weighted-average COGS</t>
        </is>
      </c>
      <c r="C9" s="11" t="inlineStr">
        <is>
          <t>Use 20 units sold and the blended $230.00 unit cost.</t>
        </is>
      </c>
      <c r="D9" s="11" t="inlineStr">
        <is>
          <t>COGS under WAC</t>
        </is>
      </c>
      <c r="E9" s="17" t="n"/>
      <c r="F9" s="11" t="inlineStr">
        <is>
          <t>What does WAC smooth out?</t>
        </is>
      </c>
    </row>
    <row r="10" ht="56" customHeight="1">
      <c r="A10" s="8" t="inlineStr">
        <is>
          <t>C5</t>
        </is>
      </c>
      <c r="B10" s="9" t="inlineStr">
        <is>
          <t>Method spread</t>
        </is>
      </c>
      <c r="C10" s="9" t="inlineStr">
        <is>
          <t>Use FIFO COGS $4,400 and LIFO COGS $4,800.</t>
        </is>
      </c>
      <c r="D10" s="9" t="inlineStr">
        <is>
          <t>Difference between LIFO and FIFO COGS</t>
        </is>
      </c>
      <c r="E10" s="17" t="n"/>
      <c r="F10" s="9" t="inlineStr">
        <is>
          <t>Why is the spread a management decision, not a math error?</t>
        </is>
      </c>
    </row>
    <row r="11" ht="56" customHeight="1">
      <c r="A11" s="10" t="inlineStr">
        <is>
          <t>C6</t>
        </is>
      </c>
      <c r="B11" s="11" t="inlineStr">
        <is>
          <t>FIFO ending inventory</t>
        </is>
      </c>
      <c r="C11" s="11" t="inlineStr">
        <is>
          <t>Use the one remaining layer after selling 20 units under FIFO.</t>
        </is>
      </c>
      <c r="D11" s="11" t="inlineStr">
        <is>
          <t>Ending inventory under FIFO</t>
        </is>
      </c>
      <c r="E11" s="17" t="n"/>
      <c r="F11" s="11" t="inlineStr">
        <is>
          <t>Which layer is still on the shelf?</t>
        </is>
      </c>
    </row>
    <row r="12" ht="56" customHeight="1">
      <c r="A12" s="8" t="inlineStr">
        <is>
          <t>C7</t>
        </is>
      </c>
      <c r="B12" s="9" t="inlineStr">
        <is>
          <t>Goods available for sale</t>
        </is>
      </c>
      <c r="C12" s="9" t="inlineStr">
        <is>
          <t>Use beginning inventory $12,400 and purchases $38,600.</t>
        </is>
      </c>
      <c r="D12" s="9" t="inlineStr">
        <is>
          <t>Goods available for sale</t>
        </is>
      </c>
      <c r="E12" s="17" t="n"/>
      <c r="F12" s="9" t="inlineStr">
        <is>
          <t>Why must COGS be less than goods available?</t>
        </is>
      </c>
    </row>
    <row r="13" ht="56" customHeight="1">
      <c r="A13" s="10" t="inlineStr">
        <is>
          <t>C8</t>
        </is>
      </c>
      <c r="B13" s="11" t="inlineStr">
        <is>
          <t>COGS schedule</t>
        </is>
      </c>
      <c r="C13" s="11" t="inlineStr">
        <is>
          <t>Use beginning inventory $12,400, purchases $38,600, and ending inventory $9,800.</t>
        </is>
      </c>
      <c r="D13" s="11" t="inlineStr">
        <is>
          <t>Cost of goods sold</t>
        </is>
      </c>
      <c r="E13" s="17" t="n"/>
      <c r="F13" s="11" t="inlineStr">
        <is>
          <t>Why is ending inventory subtracted?</t>
        </is>
      </c>
    </row>
    <row r="14" ht="56" customHeight="1">
      <c r="A14" s="8" t="inlineStr">
        <is>
          <t>C9</t>
        </is>
      </c>
      <c r="B14" s="9" t="inlineStr">
        <is>
          <t>Gross profit</t>
        </is>
      </c>
      <c r="C14" s="9" t="inlineStr">
        <is>
          <t>Use revenue $110,000 and COGS $41,200.</t>
        </is>
      </c>
      <c r="D14" s="9" t="inlineStr">
        <is>
          <t>Gross profit</t>
        </is>
      </c>
      <c r="E14" s="17" t="n"/>
      <c r="F14" s="9" t="inlineStr">
        <is>
          <t>What cost has not been subtracted yet?</t>
        </is>
      </c>
    </row>
    <row r="15" ht="56" customHeight="1">
      <c r="A15" s="10" t="inlineStr">
        <is>
          <t>C10</t>
        </is>
      </c>
      <c r="B15" s="11" t="inlineStr">
        <is>
          <t>Gross margin percent</t>
        </is>
      </c>
      <c r="C15" s="11" t="inlineStr">
        <is>
          <t>Use gross profit $68,800 and revenue $110,000.</t>
        </is>
      </c>
      <c r="D15" s="11" t="inlineStr">
        <is>
          <t>Gross margin %</t>
        </is>
      </c>
      <c r="E15" s="20" t="n"/>
      <c r="F15" s="11" t="inlineStr">
        <is>
          <t>Why does margin divide by revenue?</t>
        </is>
      </c>
    </row>
    <row r="16" ht="56" customHeight="1">
      <c r="A16" s="8" t="inlineStr">
        <is>
          <t>C11</t>
        </is>
      </c>
      <c r="B16" s="9" t="inlineStr">
        <is>
          <t>Surf bag margin</t>
        </is>
      </c>
      <c r="C16" s="9" t="inlineStr">
        <is>
          <t>Use the $80 selling price and $48 cost from the pricing example.</t>
        </is>
      </c>
      <c r="D16" s="9" t="inlineStr">
        <is>
          <t>Gross margin %</t>
        </is>
      </c>
      <c r="E16" s="20" t="n"/>
      <c r="F16" s="9" t="inlineStr">
        <is>
          <t>Name the denominator before calculating.</t>
        </is>
      </c>
    </row>
    <row r="17" ht="56" customHeight="1">
      <c r="A17" s="10" t="inlineStr">
        <is>
          <t>C12</t>
        </is>
      </c>
      <c r="B17" s="11" t="inlineStr">
        <is>
          <t>Surf bag markup</t>
        </is>
      </c>
      <c r="C17" s="11" t="inlineStr">
        <is>
          <t>Use the same $80 selling price and $48 cost.</t>
        </is>
      </c>
      <c r="D17" s="11" t="inlineStr">
        <is>
          <t>Markup %</t>
        </is>
      </c>
      <c r="E17" s="20" t="n"/>
      <c r="F17" s="11" t="inlineStr">
        <is>
          <t>Why is markup larger than margin?</t>
        </is>
      </c>
    </row>
    <row r="18" ht="56" customHeight="1">
      <c r="A18" s="8" t="inlineStr">
        <is>
          <t>C13</t>
        </is>
      </c>
      <c r="B18" s="9" t="inlineStr">
        <is>
          <t>Surf Shop rent allocation</t>
        </is>
      </c>
      <c r="C18" s="9" t="inlineStr">
        <is>
          <t>Use $9,000 rent, 2,400 Surf Shop sq ft, and 4,000 total sq ft.</t>
        </is>
      </c>
      <c r="D18" s="9" t="inlineStr">
        <is>
          <t>Rent allocated to Surf Shop</t>
        </is>
      </c>
      <c r="E18" s="17" t="n"/>
      <c r="F18" s="9" t="inlineStr">
        <is>
          <t>What makes square footage a reasonable base?</t>
        </is>
      </c>
    </row>
    <row r="19" ht="56" customHeight="1">
      <c r="A19" s="10" t="inlineStr">
        <is>
          <t>C14</t>
        </is>
      </c>
      <c r="B19" s="11" t="inlineStr">
        <is>
          <t>Warehouse rent allocation</t>
        </is>
      </c>
      <c r="C19" s="11" t="inlineStr">
        <is>
          <t>Use $9,000 rent, 1,600 Warehouse sq ft, and 4,000 total sq ft.</t>
        </is>
      </c>
      <c r="D19" s="11" t="inlineStr">
        <is>
          <t>Rent allocated to Online Warehouse</t>
        </is>
      </c>
      <c r="E19" s="17" t="n"/>
      <c r="F19" s="11" t="inlineStr">
        <is>
          <t>Why do both allocations need to sum to rent?</t>
        </is>
      </c>
    </row>
    <row r="20" ht="56" customHeight="1">
      <c r="A20" s="8" t="inlineStr">
        <is>
          <t>C15</t>
        </is>
      </c>
      <c r="B20" s="9" t="inlineStr">
        <is>
          <t>Overhead rate</t>
        </is>
      </c>
      <c r="C20" s="9" t="inlineStr">
        <is>
          <t>Use total overhead $22,000 and revenue $110,000.</t>
        </is>
      </c>
      <c r="D20" s="9" t="inlineStr">
        <is>
          <t>Overhead rate</t>
        </is>
      </c>
      <c r="E20" s="20" t="n"/>
      <c r="F20" s="9" t="inlineStr">
        <is>
          <t>Why does this rate move when revenue changes?</t>
        </is>
      </c>
    </row>
  </sheetData>
  <mergeCells count="3">
    <mergeCell ref="A2:F2"/>
    <mergeCell ref="A1:F1"/>
    <mergeCell ref="A4:F4"/>
  </mergeCells>
  <pageMargins left="0.3" right="0.3" top="0.5" bottom="0.5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8" customWidth="1" min="3" max="3"/>
    <col width="42" customWidth="1" min="4" max="4"/>
  </cols>
  <sheetData>
    <row r="1" ht="42" customHeight="1">
      <c r="A1" s="1" t="inlineStr">
        <is>
          <t>BUS123 · MATH-M06 — Formula Reference Card</t>
        </is>
      </c>
    </row>
    <row r="2" ht="24" customHeight="1">
      <c r="A2" s="3" t="inlineStr">
        <is>
          <t>Use this only after choosing the right business question and denominator.</t>
        </is>
      </c>
    </row>
    <row r="3" ht="22" customHeight="1"/>
    <row r="4" ht="28" customHeight="1">
      <c r="A4" s="7" t="inlineStr">
        <is>
          <t>Concept</t>
        </is>
      </c>
      <c r="B4" s="7" t="inlineStr">
        <is>
          <t>Excel Pattern</t>
        </is>
      </c>
      <c r="C4" s="7" t="inlineStr">
        <is>
          <t>Plain-English Meaning</t>
        </is>
      </c>
      <c r="D4" s="7" t="inlineStr">
        <is>
          <t>Watch Out For</t>
        </is>
      </c>
    </row>
    <row r="5" ht="42" customHeight="1">
      <c r="A5" s="11" t="inlineStr">
        <is>
          <t>COGS</t>
        </is>
      </c>
      <c r="B5" s="26" t="inlineStr">
        <is>
          <t>=BeginningInventory+Purchases-EndingInventory</t>
        </is>
      </c>
      <c r="C5" s="11" t="inlineStr">
        <is>
          <t>Calculates product cost sold during the period.</t>
        </is>
      </c>
      <c r="D5" s="11" t="inlineStr">
        <is>
          <t>Ending inventory is subtracted.</t>
        </is>
      </c>
    </row>
    <row r="6" ht="42" customHeight="1">
      <c r="A6" s="9" t="inlineStr">
        <is>
          <t>Goods available for sale</t>
        </is>
      </c>
      <c r="B6" s="26" t="inlineStr">
        <is>
          <t>=BeginningInventory+Purchases</t>
        </is>
      </c>
      <c r="C6" s="9" t="inlineStr">
        <is>
          <t>Shows total inventory cost available to sell.</t>
        </is>
      </c>
      <c r="D6" s="9" t="inlineStr">
        <is>
          <t>COGS cannot exceed this amount.</t>
        </is>
      </c>
    </row>
    <row r="7" ht="42" customHeight="1">
      <c r="A7" s="11" t="inlineStr">
        <is>
          <t>Gross profit</t>
        </is>
      </c>
      <c r="B7" s="26" t="inlineStr">
        <is>
          <t>=Revenue-COGS</t>
        </is>
      </c>
      <c r="C7" s="11" t="inlineStr">
        <is>
          <t>Shows profit before overhead and operating costs.</t>
        </is>
      </c>
      <c r="D7" s="11" t="inlineStr">
        <is>
          <t>Revenue and COGS must cover the same period.</t>
        </is>
      </c>
    </row>
    <row r="8" ht="42" customHeight="1">
      <c r="A8" s="9" t="inlineStr">
        <is>
          <t>Gross margin percent</t>
        </is>
      </c>
      <c r="B8" s="26" t="inlineStr">
        <is>
          <t>=GrossProfit/Revenue</t>
        </is>
      </c>
      <c r="C8" s="9" t="inlineStr">
        <is>
          <t>Shows percent of revenue left after product cost.</t>
        </is>
      </c>
      <c r="D8" s="9" t="inlineStr">
        <is>
          <t>Margin divides by revenue.</t>
        </is>
      </c>
    </row>
    <row r="9" ht="42" customHeight="1">
      <c r="A9" s="11" t="inlineStr">
        <is>
          <t>Markup percent</t>
        </is>
      </c>
      <c r="B9" s="26" t="inlineStr">
        <is>
          <t>=(Revenue-Cost)/Cost</t>
        </is>
      </c>
      <c r="C9" s="11" t="inlineStr">
        <is>
          <t>Shows profit as a percent of cost.</t>
        </is>
      </c>
      <c r="D9" s="11" t="inlineStr">
        <is>
          <t>Markup divides by cost, not revenue.</t>
        </is>
      </c>
    </row>
    <row r="10" ht="42" customHeight="1">
      <c r="A10" s="9" t="inlineStr">
        <is>
          <t>WAC unit cost</t>
        </is>
      </c>
      <c r="B10" s="26" t="inlineStr">
        <is>
          <t>=TotalCostAvailable/TotalUnitsAvailable</t>
        </is>
      </c>
      <c r="C10" s="9" t="inlineStr">
        <is>
          <t>Blends purchase layers into one average unit cost.</t>
        </is>
      </c>
      <c r="D10" s="9" t="inlineStr">
        <is>
          <t>Recalculate when new stock arrives.</t>
        </is>
      </c>
    </row>
    <row r="11" ht="42" customHeight="1">
      <c r="A11" s="11" t="inlineStr">
        <is>
          <t>Overhead allocated</t>
        </is>
      </c>
      <c r="B11" s="26" t="inlineStr">
        <is>
          <t>=TotalOverhead*DeptPercent</t>
        </is>
      </c>
      <c r="C11" s="11" t="inlineStr">
        <is>
          <t>Assigns shared overhead to the department share.</t>
        </is>
      </c>
      <c r="D11" s="11" t="inlineStr">
        <is>
          <t>The percent base must match the allocation driver.</t>
        </is>
      </c>
    </row>
    <row r="12" ht="42" customHeight="1">
      <c r="A12" s="9" t="inlineStr">
        <is>
          <t>Overhead rate</t>
        </is>
      </c>
      <c r="B12" s="26" t="inlineStr">
        <is>
          <t>=TotalOverhead/Revenue</t>
        </is>
      </c>
      <c r="C12" s="9" t="inlineStr">
        <is>
          <t>Shows overhead consumed by each revenue dollar.</t>
        </is>
      </c>
      <c r="D12" s="9" t="inlineStr">
        <is>
          <t>Rising rates can mean cost creep or revenue pressure.</t>
        </is>
      </c>
    </row>
  </sheetData>
  <mergeCells count="2">
    <mergeCell ref="A1:D1"/>
    <mergeCell ref="A2:D2"/>
  </mergeCell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2026-06-23T12:50:08Z</dcterms:created>
  <dcterms:modified xmlns:dcterms="http://purl.org/dc/terms/" xmlns:xsi="http://www.w3.org/2001/XMLSchema-instance" xsi:type="dcterms:W3CDTF">2026-06-23T12:56:15Z</dcterms:modified>
</cp:coreProperties>
</file>