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Part A · Simple Interest" sheetId="2" state="visible" r:id="rId4"/>
    <sheet name="Part B · Discounting" sheetId="3" state="visible" r:id="rId5"/>
    <sheet name="Part C · DCF Model" sheetId="4" state="visible" r:id="rId6"/>
    <sheet name="FormulaCard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<sst xmlns="http://schemas.openxmlformats.org/spreadsheetml/2006/main" count="168" uniqueCount="153">
  <si>
    <t xml:space="preserve">BUS123 · MATH-M08 · L01</t>
  </si>
  <si>
    <t xml:space="preserve">Simple Interest &amp; Discounting — Excel Activity</t>
  </si>
  <si>
    <t xml:space="preserve">Learning Objectives</t>
  </si>
  <si>
    <t xml:space="preserve">By the end of this activity you will be able to:</t>
  </si>
  <si>
    <t xml:space="preserve">1.  Calculate simple interest using I = P × R × T</t>
  </si>
  <si>
    <t xml:space="preserve">2.  Calculate future value using FV = P × (1 + R × T)</t>
  </si>
  <si>
    <t xml:space="preserve">3.  Discount a future cash flow back to present value using PV = FV ÷ (1 + R × T)</t>
  </si>
  <si>
    <t xml:space="preserve">4.  Build a basic discounted cash flow (DCF) model for multiple future payments</t>
  </si>
  <si>
    <t xml:space="preserve">Color Key — What Each Cell Color Means</t>
  </si>
  <si>
    <t xml:space="preserve">Yellow cell</t>
  </si>
  <si>
    <t xml:space="preserve">Your input — type your value here. Leave no yellow cell blank.</t>
  </si>
  <si>
    <t xml:space="preserve">Green cell</t>
  </si>
  <si>
    <t xml:space="preserve">Formula result — built by the spreadsheet automatically.</t>
  </si>
  <si>
    <t xml:space="preserve">White cell</t>
  </si>
  <si>
    <t xml:space="preserve">Pre-built formula — do not edit. Watch the formula bar.</t>
  </si>
  <si>
    <t xml:space="preserve">Cream cell</t>
  </si>
  <si>
    <t xml:space="preserve">Final answer / summary — check your work here.</t>
  </si>
  <si>
    <t xml:space="preserve">Activity Tabs — Where to Go</t>
  </si>
  <si>
    <t xml:space="preserve">Part A · Simple Interest</t>
  </si>
  <si>
    <t xml:space="preserve">Calculate interest earned and future value for three Meridian client loans.</t>
  </si>
  <si>
    <t xml:space="preserve">Part B · Discounting</t>
  </si>
  <si>
    <t xml:space="preserve">Discount individual future cash flows back to present value.</t>
  </si>
  <si>
    <t xml:space="preserve">Part C · DCF Model</t>
  </si>
  <si>
    <t xml:space="preserve">Build a complete discounted cash flow model for a stream of Meridian client payments.</t>
  </si>
  <si>
    <t xml:space="preserve">FormulaCard</t>
  </si>
  <si>
    <t xml:space="preserve">Quick reference for all formulas used in this activity. Keep this open.</t>
  </si>
  <si>
    <t xml:space="preserve">Simulated data for instructional purposes. Meridian Advisory Group is a fictional case study company.</t>
  </si>
  <si>
    <t xml:space="preserve">BUS123 · MATH-M08 · L01  |  Part A: Simple Interest</t>
  </si>
  <si>
    <t xml:space="preserve">Meridian Advisory Group — Short-Term Client Loans</t>
  </si>
  <si>
    <t xml:space="preserve">Section 1: Calculate Interest Earned   [ Formula:  I = P × R × T ]</t>
  </si>
  <si>
    <t xml:space="preserve">Client / Instrument</t>
  </si>
  <si>
    <t xml:space="preserve">Principal (P)</t>
  </si>
  <si>
    <t xml:space="preserve">Annual Rate (R)</t>
  </si>
  <si>
    <t xml:space="preserve">Time (T) — years</t>
  </si>
  <si>
    <t xml:space="preserve">Interest Earned (I)</t>
  </si>
  <si>
    <t xml:space="preserve">Enter as dollars</t>
  </si>
  <si>
    <t xml:space="preserve">Enter as decimal
(6% = 0.06)</t>
  </si>
  <si>
    <t xml:space="preserve">Enter in years
(9 mo = 0.75)</t>
  </si>
  <si>
    <t xml:space="preserve">Formula cell — auto-calculated</t>
  </si>
  <si>
    <t xml:space="preserve">Loan A — Personal note</t>
  </si>
  <si>
    <t xml:space="preserve">Loan B — Business credit</t>
  </si>
  <si>
    <t xml:space="preserve">Loan C — Equipment finance</t>
  </si>
  <si>
    <t xml:space="preserve">Use these values for Loans A, B, and C:</t>
  </si>
  <si>
    <t xml:space="preserve">Loan A:</t>
  </si>
  <si>
    <t xml:space="preserve">P = $5,000</t>
  </si>
  <si>
    <t xml:space="preserve">R = 6.0%  (0.06)</t>
  </si>
  <si>
    <t xml:space="preserve">T = 2 years</t>
  </si>
  <si>
    <t xml:space="preserve">Loan B:</t>
  </si>
  <si>
    <t xml:space="preserve">P = $12,500</t>
  </si>
  <si>
    <t xml:space="preserve">R = 7.5%  (0.075)</t>
  </si>
  <si>
    <t xml:space="preserve">T = 0.5 years (6 months)</t>
  </si>
  <si>
    <t xml:space="preserve">Loan C:</t>
  </si>
  <si>
    <t xml:space="preserve">P = $8,000</t>
  </si>
  <si>
    <t xml:space="preserve">R = 4.25% (0.0425)</t>
  </si>
  <si>
    <t xml:space="preserve">T = 0.75 years (9 months)</t>
  </si>
  <si>
    <t xml:space="preserve">Section 2: Calculate Future Value   [ Formula:  FV = P × (1 + R × T) ]</t>
  </si>
  <si>
    <t xml:space="preserve">Future Value (FV)</t>
  </si>
  <si>
    <t xml:space="preserve">Your P from above</t>
  </si>
  <si>
    <t xml:space="preserve">Your R from above</t>
  </si>
  <si>
    <t xml:space="preserve">Your T from above</t>
  </si>
  <si>
    <t xml:space="preserve">Formula — auto-calculated</t>
  </si>
  <si>
    <t xml:space="preserve">BUS123 · MATH-M08 · L01  |  Part B: Discounting</t>
  </si>
  <si>
    <t xml:space="preserve">Meridian Advisory Group — Discounting Future Cash Flows</t>
  </si>
  <si>
    <t xml:space="preserve">Section 1: Calculate Present Value   [ Formula:  PV = FV ÷ (1 + R × T) ]</t>
  </si>
  <si>
    <t xml:space="preserve">Receivable / Cash Flow</t>
  </si>
  <si>
    <t xml:space="preserve">Discount Rate (R)</t>
  </si>
  <si>
    <t xml:space="preserve">Present Value (PV)</t>
  </si>
  <si>
    <t xml:space="preserve">Enter future value ($)</t>
  </si>
  <si>
    <t xml:space="preserve">Enter as decimal
(7% = 0.07)</t>
  </si>
  <si>
    <t xml:space="preserve">Enter in years</t>
  </si>
  <si>
    <t xml:space="preserve">Receivable 1 — Consulting fee due</t>
  </si>
  <si>
    <t xml:space="preserve">Receivable 2 — Equipment sale proceeds</t>
  </si>
  <si>
    <t xml:space="preserve">Receivable 3 — Deferred client payment</t>
  </si>
  <si>
    <t xml:space="preserve">Use these values for Receivables 1, 2, and 3:</t>
  </si>
  <si>
    <t xml:space="preserve">Receivable 1:</t>
  </si>
  <si>
    <t xml:space="preserve">FV = $18,000</t>
  </si>
  <si>
    <t xml:space="preserve">R = 7.0%  (0.07)</t>
  </si>
  <si>
    <t xml:space="preserve">T = 2.0 years</t>
  </si>
  <si>
    <t xml:space="preserve">Receivable 2:</t>
  </si>
  <si>
    <t xml:space="preserve">FV = $25,000</t>
  </si>
  <si>
    <t xml:space="preserve">R = 6.5%  (0.065)</t>
  </si>
  <si>
    <t xml:space="preserve">T = 1.5 years</t>
  </si>
  <si>
    <t xml:space="preserve">Receivable 3:</t>
  </si>
  <si>
    <t xml:space="preserve">FV = $9,500</t>
  </si>
  <si>
    <t xml:space="preserve">R = 8.0%  (0.08)</t>
  </si>
  <si>
    <t xml:space="preserve">T = 0.75 years</t>
  </si>
  <si>
    <t xml:space="preserve">Section 2: Examine the Discount Factor   [ Discount Factor = 1 + R × T ]</t>
  </si>
  <si>
    <t xml:space="preserve">Receivable</t>
  </si>
  <si>
    <t xml:space="preserve">Time (T) yrs</t>
  </si>
  <si>
    <t xml:space="preserve">Discount Factor</t>
  </si>
  <si>
    <t xml:space="preserve">What you paid per $1 of future value</t>
  </si>
  <si>
    <t xml:space="preserve">Receivable 1</t>
  </si>
  <si>
    <t xml:space="preserve">Receivable 2</t>
  </si>
  <si>
    <t xml:space="preserve">Receivable 3</t>
  </si>
  <si>
    <t xml:space="preserve">Observation: As R or T increases, the discount factor grows — and the value per $1 of future cash shrinks. Why?</t>
  </si>
  <si>
    <t xml:space="preserve">BUS123 · MATH-M08 · L01  |  Part C: Discounted Cash Flow Model</t>
  </si>
  <si>
    <t xml:space="preserve">Meridian Advisory Group — Client Portfolio Valuation</t>
  </si>
  <si>
    <t xml:space="preserve">SCENARIO: Meridian Advisory Group represents a business client who will receive a series of future payments from a contract. The client wants to know what those future payments are worth TODAY — so they can decide whether to sell the contract now or hold it.
Your job: build the DCF model. Discount each payment back to present value, then sum them.</t>
  </si>
  <si>
    <t xml:space="preserve">Global Assumption — Discount Rate</t>
  </si>
  <si>
    <t xml:space="preserve">Client's Required Return (Discount Rate):</t>
  </si>
  <si>
    <t xml:space="preserve">Enter as decimal — 0.06 for 6%</t>
  </si>
  <si>
    <t xml:space="preserve">Cash Flow Schedule &amp; Discounting   [ PV = FV ÷ (1 + R × T) ]</t>
  </si>
  <si>
    <t xml:space="preserve">Payment Description</t>
  </si>
  <si>
    <t xml:space="preserve">Future Value ($)</t>
  </si>
  <si>
    <t xml:space="preserve">Years from Today (T)</t>
  </si>
  <si>
    <t xml:space="preserve">Year 1 Payment — Consulting retainer</t>
  </si>
  <si>
    <t xml:space="preserve">Year 2 Payment — Project milestone</t>
  </si>
  <si>
    <t xml:space="preserve">Year 3 Payment — Contract completion</t>
  </si>
  <si>
    <t xml:space="preserve">Year 4 Payment — Licensing fee</t>
  </si>
  <si>
    <t xml:space="preserve">Year 5 Payment — Final settlement</t>
  </si>
  <si>
    <t xml:space="preserve">TOTAL PRESENT VALUE (Sum of all payments)</t>
  </si>
  <si>
    <t xml:space="preserve">Hint: Column F = 1 + R × T  |  Column G = C ÷ F  |  Total = SUM of Column G</t>
  </si>
  <si>
    <t xml:space="preserve">Reflection Question</t>
  </si>
  <si>
    <t xml:space="preserve">The contract seller is offering this series of payments for $75,000 today.
Based on your DCF model at the client's required return of 6%:
  (a)  What is the total present value of all five payments?
  (b)  Should the client pay $75,000 for this contract? Explain using your numbers.</t>
  </si>
  <si>
    <t xml:space="preserve">BUS123 · MATH-M08 · L01  |  Formula Reference Card</t>
  </si>
  <si>
    <t xml:space="preserve">Simple Interest &amp; Discounting — Keep this tab open during the activity</t>
  </si>
  <si>
    <t xml:space="preserve">Core Formulas</t>
  </si>
  <si>
    <t xml:space="preserve">Formula Name</t>
  </si>
  <si>
    <t xml:space="preserve">Algebraic Form</t>
  </si>
  <si>
    <t xml:space="preserve">Excel Form</t>
  </si>
  <si>
    <t xml:space="preserve">When to Use</t>
  </si>
  <si>
    <t xml:space="preserve">Simple Interest</t>
  </si>
  <si>
    <t xml:space="preserve">I = P × R × T</t>
  </si>
  <si>
    <t xml:space="preserve"> =C2*D2*E2</t>
  </si>
  <si>
    <t xml:space="preserve">Calculating interest on a short-term loan or note</t>
  </si>
  <si>
    <t xml:space="preserve">Future Value (Simple)</t>
  </si>
  <si>
    <t xml:space="preserve">FV = P × (1 + R × T)</t>
  </si>
  <si>
    <t xml:space="preserve"> =C2*(1+D2*E2)</t>
  </si>
  <si>
    <t xml:space="preserve">What will the investment be worth at maturity?</t>
  </si>
  <si>
    <t xml:space="preserve">Present Value (Simple)</t>
  </si>
  <si>
    <t xml:space="preserve">PV = FV ÷ (1 + R × T)</t>
  </si>
  <si>
    <t xml:space="preserve"> =C2/(1+D2*E2)</t>
  </si>
  <si>
    <t xml:space="preserve">What is a future payment worth today?</t>
  </si>
  <si>
    <t xml:space="preserve">DF = 1 + R × T</t>
  </si>
  <si>
    <t xml:space="preserve"> =1+D2*E2</t>
  </si>
  <si>
    <t xml:space="preserve">The multiplier that shrinks future value to PV</t>
  </si>
  <si>
    <t xml:space="preserve">Time Conversion — Months</t>
  </si>
  <si>
    <t xml:space="preserve">T = Months ÷ 12</t>
  </si>
  <si>
    <t xml:space="preserve"> =Months/12</t>
  </si>
  <si>
    <t xml:space="preserve">Convert months to years before using in formulas</t>
  </si>
  <si>
    <t xml:space="preserve">Time Conversion — Days</t>
  </si>
  <si>
    <t xml:space="preserve">T = Days ÷ 365</t>
  </si>
  <si>
    <t xml:space="preserve"> =Days/365</t>
  </si>
  <si>
    <t xml:space="preserve">Convert days to years (exact interest method)</t>
  </si>
  <si>
    <t xml:space="preserve">Common Mistakes to Avoid</t>
  </si>
  <si>
    <t xml:space="preserve">T Trap</t>
  </si>
  <si>
    <t xml:space="preserve">Never plug in days or months directly. Always convert to years first.</t>
  </si>
  <si>
    <t xml:space="preserve">Rate as %</t>
  </si>
  <si>
    <t xml:space="preserve">Rates go in as decimals. 6% = 0.06. Writing 6 instead of 0.06 inflates your answer 100×.</t>
  </si>
  <si>
    <t xml:space="preserve">Division order</t>
  </si>
  <si>
    <t xml:space="preserve">PV = FV ÷ (1 + R×T). Divide by the whole discount factor, not just R or T alone.</t>
  </si>
  <si>
    <t xml:space="preserve">Empty cells</t>
  </si>
  <si>
    <t xml:space="preserve">If C9 (discount rate) is empty, column D formulas will show errors. Fill assumptions first.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</si>
</sst>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.00"/>
    <numFmt numFmtId="166" formatCode="0.0000"/>
    <numFmt numFmtId="167" formatCode="0.00%"/>
    <numFmt numFmtId="168" formatCode="0.0"/>
  </numFmts>
  <fonts count="3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0E1116"/>
      <name val="Arial"/>
      <family val="0"/>
      <charset val="1"/>
    </font>
    <font>
      <sz val="10"/>
      <color rgb="FF0E1116"/>
      <name val="Arial"/>
      <family val="0"/>
      <charset val="1"/>
    </font>
    <font>
      <b val="true"/>
      <sz val="10"/>
      <color rgb="FF0070C0"/>
      <name val="Arial"/>
      <family val="0"/>
      <charset val="1"/>
    </font>
    <font>
      <sz val="10"/>
      <color rgb="FF444444"/>
      <name val="Arial"/>
      <family val="0"/>
      <charset val="1"/>
    </font>
    <font>
      <b val="true"/>
      <sz val="10"/>
      <color rgb="FF1A5C2A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B8843D"/>
      <name val="Arial"/>
      <family val="0"/>
      <charset val="1"/>
    </font>
    <font>
      <b val="true"/>
      <sz val="10"/>
      <color rgb="FF2D5C3D"/>
      <name val="Arial"/>
      <family val="0"/>
      <charset val="1"/>
    </font>
    <font>
      <i val="true"/>
      <sz val="9"/>
      <color rgb="FF888888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8"/>
      <color rgb="FF888888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70C0"/>
      <name val="Arial"/>
      <family val="0"/>
      <charset val="1"/>
    </font>
    <font>
      <sz val="10"/>
      <color rgb="FF1A5C2A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i val="true"/>
      <sz val="10"/>
      <color rgb="FF2D5C3D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0E1116"/>
      <name val="Arial"/>
      <family val="0"/>
      <charset val="1"/>
    </font>
    <font>
      <b val="true"/>
      <sz val="12"/>
      <color rgb="FF1A5C2A"/>
      <name val="Arial"/>
      <family val="0"/>
      <charset val="1"/>
    </font>
    <font>
      <b val="true"/>
      <sz val="9"/>
      <color rgb="FF0E1116"/>
      <name val="Arial"/>
      <family val="0"/>
      <charset val="1"/>
    </font>
    <font>
      <b val="true"/>
      <sz val="10"/>
      <color rgb="FF0E1116"/>
      <name val="Courier New"/>
      <family val="0"/>
      <charset val="1"/>
    </font>
    <font>
      <sz val="10"/>
      <color rgb="FF1A5C2A"/>
      <name val="Courier New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color rgb="FF8B1A0A"/>
      <name val="Arial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0E1116"/>
        <bgColor rgb="FF000000"/>
      </patternFill>
    </fill>
    <fill>
      <patternFill patternType="solid">
        <fgColor rgb="FF4A7C5E"/>
        <bgColor rgb="FF555555"/>
      </patternFill>
    </fill>
    <fill>
      <patternFill patternType="solid">
        <fgColor rgb="FF2D5C3D"/>
        <bgColor rgb="FF1A5C2A"/>
      </patternFill>
    </fill>
    <fill>
      <patternFill patternType="solid">
        <fgColor rgb="FFFFFFFF"/>
        <bgColor rgb="FFFAF8F3"/>
      </patternFill>
    </fill>
    <fill>
      <patternFill patternType="solid">
        <fgColor rgb="FFD6EAE0"/>
        <bgColor rgb="FFE2F0D9"/>
      </patternFill>
    </fill>
    <fill>
      <patternFill patternType="solid">
        <fgColor rgb="FFFFD966"/>
        <bgColor rgb="FFFFE8B0"/>
      </patternFill>
    </fill>
    <fill>
      <patternFill patternType="solid">
        <fgColor rgb="FFE2F0D9"/>
        <bgColor rgb="FFD6EAE0"/>
      </patternFill>
    </fill>
    <fill>
      <patternFill patternType="solid">
        <fgColor rgb="FFFFF3DC"/>
        <bgColor rgb="FFFDECEA"/>
      </patternFill>
    </fill>
    <fill>
      <patternFill patternType="solid">
        <fgColor rgb="FFFAF8F3"/>
        <bgColor rgb="FFFFFFFF"/>
      </patternFill>
    </fill>
    <fill>
      <patternFill patternType="solid">
        <fgColor rgb="FFFFE8B0"/>
        <bgColor rgb="FFFFF3DC"/>
      </patternFill>
    </fill>
    <fill>
      <patternFill patternType="solid">
        <fgColor rgb="FF9AEAE0"/>
        <bgColor rgb="FFD6EAE0"/>
      </patternFill>
    </fill>
    <fill>
      <patternFill patternType="solid">
        <fgColor rgb="FF8B1A0A"/>
        <bgColor rgb="FF800000"/>
      </patternFill>
    </fill>
    <fill>
      <patternFill patternType="solid">
        <fgColor rgb="FFFDECEA"/>
        <bgColor rgb="FFFFF3D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0E1116"/>
      </left>
      <right/>
      <top style="thin">
        <color rgb="FF0E1116"/>
      </top>
      <bottom style="thin">
        <color rgb="FF0E1116"/>
      </bottom>
      <diagonal/>
    </border>
    <border diagonalUp="false" diagonalDown="false">
      <left style="thin">
        <color rgb="FF4A7C5E"/>
      </left>
      <right/>
      <top style="thin">
        <color rgb="FF4A7C5E"/>
      </top>
      <bottom style="thin">
        <color rgb="FF4A7C5E"/>
      </bottom>
      <diagonal/>
    </border>
    <border diagonalUp="false" diagonalDown="false">
      <left style="thin">
        <color rgb="FF2D5C3D"/>
      </left>
      <right/>
      <top style="thin">
        <color rgb="FF2D5C3D"/>
      </top>
      <bottom style="thin">
        <color rgb="FF2D5C3D"/>
      </bottom>
      <diagonal/>
    </border>
    <border diagonalUp="false" diagonalDown="false">
      <left style="thin">
        <color rgb="FFB8843D"/>
      </left>
      <right style="thin">
        <color rgb="FFB8843D"/>
      </right>
      <top style="thin">
        <color rgb="FFB8843D"/>
      </top>
      <bottom style="thin">
        <color rgb="FFB8843D"/>
      </bottom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 diagonalUp="false" diagonalDown="false">
      <left style="thin">
        <color rgb="FFFFE8B0"/>
      </left>
      <right/>
      <top style="thin">
        <color rgb="FFFFE8B0"/>
      </top>
      <bottom style="thin">
        <color rgb="FFFFE8B0"/>
      </bottom>
      <diagonal/>
    </border>
    <border diagonalUp="false" diagonalDown="false">
      <left style="thin">
        <color rgb="FF4A7C5E"/>
      </left>
      <right/>
      <top style="thin">
        <color rgb="FF4A7C5E"/>
      </top>
      <bottom/>
      <diagonal/>
    </border>
    <border diagonalUp="false" diagonalDown="false">
      <left style="medium">
        <color rgb="FF4A7C5E"/>
      </left>
      <right style="medium">
        <color rgb="FF4A7C5E"/>
      </right>
      <top style="medium">
        <color rgb="FF4A7C5E"/>
      </top>
      <bottom style="medium">
        <color rgb="FF4A7C5E"/>
      </bottom>
      <diagonal/>
    </border>
    <border diagonalUp="false" diagonalDown="false">
      <left style="medium">
        <color rgb="FFB8843D"/>
      </left>
      <right style="medium">
        <color rgb="FFB8843D"/>
      </right>
      <top style="medium">
        <color rgb="FFB8843D"/>
      </top>
      <bottom style="medium">
        <color rgb="FFB8843D"/>
      </bottom>
      <diagonal/>
    </border>
    <border diagonalUp="false" diagonalDown="false">
      <left style="thin">
        <color rgb="FF9AEAE0"/>
      </left>
      <right/>
      <top style="thin">
        <color rgb="FF9AEAE0"/>
      </top>
      <bottom style="thin">
        <color rgb="FF9AEAE0"/>
      </bottom>
      <diagonal/>
    </border>
    <border diagonalUp="false" diagonalDown="false">
      <left style="thin">
        <color rgb="FF8B1A0A"/>
      </left>
      <right/>
      <top style="thin">
        <color rgb="FF8B1A0A"/>
      </top>
      <bottom style="thin">
        <color rgb="FF8B1A0A"/>
      </bottom>
      <diagonal/>
    </border>
    <border diagonalUp="false" diagonalDown="false">
      <left style="thin">
        <color rgb="FFCCCCCC"/>
      </left>
      <right/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6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7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7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8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8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5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9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9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6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1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7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0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11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9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9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20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6" borderId="7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3" fillId="0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7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19" fillId="1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0" fillId="5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9" fillId="1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9" fillId="7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9" fillId="7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9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9" borderId="8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5" fillId="9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12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7" fillId="6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8" fillId="6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6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5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7" fillId="5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8" fillId="5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5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13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14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14" borderId="12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A5C2A"/>
      <rgbColor rgb="FF000080"/>
      <rgbColor rgb="FFB8843D"/>
      <rgbColor rgb="FF800080"/>
      <rgbColor rgb="FF008080"/>
      <rgbColor rgb="FFCCCCCC"/>
      <rgbColor rgb="FF888888"/>
      <rgbColor rgb="FF9999FF"/>
      <rgbColor rgb="FF993366"/>
      <rgbColor rgb="FFFFF3DC"/>
      <rgbColor rgb="FFD6EAE0"/>
      <rgbColor rgb="FF660066"/>
      <rgbColor rgb="FFFF8080"/>
      <rgbColor rgb="FF0070C0"/>
      <rgbColor rgb="FFFDEC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AF8F3"/>
      <rgbColor rgb="FFE2F0D9"/>
      <rgbColor rgb="FFFFE8B0"/>
      <rgbColor rgb="FF9AEAE0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4A7C5E"/>
      <rgbColor rgb="FF0E1116"/>
      <rgbColor rgb="FF2D5C3D"/>
      <rgbColor rgb="FF8B1A0A"/>
      <rgbColor rgb="FF993366"/>
      <rgbColor rgb="FF33339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E1116"/>
    <pageSetUpPr fitToPage="false"/>
  </sheetPr>
  <dimension ref="A1:D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8"/>
    <col collapsed="false" customWidth="true" hidden="false" outlineLevel="0" max="3" min="3" style="1" width="52"/>
    <col collapsed="false" customWidth="true" hidden="false" outlineLevel="0" max="4" min="4" style="1" width="22"/>
  </cols>
  <sheetData>
    <row r="1" customFormat="false" ht="27.75" hidden="false" customHeight="true" outlineLevel="0" collapsed="false">
      <c r="A1" s="2" t="s">
        <v>0</v>
      </c>
      <c r="B1" s="2"/>
      <c r="C1" s="2"/>
      <c r="D1" s="2"/>
    </row>
    <row r="2" customFormat="false" ht="21.75" hidden="false" customHeight="true" outlineLevel="0" collapsed="false">
      <c r="A2" s="3" t="s">
        <v>1</v>
      </c>
      <c r="B2" s="3"/>
      <c r="C2" s="3"/>
      <c r="D2" s="3"/>
    </row>
    <row r="3" customFormat="false" ht="9.75" hidden="false" customHeight="true" outlineLevel="0" collapsed="false"/>
    <row r="4" customFormat="false" ht="27.75" hidden="false" customHeight="true" outlineLevel="0" collapsed="false">
      <c r="A4" s="4" t="s">
        <v>2</v>
      </c>
      <c r="B4" s="4"/>
      <c r="C4" s="4"/>
      <c r="D4" s="4"/>
    </row>
    <row r="5" customFormat="false" ht="19.5" hidden="false" customHeight="true" outlineLevel="0" collapsed="false">
      <c r="A5" s="5" t="s">
        <v>3</v>
      </c>
      <c r="B5" s="5"/>
      <c r="C5" s="5"/>
      <c r="D5" s="5"/>
    </row>
    <row r="6" customFormat="false" ht="19.5" hidden="false" customHeight="true" outlineLevel="0" collapsed="false">
      <c r="A6" s="6" t="s">
        <v>4</v>
      </c>
      <c r="B6" s="6"/>
      <c r="C6" s="6"/>
      <c r="D6" s="6"/>
    </row>
    <row r="7" customFormat="false" ht="19.5" hidden="false" customHeight="true" outlineLevel="0" collapsed="false">
      <c r="A7" s="6" t="s">
        <v>5</v>
      </c>
      <c r="B7" s="6"/>
      <c r="C7" s="6"/>
      <c r="D7" s="6"/>
    </row>
    <row r="8" customFormat="false" ht="19.5" hidden="false" customHeight="true" outlineLevel="0" collapsed="false">
      <c r="A8" s="6" t="s">
        <v>6</v>
      </c>
      <c r="B8" s="6"/>
      <c r="C8" s="6"/>
      <c r="D8" s="6"/>
    </row>
    <row r="9" customFormat="false" ht="19.5" hidden="false" customHeight="true" outlineLevel="0" collapsed="false">
      <c r="A9" s="6" t="s">
        <v>7</v>
      </c>
      <c r="B9" s="6"/>
      <c r="C9" s="6"/>
      <c r="D9" s="6"/>
    </row>
    <row r="10" customFormat="false" ht="9.75" hidden="false" customHeight="true" outlineLevel="0" collapsed="false"/>
    <row r="11" customFormat="false" ht="27.75" hidden="false" customHeight="true" outlineLevel="0" collapsed="false">
      <c r="A11" s="4" t="s">
        <v>8</v>
      </c>
      <c r="B11" s="4"/>
      <c r="C11" s="4"/>
      <c r="D11" s="4"/>
    </row>
    <row r="12" customFormat="false" ht="19.5" hidden="false" customHeight="true" outlineLevel="0" collapsed="false">
      <c r="A12" s="7"/>
      <c r="B12" s="8" t="s">
        <v>9</v>
      </c>
      <c r="C12" s="9" t="s">
        <v>10</v>
      </c>
    </row>
    <row r="13" customFormat="false" ht="19.5" hidden="false" customHeight="true" outlineLevel="0" collapsed="false">
      <c r="A13" s="10"/>
      <c r="B13" s="11" t="s">
        <v>11</v>
      </c>
      <c r="C13" s="9" t="s">
        <v>12</v>
      </c>
    </row>
    <row r="14" customFormat="false" ht="19.5" hidden="false" customHeight="true" outlineLevel="0" collapsed="false">
      <c r="A14" s="12"/>
      <c r="B14" s="13" t="s">
        <v>13</v>
      </c>
      <c r="C14" s="9" t="s">
        <v>14</v>
      </c>
    </row>
    <row r="15" customFormat="false" ht="19.5" hidden="false" customHeight="true" outlineLevel="0" collapsed="false">
      <c r="A15" s="14"/>
      <c r="B15" s="15" t="s">
        <v>15</v>
      </c>
      <c r="C15" s="9" t="s">
        <v>16</v>
      </c>
    </row>
    <row r="16" customFormat="false" ht="9.75" hidden="false" customHeight="true" outlineLevel="0" collapsed="false"/>
    <row r="17" customFormat="false" ht="27.75" hidden="false" customHeight="true" outlineLevel="0" collapsed="false">
      <c r="A17" s="4" t="s">
        <v>17</v>
      </c>
      <c r="B17" s="4"/>
      <c r="C17" s="4"/>
      <c r="D17" s="4"/>
    </row>
    <row r="18" customFormat="false" ht="19.5" hidden="false" customHeight="true" outlineLevel="0" collapsed="false">
      <c r="B18" s="16" t="s">
        <v>18</v>
      </c>
      <c r="C18" s="17" t="s">
        <v>19</v>
      </c>
    </row>
    <row r="19" customFormat="false" ht="19.5" hidden="false" customHeight="true" outlineLevel="0" collapsed="false">
      <c r="B19" s="16" t="s">
        <v>20</v>
      </c>
      <c r="C19" s="17" t="s">
        <v>21</v>
      </c>
    </row>
    <row r="20" customFormat="false" ht="19.5" hidden="false" customHeight="true" outlineLevel="0" collapsed="false">
      <c r="B20" s="16" t="s">
        <v>22</v>
      </c>
      <c r="C20" s="17" t="s">
        <v>23</v>
      </c>
    </row>
    <row r="21" customFormat="false" ht="19.5" hidden="false" customHeight="true" outlineLevel="0" collapsed="false">
      <c r="B21" s="16" t="s">
        <v>24</v>
      </c>
      <c r="C21" s="17" t="s">
        <v>25</v>
      </c>
    </row>
    <row r="22" customFormat="false" ht="9.75" hidden="false" customHeight="true" outlineLevel="0" collapsed="false"/>
    <row r="23" customFormat="false" ht="15" hidden="false" customHeight="true" outlineLevel="0" collapsed="false">
      <c r="B23" s="18" t="s">
        <v>26</v>
      </c>
      <c r="C23" s="18"/>
      <c r="D23" s="18"/>
    </row>
  </sheetData>
  <mergeCells count="11">
    <mergeCell ref="A1:D1"/>
    <mergeCell ref="A2:D2"/>
    <mergeCell ref="A4:D4"/>
    <mergeCell ref="A5:D5"/>
    <mergeCell ref="A6:D6"/>
    <mergeCell ref="A7:D7"/>
    <mergeCell ref="A8:D8"/>
    <mergeCell ref="A9:D9"/>
    <mergeCell ref="A11:D11"/>
    <mergeCell ref="A17:D17"/>
    <mergeCell ref="B23:D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D5C3D"/>
    <pageSetUpPr fitToPage="false"/>
  </sheetPr>
  <dimension ref="A1:F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8"/>
    <col collapsed="false" customWidth="true" hidden="false" outlineLevel="0" max="3" min="3" style="1" width="18"/>
    <col collapsed="false" customWidth="true" hidden="false" outlineLevel="0" max="5" min="4" style="1" width="14"/>
    <col collapsed="false" customWidth="true" hidden="false" outlineLevel="0" max="6" min="6" style="1" width="16"/>
  </cols>
  <sheetData>
    <row r="1" customFormat="false" ht="27.75" hidden="false" customHeight="true" outlineLevel="0" collapsed="false">
      <c r="A1" s="19" t="s">
        <v>27</v>
      </c>
      <c r="B1" s="19"/>
      <c r="C1" s="19"/>
      <c r="D1" s="19"/>
      <c r="E1" s="19"/>
      <c r="F1" s="19"/>
    </row>
    <row r="2" customFormat="false" ht="27.75" hidden="false" customHeight="true" outlineLevel="0" collapsed="false">
      <c r="A2" s="20" t="s">
        <v>28</v>
      </c>
      <c r="B2" s="20"/>
      <c r="C2" s="20"/>
      <c r="D2" s="20"/>
      <c r="E2" s="20"/>
      <c r="F2" s="20"/>
    </row>
    <row r="3" customFormat="false" ht="9.75" hidden="false" customHeight="true" outlineLevel="0" collapsed="false"/>
    <row r="4" customFormat="false" ht="27.75" hidden="false" customHeight="true" outlineLevel="0" collapsed="false">
      <c r="A4" s="21" t="s">
        <v>29</v>
      </c>
      <c r="B4" s="21"/>
      <c r="C4" s="21"/>
      <c r="D4" s="21"/>
      <c r="E4" s="21"/>
      <c r="F4" s="21"/>
    </row>
    <row r="5" customFormat="false" ht="21.75" hidden="false" customHeight="true" outlineLevel="0" collapsed="false">
      <c r="A5" s="22"/>
      <c r="B5" s="22" t="s">
        <v>30</v>
      </c>
      <c r="C5" s="22" t="s">
        <v>31</v>
      </c>
      <c r="D5" s="22" t="s">
        <v>32</v>
      </c>
      <c r="E5" s="22" t="s">
        <v>33</v>
      </c>
      <c r="F5" s="22" t="s">
        <v>34</v>
      </c>
    </row>
    <row r="6" customFormat="false" ht="27.75" hidden="false" customHeight="true" outlineLevel="0" collapsed="false">
      <c r="A6" s="23"/>
      <c r="B6" s="23"/>
      <c r="C6" s="23" t="s">
        <v>35</v>
      </c>
      <c r="D6" s="23" t="s">
        <v>36</v>
      </c>
      <c r="E6" s="23" t="s">
        <v>37</v>
      </c>
      <c r="F6" s="23" t="s">
        <v>38</v>
      </c>
    </row>
    <row r="7" customFormat="false" ht="21.75" hidden="false" customHeight="true" outlineLevel="0" collapsed="false">
      <c r="B7" s="24" t="s">
        <v>39</v>
      </c>
      <c r="C7" s="25"/>
      <c r="D7" s="25"/>
      <c r="E7" s="25"/>
      <c r="F7" s="26" t="n">
        <f aca="false">C7*D7*E7</f>
        <v>0</v>
      </c>
    </row>
    <row r="8" customFormat="false" ht="21.75" hidden="false" customHeight="true" outlineLevel="0" collapsed="false">
      <c r="B8" s="24" t="s">
        <v>40</v>
      </c>
      <c r="C8" s="25"/>
      <c r="D8" s="25"/>
      <c r="E8" s="25"/>
      <c r="F8" s="26" t="n">
        <f aca="false">C8*D8*E8</f>
        <v>0</v>
      </c>
    </row>
    <row r="9" customFormat="false" ht="21.75" hidden="false" customHeight="true" outlineLevel="0" collapsed="false">
      <c r="B9" s="24" t="s">
        <v>41</v>
      </c>
      <c r="C9" s="25"/>
      <c r="D9" s="25"/>
      <c r="E9" s="25"/>
      <c r="F9" s="26" t="n">
        <f aca="false">C9*D9*E9</f>
        <v>0</v>
      </c>
    </row>
    <row r="10" customFormat="false" ht="9.75" hidden="false" customHeight="true" outlineLevel="0" collapsed="false"/>
    <row r="11" customFormat="false" ht="27.75" hidden="false" customHeight="true" outlineLevel="0" collapsed="false">
      <c r="A11" s="27" t="s">
        <v>42</v>
      </c>
      <c r="B11" s="27"/>
      <c r="C11" s="27"/>
      <c r="D11" s="27"/>
      <c r="E11" s="27"/>
      <c r="F11" s="27"/>
    </row>
    <row r="12" customFormat="false" ht="19.5" hidden="false" customHeight="true" outlineLevel="0" collapsed="false">
      <c r="B12" s="28" t="s">
        <v>43</v>
      </c>
      <c r="C12" s="29" t="s">
        <v>44</v>
      </c>
      <c r="D12" s="29" t="s">
        <v>45</v>
      </c>
      <c r="E12" s="29" t="s">
        <v>46</v>
      </c>
    </row>
    <row r="13" customFormat="false" ht="19.5" hidden="false" customHeight="true" outlineLevel="0" collapsed="false">
      <c r="B13" s="28" t="s">
        <v>47</v>
      </c>
      <c r="C13" s="29" t="s">
        <v>48</v>
      </c>
      <c r="D13" s="29" t="s">
        <v>49</v>
      </c>
      <c r="E13" s="29" t="s">
        <v>50</v>
      </c>
    </row>
    <row r="14" customFormat="false" ht="19.5" hidden="false" customHeight="true" outlineLevel="0" collapsed="false">
      <c r="B14" s="28" t="s">
        <v>51</v>
      </c>
      <c r="C14" s="29" t="s">
        <v>52</v>
      </c>
      <c r="D14" s="29" t="s">
        <v>53</v>
      </c>
      <c r="E14" s="29" t="s">
        <v>54</v>
      </c>
    </row>
    <row r="15" customFormat="false" ht="15.75" hidden="false" customHeight="true" outlineLevel="0" collapsed="false"/>
    <row r="16" customFormat="false" ht="27.75" hidden="false" customHeight="true" outlineLevel="0" collapsed="false">
      <c r="A16" s="21" t="s">
        <v>55</v>
      </c>
      <c r="B16" s="21"/>
      <c r="C16" s="21"/>
      <c r="D16" s="21"/>
      <c r="E16" s="21"/>
      <c r="F16" s="21"/>
    </row>
    <row r="17" customFormat="false" ht="21.75" hidden="false" customHeight="true" outlineLevel="0" collapsed="false">
      <c r="A17" s="22"/>
      <c r="B17" s="22" t="s">
        <v>30</v>
      </c>
      <c r="C17" s="22" t="s">
        <v>31</v>
      </c>
      <c r="D17" s="22" t="s">
        <v>32</v>
      </c>
      <c r="E17" s="22" t="s">
        <v>33</v>
      </c>
      <c r="F17" s="22" t="s">
        <v>56</v>
      </c>
    </row>
    <row r="18" customFormat="false" ht="19.5" hidden="false" customHeight="true" outlineLevel="0" collapsed="false">
      <c r="A18" s="23"/>
      <c r="B18" s="23"/>
      <c r="C18" s="23" t="s">
        <v>57</v>
      </c>
      <c r="D18" s="23" t="s">
        <v>58</v>
      </c>
      <c r="E18" s="23" t="s">
        <v>59</v>
      </c>
      <c r="F18" s="23" t="s">
        <v>60</v>
      </c>
    </row>
    <row r="19" customFormat="false" ht="21.75" hidden="false" customHeight="true" outlineLevel="0" collapsed="false">
      <c r="B19" s="24" t="s">
        <v>39</v>
      </c>
      <c r="C19" s="25"/>
      <c r="D19" s="25"/>
      <c r="E19" s="25"/>
      <c r="F19" s="26" t="n">
        <f aca="false">C19*(1+D19*E19)</f>
        <v>0</v>
      </c>
    </row>
    <row r="20" customFormat="false" ht="21.75" hidden="false" customHeight="true" outlineLevel="0" collapsed="false">
      <c r="B20" s="24" t="s">
        <v>40</v>
      </c>
      <c r="C20" s="25"/>
      <c r="D20" s="25"/>
      <c r="E20" s="25"/>
      <c r="F20" s="26" t="n">
        <f aca="false">C20*(1+D20*E20)</f>
        <v>0</v>
      </c>
    </row>
    <row r="21" customFormat="false" ht="21.75" hidden="false" customHeight="true" outlineLevel="0" collapsed="false">
      <c r="B21" s="24" t="s">
        <v>41</v>
      </c>
      <c r="C21" s="25"/>
      <c r="D21" s="25"/>
      <c r="E21" s="25"/>
      <c r="F21" s="26" t="n">
        <f aca="false">C21*(1+D21*E21)</f>
        <v>0</v>
      </c>
    </row>
  </sheetData>
  <mergeCells count="5">
    <mergeCell ref="A1:F1"/>
    <mergeCell ref="A2:F2"/>
    <mergeCell ref="A4:F4"/>
    <mergeCell ref="A11:F11"/>
    <mergeCell ref="A16:F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D5C3D"/>
    <pageSetUpPr fitToPage="false"/>
  </sheetPr>
  <dimension ref="A1:F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8"/>
    <col collapsed="false" customWidth="true" hidden="false" outlineLevel="0" max="3" min="3" style="1" width="18"/>
    <col collapsed="false" customWidth="true" hidden="false" outlineLevel="0" max="5" min="4" style="1" width="14"/>
    <col collapsed="false" customWidth="true" hidden="false" outlineLevel="0" max="6" min="6" style="1" width="16"/>
  </cols>
  <sheetData>
    <row r="1" customFormat="false" ht="27.75" hidden="false" customHeight="true" outlineLevel="0" collapsed="false">
      <c r="A1" s="19" t="s">
        <v>61</v>
      </c>
      <c r="B1" s="19"/>
      <c r="C1" s="19"/>
      <c r="D1" s="19"/>
      <c r="E1" s="19"/>
      <c r="F1" s="19"/>
    </row>
    <row r="2" customFormat="false" ht="27.75" hidden="false" customHeight="true" outlineLevel="0" collapsed="false">
      <c r="A2" s="20" t="s">
        <v>62</v>
      </c>
      <c r="B2" s="20"/>
      <c r="C2" s="20"/>
      <c r="D2" s="20"/>
      <c r="E2" s="20"/>
      <c r="F2" s="20"/>
    </row>
    <row r="3" customFormat="false" ht="9.75" hidden="false" customHeight="true" outlineLevel="0" collapsed="false"/>
    <row r="4" customFormat="false" ht="27.75" hidden="false" customHeight="true" outlineLevel="0" collapsed="false">
      <c r="A4" s="21" t="s">
        <v>63</v>
      </c>
      <c r="B4" s="21"/>
      <c r="C4" s="21"/>
      <c r="D4" s="21"/>
      <c r="E4" s="21"/>
      <c r="F4" s="21"/>
    </row>
    <row r="5" customFormat="false" ht="21.75" hidden="false" customHeight="true" outlineLevel="0" collapsed="false">
      <c r="A5" s="22"/>
      <c r="B5" s="22" t="s">
        <v>64</v>
      </c>
      <c r="C5" s="22" t="s">
        <v>56</v>
      </c>
      <c r="D5" s="22" t="s">
        <v>65</v>
      </c>
      <c r="E5" s="22" t="s">
        <v>33</v>
      </c>
      <c r="F5" s="22" t="s">
        <v>66</v>
      </c>
    </row>
    <row r="6" customFormat="false" ht="27.75" hidden="false" customHeight="true" outlineLevel="0" collapsed="false">
      <c r="A6" s="23"/>
      <c r="B6" s="23"/>
      <c r="C6" s="23" t="s">
        <v>67</v>
      </c>
      <c r="D6" s="23" t="s">
        <v>68</v>
      </c>
      <c r="E6" s="23" t="s">
        <v>69</v>
      </c>
      <c r="F6" s="23" t="s">
        <v>60</v>
      </c>
    </row>
    <row r="7" customFormat="false" ht="21.75" hidden="false" customHeight="true" outlineLevel="0" collapsed="false">
      <c r="B7" s="24" t="s">
        <v>70</v>
      </c>
      <c r="C7" s="25"/>
      <c r="D7" s="25"/>
      <c r="E7" s="25"/>
      <c r="F7" s="26" t="n">
        <f aca="false">C7/(1+D7*E7)</f>
        <v>0</v>
      </c>
    </row>
    <row r="8" customFormat="false" ht="21.75" hidden="false" customHeight="true" outlineLevel="0" collapsed="false">
      <c r="B8" s="24" t="s">
        <v>71</v>
      </c>
      <c r="C8" s="25"/>
      <c r="D8" s="25"/>
      <c r="E8" s="25"/>
      <c r="F8" s="26" t="n">
        <f aca="false">C8/(1+D8*E8)</f>
        <v>0</v>
      </c>
    </row>
    <row r="9" customFormat="false" ht="21.75" hidden="false" customHeight="true" outlineLevel="0" collapsed="false">
      <c r="B9" s="24" t="s">
        <v>72</v>
      </c>
      <c r="C9" s="25"/>
      <c r="D9" s="25"/>
      <c r="E9" s="25"/>
      <c r="F9" s="26" t="n">
        <f aca="false">C9/(1+D9*E9)</f>
        <v>0</v>
      </c>
    </row>
    <row r="10" customFormat="false" ht="9.75" hidden="false" customHeight="true" outlineLevel="0" collapsed="false"/>
    <row r="11" customFormat="false" ht="27.75" hidden="false" customHeight="true" outlineLevel="0" collapsed="false">
      <c r="A11" s="27" t="s">
        <v>73</v>
      </c>
      <c r="B11" s="27"/>
      <c r="C11" s="27"/>
      <c r="D11" s="27"/>
      <c r="E11" s="27"/>
      <c r="F11" s="27"/>
    </row>
    <row r="12" customFormat="false" ht="19.5" hidden="false" customHeight="true" outlineLevel="0" collapsed="false">
      <c r="B12" s="28" t="s">
        <v>74</v>
      </c>
      <c r="C12" s="29" t="s">
        <v>75</v>
      </c>
      <c r="D12" s="29" t="s">
        <v>76</v>
      </c>
      <c r="E12" s="29" t="s">
        <v>77</v>
      </c>
    </row>
    <row r="13" customFormat="false" ht="19.5" hidden="false" customHeight="true" outlineLevel="0" collapsed="false">
      <c r="B13" s="28" t="s">
        <v>78</v>
      </c>
      <c r="C13" s="29" t="s">
        <v>79</v>
      </c>
      <c r="D13" s="29" t="s">
        <v>80</v>
      </c>
      <c r="E13" s="29" t="s">
        <v>81</v>
      </c>
    </row>
    <row r="14" customFormat="false" ht="19.5" hidden="false" customHeight="true" outlineLevel="0" collapsed="false">
      <c r="B14" s="28" t="s">
        <v>82</v>
      </c>
      <c r="C14" s="29" t="s">
        <v>83</v>
      </c>
      <c r="D14" s="29" t="s">
        <v>84</v>
      </c>
      <c r="E14" s="29" t="s">
        <v>85</v>
      </c>
    </row>
    <row r="15" customFormat="false" ht="15.75" hidden="false" customHeight="true" outlineLevel="0" collapsed="false"/>
    <row r="16" customFormat="false" ht="27.75" hidden="false" customHeight="true" outlineLevel="0" collapsed="false">
      <c r="A16" s="21" t="s">
        <v>86</v>
      </c>
      <c r="B16" s="21"/>
      <c r="C16" s="21"/>
      <c r="D16" s="21"/>
      <c r="E16" s="21"/>
      <c r="F16" s="21"/>
    </row>
    <row r="17" customFormat="false" ht="21.75" hidden="false" customHeight="true" outlineLevel="0" collapsed="false">
      <c r="A17" s="22"/>
      <c r="B17" s="22" t="s">
        <v>87</v>
      </c>
      <c r="C17" s="22" t="s">
        <v>65</v>
      </c>
      <c r="D17" s="22" t="s">
        <v>88</v>
      </c>
      <c r="E17" s="22" t="s">
        <v>89</v>
      </c>
      <c r="F17" s="22" t="s">
        <v>90</v>
      </c>
    </row>
    <row r="18" customFormat="false" ht="21.75" hidden="false" customHeight="true" outlineLevel="0" collapsed="false">
      <c r="B18" s="24" t="s">
        <v>91</v>
      </c>
      <c r="C18" s="25"/>
      <c r="D18" s="25"/>
      <c r="E18" s="30" t="n">
        <f aca="false">1+C18*D18</f>
        <v>1</v>
      </c>
      <c r="F18" s="30" t="n">
        <f aca="false">1/E18</f>
        <v>1</v>
      </c>
    </row>
    <row r="19" customFormat="false" ht="21.75" hidden="false" customHeight="true" outlineLevel="0" collapsed="false">
      <c r="B19" s="24" t="s">
        <v>92</v>
      </c>
      <c r="C19" s="25"/>
      <c r="D19" s="25"/>
      <c r="E19" s="30" t="n">
        <f aca="false">1+C19*D19</f>
        <v>1</v>
      </c>
      <c r="F19" s="30" t="n">
        <f aca="false">1/E19</f>
        <v>1</v>
      </c>
    </row>
    <row r="20" customFormat="false" ht="21.75" hidden="false" customHeight="true" outlineLevel="0" collapsed="false">
      <c r="B20" s="24" t="s">
        <v>93</v>
      </c>
      <c r="C20" s="25"/>
      <c r="D20" s="25"/>
      <c r="E20" s="30" t="n">
        <f aca="false">1+C20*D20</f>
        <v>1</v>
      </c>
      <c r="F20" s="30" t="n">
        <f aca="false">1/E20</f>
        <v>1</v>
      </c>
    </row>
    <row r="21" customFormat="false" ht="9.75" hidden="false" customHeight="true" outlineLevel="0" collapsed="false"/>
    <row r="22" customFormat="false" ht="23.25" hidden="false" customHeight="true" outlineLevel="0" collapsed="false">
      <c r="B22" s="31" t="s">
        <v>94</v>
      </c>
      <c r="C22" s="31"/>
      <c r="D22" s="31"/>
      <c r="E22" s="31"/>
      <c r="F22" s="31"/>
    </row>
  </sheetData>
  <mergeCells count="6">
    <mergeCell ref="A1:F1"/>
    <mergeCell ref="A2:F2"/>
    <mergeCell ref="A4:F4"/>
    <mergeCell ref="A11:F11"/>
    <mergeCell ref="A16:F16"/>
    <mergeCell ref="B22:F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843D"/>
    <pageSetUpPr fitToPage="false"/>
  </sheetPr>
  <dimension ref="A1:G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5" min="4" style="1" width="14"/>
    <col collapsed="false" customWidth="true" hidden="false" outlineLevel="0" max="6" min="6" style="1" width="18"/>
    <col collapsed="false" customWidth="true" hidden="false" outlineLevel="0" max="7" min="7" style="1" width="20"/>
  </cols>
  <sheetData>
    <row r="1" customFormat="false" ht="27.75" hidden="false" customHeight="true" outlineLevel="0" collapsed="false">
      <c r="A1" s="19" t="s">
        <v>95</v>
      </c>
      <c r="B1" s="19"/>
      <c r="C1" s="19"/>
      <c r="D1" s="19"/>
      <c r="E1" s="19"/>
      <c r="F1" s="19"/>
      <c r="G1" s="19"/>
    </row>
    <row r="2" customFormat="false" ht="27.75" hidden="false" customHeight="true" outlineLevel="0" collapsed="false">
      <c r="A2" s="20" t="s">
        <v>96</v>
      </c>
      <c r="B2" s="20"/>
      <c r="C2" s="20"/>
      <c r="D2" s="20"/>
      <c r="E2" s="20"/>
      <c r="F2" s="20"/>
      <c r="G2" s="20"/>
    </row>
    <row r="3" customFormat="false" ht="9.75" hidden="false" customHeight="true" outlineLevel="0" collapsed="false"/>
    <row r="4" customFormat="false" ht="69.75" hidden="false" customHeight="true" outlineLevel="0" collapsed="false">
      <c r="B4" s="32" t="s">
        <v>97</v>
      </c>
      <c r="C4" s="32"/>
      <c r="D4" s="32"/>
      <c r="E4" s="32"/>
      <c r="F4" s="32"/>
      <c r="G4" s="32"/>
    </row>
    <row r="5" customFormat="false" ht="15" hidden="false" customHeight="true" outlineLevel="0" collapsed="false">
      <c r="B5" s="32"/>
      <c r="C5" s="32"/>
      <c r="D5" s="32"/>
      <c r="E5" s="32"/>
      <c r="F5" s="32"/>
      <c r="G5" s="32"/>
    </row>
    <row r="6" customFormat="false" ht="15" hidden="false" customHeight="true" outlineLevel="0" collapsed="false">
      <c r="B6" s="32"/>
      <c r="C6" s="32"/>
      <c r="D6" s="32"/>
      <c r="E6" s="32"/>
      <c r="F6" s="32"/>
      <c r="G6" s="32"/>
    </row>
    <row r="7" customFormat="false" ht="9.75" hidden="false" customHeight="true" outlineLevel="0" collapsed="false"/>
    <row r="8" customFormat="false" ht="27.75" hidden="false" customHeight="true" outlineLevel="0" collapsed="false">
      <c r="A8" s="21" t="s">
        <v>98</v>
      </c>
      <c r="B8" s="21"/>
      <c r="C8" s="21"/>
      <c r="D8" s="21"/>
      <c r="E8" s="21"/>
      <c r="F8" s="21"/>
      <c r="G8" s="21"/>
    </row>
    <row r="9" customFormat="false" ht="24" hidden="false" customHeight="true" outlineLevel="0" collapsed="false">
      <c r="B9" s="33" t="s">
        <v>99</v>
      </c>
      <c r="C9" s="34"/>
      <c r="D9" s="35" t="s">
        <v>100</v>
      </c>
    </row>
    <row r="10" customFormat="false" ht="9.75" hidden="false" customHeight="true" outlineLevel="0" collapsed="false"/>
    <row r="11" customFormat="false" ht="27.75" hidden="false" customHeight="true" outlineLevel="0" collapsed="false">
      <c r="A11" s="21" t="s">
        <v>101</v>
      </c>
      <c r="B11" s="21"/>
      <c r="C11" s="21"/>
      <c r="D11" s="21"/>
      <c r="E11" s="21"/>
      <c r="F11" s="21"/>
      <c r="G11" s="21"/>
    </row>
    <row r="12" customFormat="false" ht="30" hidden="false" customHeight="true" outlineLevel="0" collapsed="false">
      <c r="A12" s="22"/>
      <c r="B12" s="22" t="s">
        <v>102</v>
      </c>
      <c r="C12" s="22" t="s">
        <v>103</v>
      </c>
      <c r="D12" s="22" t="s">
        <v>65</v>
      </c>
      <c r="E12" s="22" t="s">
        <v>104</v>
      </c>
      <c r="F12" s="22" t="s">
        <v>89</v>
      </c>
      <c r="G12" s="22" t="s">
        <v>66</v>
      </c>
    </row>
    <row r="13" customFormat="false" ht="21.75" hidden="false" customHeight="true" outlineLevel="0" collapsed="false">
      <c r="B13" s="24" t="s">
        <v>105</v>
      </c>
      <c r="C13" s="36" t="n">
        <v>12000</v>
      </c>
      <c r="D13" s="37" t="n">
        <f aca="false">$C$9</f>
        <v>0</v>
      </c>
      <c r="E13" s="38" t="n">
        <v>1</v>
      </c>
      <c r="F13" s="39"/>
      <c r="G13" s="40"/>
    </row>
    <row r="14" customFormat="false" ht="21.75" hidden="false" customHeight="true" outlineLevel="0" collapsed="false">
      <c r="B14" s="24" t="s">
        <v>106</v>
      </c>
      <c r="C14" s="36" t="n">
        <v>15500</v>
      </c>
      <c r="D14" s="37" t="n">
        <f aca="false">$C$9</f>
        <v>0</v>
      </c>
      <c r="E14" s="38" t="n">
        <v>2</v>
      </c>
      <c r="F14" s="39"/>
      <c r="G14" s="40"/>
    </row>
    <row r="15" customFormat="false" ht="21.75" hidden="false" customHeight="true" outlineLevel="0" collapsed="false">
      <c r="B15" s="24" t="s">
        <v>107</v>
      </c>
      <c r="C15" s="36" t="n">
        <v>18000</v>
      </c>
      <c r="D15" s="37" t="n">
        <f aca="false">$C$9</f>
        <v>0</v>
      </c>
      <c r="E15" s="38" t="n">
        <v>3</v>
      </c>
      <c r="F15" s="39"/>
      <c r="G15" s="40"/>
    </row>
    <row r="16" customFormat="false" ht="21.75" hidden="false" customHeight="true" outlineLevel="0" collapsed="false">
      <c r="B16" s="24" t="s">
        <v>108</v>
      </c>
      <c r="C16" s="36" t="n">
        <v>22000</v>
      </c>
      <c r="D16" s="37" t="n">
        <f aca="false">$C$9</f>
        <v>0</v>
      </c>
      <c r="E16" s="38" t="n">
        <v>4</v>
      </c>
      <c r="F16" s="39"/>
      <c r="G16" s="40"/>
    </row>
    <row r="17" customFormat="false" ht="21.75" hidden="false" customHeight="true" outlineLevel="0" collapsed="false">
      <c r="B17" s="24" t="s">
        <v>109</v>
      </c>
      <c r="C17" s="36" t="n">
        <v>30000</v>
      </c>
      <c r="D17" s="37" t="n">
        <f aca="false">$C$9</f>
        <v>0</v>
      </c>
      <c r="E17" s="38" t="n">
        <v>5</v>
      </c>
      <c r="F17" s="39"/>
      <c r="G17" s="40"/>
    </row>
    <row r="18" customFormat="false" ht="25.5" hidden="false" customHeight="true" outlineLevel="0" collapsed="false">
      <c r="B18" s="41" t="s">
        <v>110</v>
      </c>
      <c r="C18" s="42"/>
      <c r="D18" s="42"/>
      <c r="E18" s="42"/>
      <c r="F18" s="42"/>
      <c r="G18" s="43"/>
    </row>
    <row r="19" customFormat="false" ht="9.75" hidden="false" customHeight="true" outlineLevel="0" collapsed="false"/>
    <row r="20" customFormat="false" ht="27.75" hidden="false" customHeight="true" outlineLevel="0" collapsed="false">
      <c r="A20" s="44" t="s">
        <v>111</v>
      </c>
      <c r="B20" s="44"/>
      <c r="C20" s="44"/>
      <c r="D20" s="44"/>
      <c r="E20" s="44"/>
      <c r="F20" s="44"/>
      <c r="G20" s="44"/>
    </row>
    <row r="21" customFormat="false" ht="9.75" hidden="false" customHeight="true" outlineLevel="0" collapsed="false"/>
    <row r="22" customFormat="false" ht="27.75" hidden="false" customHeight="true" outlineLevel="0" collapsed="false">
      <c r="A22" s="21" t="s">
        <v>112</v>
      </c>
      <c r="B22" s="21"/>
      <c r="C22" s="21"/>
      <c r="D22" s="21"/>
      <c r="E22" s="21"/>
      <c r="F22" s="21"/>
      <c r="G22" s="21"/>
    </row>
    <row r="23" customFormat="false" ht="79.5" hidden="false" customHeight="true" outlineLevel="0" collapsed="false">
      <c r="B23" s="45" t="s">
        <v>113</v>
      </c>
      <c r="C23" s="45"/>
      <c r="D23" s="45"/>
      <c r="E23" s="45"/>
      <c r="F23" s="45"/>
      <c r="G23" s="45"/>
    </row>
    <row r="24" customFormat="false" ht="15" hidden="false" customHeight="true" outlineLevel="0" collapsed="false">
      <c r="B24" s="45"/>
      <c r="C24" s="45"/>
      <c r="D24" s="45"/>
      <c r="E24" s="45"/>
      <c r="F24" s="45"/>
      <c r="G24" s="45"/>
    </row>
    <row r="25" customFormat="false" ht="15" hidden="false" customHeight="true" outlineLevel="0" collapsed="false">
      <c r="B25" s="45"/>
      <c r="C25" s="45"/>
      <c r="D25" s="45"/>
      <c r="E25" s="45"/>
      <c r="F25" s="45"/>
      <c r="G25" s="45"/>
    </row>
  </sheetData>
  <mergeCells count="8">
    <mergeCell ref="A1:G1"/>
    <mergeCell ref="A2:G2"/>
    <mergeCell ref="B4:G6"/>
    <mergeCell ref="A8:G8"/>
    <mergeCell ref="A11:G11"/>
    <mergeCell ref="A20:G20"/>
    <mergeCell ref="A22:G22"/>
    <mergeCell ref="B23:G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88888"/>
    <pageSetUpPr fitToPage="false"/>
  </sheetPr>
  <dimension ref="A1:E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4" min="3" style="1" width="36"/>
    <col collapsed="false" customWidth="true" hidden="false" outlineLevel="0" max="5" min="5" style="1" width="18"/>
  </cols>
  <sheetData>
    <row r="1" customFormat="false" ht="27.75" hidden="false" customHeight="true" outlineLevel="0" collapsed="false">
      <c r="A1" s="19" t="s">
        <v>114</v>
      </c>
      <c r="B1" s="19"/>
      <c r="C1" s="19"/>
      <c r="D1" s="19"/>
      <c r="E1" s="19"/>
    </row>
    <row r="2" customFormat="false" ht="27.75" hidden="false" customHeight="true" outlineLevel="0" collapsed="false">
      <c r="A2" s="20" t="s">
        <v>115</v>
      </c>
      <c r="B2" s="20"/>
      <c r="C2" s="20"/>
      <c r="D2" s="20"/>
      <c r="E2" s="20"/>
    </row>
    <row r="3" customFormat="false" ht="9.75" hidden="false" customHeight="true" outlineLevel="0" collapsed="false"/>
    <row r="4" customFormat="false" ht="27.75" hidden="false" customHeight="true" outlineLevel="0" collapsed="false">
      <c r="A4" s="4" t="s">
        <v>116</v>
      </c>
      <c r="B4" s="4"/>
      <c r="C4" s="4"/>
      <c r="D4" s="4"/>
      <c r="E4" s="4"/>
    </row>
    <row r="5" customFormat="false" ht="21.75" hidden="false" customHeight="true" outlineLevel="0" collapsed="false">
      <c r="A5" s="22"/>
      <c r="B5" s="22" t="s">
        <v>117</v>
      </c>
      <c r="C5" s="22" t="s">
        <v>118</v>
      </c>
      <c r="D5" s="22" t="s">
        <v>119</v>
      </c>
      <c r="E5" s="22" t="s">
        <v>120</v>
      </c>
    </row>
    <row r="6" customFormat="false" ht="21.75" hidden="false" customHeight="true" outlineLevel="0" collapsed="false">
      <c r="B6" s="16" t="s">
        <v>121</v>
      </c>
      <c r="C6" s="46" t="s">
        <v>122</v>
      </c>
      <c r="D6" s="47" t="s">
        <v>123</v>
      </c>
      <c r="E6" s="48" t="s">
        <v>124</v>
      </c>
    </row>
    <row r="7" customFormat="false" ht="21.75" hidden="false" customHeight="true" outlineLevel="0" collapsed="false">
      <c r="B7" s="49" t="s">
        <v>125</v>
      </c>
      <c r="C7" s="50" t="s">
        <v>126</v>
      </c>
      <c r="D7" s="51" t="s">
        <v>127</v>
      </c>
      <c r="E7" s="52" t="s">
        <v>128</v>
      </c>
    </row>
    <row r="8" customFormat="false" ht="21.75" hidden="false" customHeight="true" outlineLevel="0" collapsed="false">
      <c r="B8" s="16" t="s">
        <v>129</v>
      </c>
      <c r="C8" s="46" t="s">
        <v>130</v>
      </c>
      <c r="D8" s="47" t="s">
        <v>131</v>
      </c>
      <c r="E8" s="48" t="s">
        <v>132</v>
      </c>
    </row>
    <row r="9" customFormat="false" ht="21.75" hidden="false" customHeight="true" outlineLevel="0" collapsed="false">
      <c r="B9" s="49" t="s">
        <v>89</v>
      </c>
      <c r="C9" s="50" t="s">
        <v>133</v>
      </c>
      <c r="D9" s="51" t="s">
        <v>134</v>
      </c>
      <c r="E9" s="52" t="s">
        <v>135</v>
      </c>
    </row>
    <row r="10" customFormat="false" ht="21.75" hidden="false" customHeight="true" outlineLevel="0" collapsed="false">
      <c r="B10" s="16" t="s">
        <v>136</v>
      </c>
      <c r="C10" s="46" t="s">
        <v>137</v>
      </c>
      <c r="D10" s="47" t="s">
        <v>138</v>
      </c>
      <c r="E10" s="48" t="s">
        <v>139</v>
      </c>
    </row>
    <row r="11" customFormat="false" ht="21.75" hidden="false" customHeight="true" outlineLevel="0" collapsed="false">
      <c r="B11" s="49" t="s">
        <v>140</v>
      </c>
      <c r="C11" s="50" t="s">
        <v>141</v>
      </c>
      <c r="D11" s="51" t="s">
        <v>142</v>
      </c>
      <c r="E11" s="52" t="s">
        <v>143</v>
      </c>
    </row>
    <row r="12" customFormat="false" ht="9.75" hidden="false" customHeight="true" outlineLevel="0" collapsed="false"/>
    <row r="13" customFormat="false" ht="27.75" hidden="false" customHeight="true" outlineLevel="0" collapsed="false">
      <c r="A13" s="53" t="s">
        <v>144</v>
      </c>
      <c r="B13" s="53"/>
      <c r="C13" s="53"/>
      <c r="D13" s="53"/>
      <c r="E13" s="53"/>
    </row>
    <row r="14" customFormat="false" ht="21.75" hidden="false" customHeight="true" outlineLevel="0" collapsed="false">
      <c r="B14" s="54" t="s">
        <v>145</v>
      </c>
      <c r="C14" s="55" t="s">
        <v>146</v>
      </c>
      <c r="D14" s="55"/>
      <c r="E14" s="55"/>
    </row>
    <row r="15" customFormat="false" ht="21.75" hidden="false" customHeight="true" outlineLevel="0" collapsed="false">
      <c r="B15" s="54" t="s">
        <v>147</v>
      </c>
      <c r="C15" s="55" t="s">
        <v>148</v>
      </c>
      <c r="D15" s="55"/>
      <c r="E15" s="55"/>
    </row>
    <row r="16" customFormat="false" ht="21.75" hidden="false" customHeight="true" outlineLevel="0" collapsed="false">
      <c r="B16" s="54" t="s">
        <v>149</v>
      </c>
      <c r="C16" s="55" t="s">
        <v>150</v>
      </c>
      <c r="D16" s="55"/>
      <c r="E16" s="55"/>
    </row>
    <row r="17" customFormat="false" ht="21.75" hidden="false" customHeight="true" outlineLevel="0" collapsed="false">
      <c r="B17" s="54" t="s">
        <v>151</v>
      </c>
      <c r="C17" s="55" t="s">
        <v>152</v>
      </c>
      <c r="D17" s="55"/>
      <c r="E17" s="55"/>
    </row>
  </sheetData>
  <mergeCells count="8">
    <mergeCell ref="A1:E1"/>
    <mergeCell ref="A2:E2"/>
    <mergeCell ref="A4:E4"/>
    <mergeCell ref="A13:E13"/>
    <mergeCell ref="C14:E14"/>
    <mergeCell ref="C15:E15"/>
    <mergeCell ref="C16:E16"/>
    <mergeCell ref="C17:E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2026-05-28T20:01:11Z</dcterms:created>
  <dc:creator>openpyxl</dc:creator>
  <dc:description/>
  <dc:language>en-US</dc:language>
  <cp:lastModifiedBy/>
  <dcterms:modified xsi:type="dcterms:W3CDTF">2026-05-28T20:02:37Z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