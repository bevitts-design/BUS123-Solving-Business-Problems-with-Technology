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Raw Data" sheetId="2" state="visible" r:id="rId4"/>
    <sheet name="Event Revenue Analysis" sheetId="3" state="visible" r:id="rId5"/>
    <sheet name="Challenge" sheetId="4" state="visible" r:id="rId6"/>
    <sheet name="FormulaReferenceC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<sst xmlns="http://schemas.openxmlformats.org/spreadsheetml/2006/main" count="156" uniqueCount="117">
  <si>
    <t xml:space="preserve">BUS123 · Solving Business Problems with Technology</t>
  </si>
  <si>
    <t xml:space="preserve">EXCEL-M01-L02 · Aggregate Functions &amp; Data Analysis</t>
  </si>
  <si>
    <t xml:space="preserve">Learning Objectives</t>
  </si>
  <si>
    <t xml:space="preserve">✓  I can write SUM, AVERAGE, MAX, MIN, COUNT, and COUNTA formulas.</t>
  </si>
  <si>
    <t xml:space="preserve">✓  I can connect data from one tab to another using cell references.</t>
  </si>
  <si>
    <t xml:space="preserve">✓  I can apply number formatting to make data readable.</t>
  </si>
  <si>
    <t xml:space="preserve">✓  I can interpret aggregate results in a business context.</t>
  </si>
  <si>
    <t xml:space="preserve">Color Guide</t>
  </si>
  <si>
    <t xml:space="preserve">Yellow cells = YOUR input — type your answer here</t>
  </si>
  <si>
    <t xml:space="preserve">Green feedback = Correct answer</t>
  </si>
  <si>
    <t xml:space="preserve">Red feedback = Try again</t>
  </si>
  <si>
    <t xml:space="preserve">White cells = Pre-filled data — do not edit</t>
  </si>
  <si>
    <t xml:space="preserve">Tab Map — Work in order →</t>
  </si>
  <si>
    <t xml:space="preserve">START HERE</t>
  </si>
  <si>
    <t xml:space="preserve">You are here — read before starting</t>
  </si>
  <si>
    <t xml:space="preserve">Raw Data</t>
  </si>
  <si>
    <t xml:space="preserve">Unformatted source data — do not edit</t>
  </si>
  <si>
    <t xml:space="preserve">Event Revenue Analysis</t>
  </si>
  <si>
    <t xml:space="preserve">Main activity — complete all 3 parts</t>
  </si>
  <si>
    <t xml:space="preserve">Challenge</t>
  </si>
  <si>
    <t xml:space="preserve">Stretch problems — try if you finish early</t>
  </si>
  <si>
    <t xml:space="preserve">FormulaReferenceCard</t>
  </si>
  <si>
    <t xml:space="preserve">Function reference — keep this open while working</t>
  </si>
  <si>
    <t xml:space="preserve">Case Study Company: Anchor &amp; Oak Events</t>
  </si>
  <si>
    <t xml:space="preserve">Anchor &amp; Oak Events is a boutique event planning company. They track revenue by event type (Weddings, Corporate, Private) across 12 months. Your job: analyze their revenue data using Excel aggregate functions.</t>
  </si>
  <si>
    <t xml:space="preserve">Anchor &amp; Oak Events — Revenue Export (Raw / Unformatted)</t>
  </si>
  <si>
    <t xml:space="preserve">⚠️  This is a raw data export. Lowercase headers, no currency symbols, no formatting. Do NOT edit this tab. Reference it from the analysis tab using cell references.</t>
  </si>
  <si>
    <t xml:space="preserve">month</t>
  </si>
  <si>
    <t xml:space="preserve">weddings</t>
  </si>
  <si>
    <t xml:space="preserve">corporate</t>
  </si>
  <si>
    <t xml:space="preserve">private</t>
  </si>
  <si>
    <t xml:space="preserve">total_revenue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</si>
  <si>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</si>
  <si>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</si>
  <si>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</si>
  <si>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</si>
  <si>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</si>
  <si>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</si>
  <si>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</si>
  <si>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</si>
  <si>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</si>
  <si>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</si>
  <si>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</si>
  <si>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</si>
  <si>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budget_target_monthly</t>
  </si>
  <si>
    <t xml:space="preserve">Event Revenue Analysis — Anchor &amp; Oak Events</t>
  </si>
  <si>
    <t xml:space="preserve">PART 1 — Build the Data Table (connect to Raw Data)</t>
  </si>
  <si>
    <t xml:space="preserve">In each yellow cell, write a formula that references the Raw Data tab. Example: ='Raw Data'!B5   |   Then add headers and apply currency format ($) to revenue columns.</t>
  </si>
  <si>
    <t xml:space="preserve">Month</t>
  </si>
  <si>
    <t xml:space="preserve">Weddings ($)</t>
  </si>
  <si>
    <t xml:space="preserve">Corporate ($)</t>
  </si>
  <si>
    <t xml:space="preserve">Private ($)</t>
  </si>
  <si>
    <t xml:space="preserve">Total Revenue ($)</t>
  </si>
  <si>
    <t xml:space="preserve">Feedback</t>
  </si>
  <si>
    <t xml:space="preserve">PART 2 — Aggregate Functions (write formulas in yellow cells)</t>
  </si>
  <si>
    <t xml:space="preserve">Use aggregate functions to summarize the Total Revenue column (F7:F18). Write each formula in the yellow cell — do not type the number directly.</t>
  </si>
  <si>
    <t xml:space="preserve">Calculation</t>
  </si>
  <si>
    <t xml:space="preserve">Function</t>
  </si>
  <si>
    <t xml:space="preserve">Your Formula</t>
  </si>
  <si>
    <t xml:space="preserve">Result</t>
  </si>
  <si>
    <t xml:space="preserve">Total Revenue (All Months)</t>
  </si>
  <si>
    <t xml:space="preserve">SUM</t>
  </si>
  <si>
    <t xml:space="preserve">Average Monthly Revenue</t>
  </si>
  <si>
    <t xml:space="preserve">AVERAGE</t>
  </si>
  <si>
    <t xml:space="preserve">Best Month (Highest)</t>
  </si>
  <si>
    <t xml:space="preserve">MAX</t>
  </si>
  <si>
    <t xml:space="preserve">Slowest Month (Lowest)</t>
  </si>
  <si>
    <t xml:space="preserve">MIN</t>
  </si>
  <si>
    <t xml:space="preserve">Months with Data (numbers)</t>
  </si>
  <si>
    <t xml:space="preserve">COUNT</t>
  </si>
  <si>
    <t xml:space="preserve">Months with Any Entry</t>
  </si>
  <si>
    <t xml:space="preserve">COUNTA</t>
  </si>
  <si>
    <t xml:space="preserve">PART 3 — Interpretation Questions (type your answers in yellow cells)</t>
  </si>
  <si>
    <t xml:space="preserve">Use your results from Part 2 to answer these business questions. Write your answer in the yellow cell — short phrases or numbers are fine.</t>
  </si>
  <si>
    <t xml:space="preserve">Q1:  Which month had the highest total revenue?</t>
  </si>
  <si>
    <t xml:space="preserve">Q2:  What is the difference between the best and slowest months? (write a formula)</t>
  </si>
  <si>
    <t xml:space="preserve">Q3:  How many months exceeded the $22,000 average? (use COUNTIF or count manually)</t>
  </si>
  <si>
    <t xml:space="preserve">Q4:  What does the AVERAGE tell Anchor &amp; Oak about their typical month?</t>
  </si>
  <si>
    <t xml:space="preserve">Challenge — Anchor &amp; Oak Events</t>
  </si>
  <si>
    <t xml:space="preserve">Stretch Problems — try these if you finish the main activity early</t>
  </si>
  <si>
    <t xml:space="preserve">PART A — Revenue by Event Type (SUM each column)</t>
  </si>
  <si>
    <t xml:space="preserve">Write a SUM formula for each event type (Weddings, Corporate, Private). Reference the Event Revenue Analysis tab using ='Event Revenue Analysis'!column. Copy your formula across all three columns using relative references.</t>
  </si>
  <si>
    <t xml:space="preserve">Event Type Total</t>
  </si>
  <si>
    <t xml:space="preserve">Notes</t>
  </si>
  <si>
    <t xml:space="preserve">Annual Total</t>
  </si>
  <si>
    <t xml:space="preserve">Write =SUM('Event Revenue Analysis'!C7:C18) for Weddings, then copy right</t>
  </si>
  <si>
    <t xml:space="preserve">PART B — Budget Variance with Absolute Reference ($55,000 target)</t>
  </si>
  <si>
    <t xml:space="preserve">The budget target ($55,000/month) is stored in cell H28 on this tab. Write a variance formula in column D using an absolute reference: =C12-$H$28. Copy the formula down all 12 rows. Then write an IF formula in column E to flag Above/Below budget.</t>
  </si>
  <si>
    <t xml:space="preserve">Variance vs Budget</t>
  </si>
  <si>
    <t xml:space="preserve">Above / Below?</t>
  </si>
  <si>
    <t xml:space="preserve">Budget Target →</t>
  </si>
  <si>
    <t xml:space="preserve">Formula Reference Card — EXCEL-M01-L02</t>
  </si>
  <si>
    <t xml:space="preserve">Keep this tab open while working. These are the functions you need.</t>
  </si>
  <si>
    <t xml:space="preserve">Syntax &amp; What It Does</t>
  </si>
  <si>
    <t xml:space="preserve">Example</t>
  </si>
  <si>
    <t xml:space="preserve"> =SUM(range)  →  Adds all numbers in a range</t>
  </si>
  <si>
    <t xml:space="preserve"> =SUM(F7:F18)  →  total of 12 months</t>
  </si>
  <si>
    <t xml:space="preserve"> =AVERAGE(range)  →  Calculates the mean</t>
  </si>
  <si>
    <t xml:space="preserve"> =AVERAGE(F7:F18)  →  average monthly revenue</t>
  </si>
  <si>
    <t xml:space="preserve"> =MAX(range)  →  Returns the largest value</t>
  </si>
  <si>
    <t xml:space="preserve"> =MAX(F7:F18)  →  best month</t>
  </si>
  <si>
    <t xml:space="preserve"> =MIN(range)  →  Returns the smallest value</t>
  </si>
  <si>
    <t xml:space="preserve"> =MIN(F7:F18)  →  slowest month</t>
  </si>
  <si>
    <t xml:space="preserve"> =COUNT(range)  →  Counts cells containing numbers</t>
  </si>
  <si>
    <t xml:space="preserve"> =COUNT(F7:F18)  →  months with revenue entered</t>
  </si>
  <si>
    <t xml:space="preserve"> =COUNTA(range)  →  Counts all non-empty cells (text or numbers)</t>
  </si>
  <si>
    <t xml:space="preserve"> =COUNTA(B7:B18)  →  months with any entry</t>
  </si>
  <si>
    <t xml:space="preserve">Cross-Tab Reference — How to Link Data Between Tabs</t>
  </si>
  <si>
    <t xml:space="preserve">Link to another tab:</t>
  </si>
  <si>
    <t xml:space="preserve"> ='tab name'!celladdress</t>
  </si>
  <si>
    <t xml:space="preserve"> ='Raw Data'!B5  →  brings in January Weddings revenue</t>
  </si>
  <si>
    <t xml:space="preserve">Absolute reference:</t>
  </si>
  <si>
    <t xml:space="preserve"> =$column$row  →  locks the cell when copied</t>
  </si>
  <si>
    <t xml:space="preserve"> =$H$28  →  always references the budget target</t>
  </si>
  <si>
    <t xml:space="preserve">Relative reference:</t>
  </si>
  <si>
    <t xml:space="preserve"> =column row  →  adjusts when copied down/across</t>
  </si>
  <si>
    <t xml:space="preserve"> =C12-$H$28  →  C changes per row, H28 stays fixed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</si>
</sst>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D4A052"/>
      <name val="Calibri"/>
      <family val="0"/>
      <charset val="1"/>
    </font>
    <font>
      <b val="true"/>
      <sz val="12"/>
      <color rgb="FFDDE8F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A6B3C"/>
      <name val="Calibri"/>
      <family val="0"/>
      <charset val="1"/>
    </font>
    <font>
      <b val="true"/>
      <sz val="11"/>
      <color rgb="FF1A1A2E"/>
      <name val="Calibri"/>
      <family val="0"/>
      <charset val="1"/>
    </font>
    <font>
      <sz val="11"/>
      <color rgb="FF1A1A2E"/>
      <name val="Calibri"/>
      <family val="0"/>
      <charset val="1"/>
    </font>
    <font>
      <sz val="11"/>
      <color rgb="FFB71C1C"/>
      <name val="Calibri"/>
      <family val="0"/>
      <charset val="1"/>
    </font>
    <font>
      <b val="true"/>
      <sz val="10"/>
      <color rgb="FFD4A052"/>
      <name val="Calibri"/>
      <family val="0"/>
      <charset val="1"/>
    </font>
    <font>
      <b val="true"/>
      <sz val="12"/>
      <color rgb="FFD4A052"/>
      <name val="Calibri"/>
      <family val="0"/>
      <charset val="1"/>
    </font>
    <font>
      <i val="true"/>
      <sz val="11"/>
      <color rgb="FF1A1A2E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1A1A2E"/>
      <name val="Courier New"/>
      <family val="0"/>
      <charset val="1"/>
    </font>
    <font>
      <b val="true"/>
      <sz val="13"/>
      <color rgb="FFD4A052"/>
      <name val="Calibri"/>
      <family val="0"/>
      <charset val="1"/>
    </font>
    <font>
      <b val="true"/>
      <sz val="11"/>
      <color rgb="FFDDE8F0"/>
      <name val="Calibri"/>
      <family val="0"/>
      <charset val="1"/>
    </font>
    <font>
      <sz val="10"/>
      <color rgb="FF1A1A2E"/>
      <name val="Calibri"/>
      <family val="0"/>
      <charset val="1"/>
    </font>
    <font>
      <b val="true"/>
      <sz val="12"/>
      <color rgb="FF1A1A2E"/>
      <name val="Courier New"/>
      <family val="0"/>
      <charset val="1"/>
    </font>
    <font>
      <b val="true"/>
      <sz val="12"/>
      <color rgb="FFD4A052"/>
      <name val="Courier New"/>
      <family val="0"/>
      <charset val="1"/>
    </font>
    <font>
      <sz val="10"/>
      <color rgb="FF1A1A2E"/>
      <name val="Courier New"/>
      <family val="0"/>
      <charset val="1"/>
    </font>
    <font>
      <i val="true"/>
      <sz val="10"/>
      <color rgb="FF1A6B3C"/>
      <name val="Calibri"/>
      <family val="0"/>
      <charset val="1"/>
    </font>
    <font>
      <b val="true"/>
      <sz val="10"/>
      <color rgb="FF1A1A2E"/>
      <name val="Calibri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C1A2E"/>
        <bgColor rgb="FF1A1A2E"/>
      </patternFill>
    </fill>
    <fill>
      <patternFill patternType="solid">
        <fgColor rgb="FF1B2E48"/>
        <bgColor rgb="FF1A1A2E"/>
      </patternFill>
    </fill>
    <fill>
      <patternFill patternType="solid">
        <fgColor rgb="FF7AAB8C"/>
        <bgColor rgb="FFAAAAAA"/>
      </patternFill>
    </fill>
    <fill>
      <patternFill patternType="solid">
        <fgColor rgb="FFE8F5E9"/>
        <bgColor rgb="FFF0F7F4"/>
      </patternFill>
    </fill>
    <fill>
      <patternFill patternType="solid">
        <fgColor rgb="FFD4A052"/>
        <bgColor rgb="FFAAAAAA"/>
      </patternFill>
    </fill>
    <fill>
      <patternFill patternType="solid">
        <fgColor rgb="FFFFD966"/>
        <bgColor rgb="FFFFCC00"/>
      </patternFill>
    </fill>
    <fill>
      <patternFill patternType="solid">
        <fgColor rgb="FFFDECEA"/>
        <bgColor rgb="FFFDF3F0"/>
      </patternFill>
    </fill>
    <fill>
      <patternFill patternType="solid">
        <fgColor rgb="FFFFFFFF"/>
        <bgColor rgb="FFFFFBF0"/>
      </patternFill>
    </fill>
    <fill>
      <patternFill patternType="solid">
        <fgColor rgb="FFBE6B4A"/>
        <bgColor rgb="FFD4A052"/>
      </patternFill>
    </fill>
    <fill>
      <patternFill patternType="solid">
        <fgColor rgb="FFFFF3CD"/>
        <bgColor rgb="FFFDECEA"/>
      </patternFill>
    </fill>
    <fill>
      <patternFill patternType="solid">
        <fgColor rgb="FF3D3D3D"/>
        <bgColor rgb="FF1B2E48"/>
      </patternFill>
    </fill>
    <fill>
      <patternFill patternType="solid">
        <fgColor rgb="FFF5F5F5"/>
        <bgColor rgb="FFF0F7F4"/>
      </patternFill>
    </fill>
    <fill>
      <patternFill patternType="solid">
        <fgColor rgb="FFF0F7F4"/>
        <bgColor rgb="FFF5F5F5"/>
      </patternFill>
    </fill>
    <fill>
      <patternFill patternType="solid">
        <fgColor rgb="FFFFFBF0"/>
        <bgColor rgb="FFFFFFFF"/>
      </patternFill>
    </fill>
    <fill>
      <patternFill patternType="solid">
        <fgColor rgb="FFFDF3F0"/>
        <bgColor rgb="FFF5F5F5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4A052"/>
      </left>
      <right/>
      <top style="thin">
        <color rgb="FFD4A052"/>
      </top>
      <bottom style="thin">
        <color rgb="FFD4A052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D4A052"/>
      </left>
      <right style="thin">
        <color rgb="FFD4A052"/>
      </right>
      <top style="thin">
        <color rgb="FFD4A052"/>
      </top>
      <bottom style="thin">
        <color rgb="FFD4A05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19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808000"/>
      <rgbColor rgb="FF800080"/>
      <rgbColor rgb="FF008080"/>
      <rgbColor rgb="FFF5F5F5"/>
      <rgbColor rgb="FF7AAB8C"/>
      <rgbColor rgb="FF9999FF"/>
      <rgbColor rgb="FF993366"/>
      <rgbColor rgb="FFFFF3CD"/>
      <rgbColor rgb="FFE8F5E9"/>
      <rgbColor rgb="FF660066"/>
      <rgbColor rgb="FFBE6B4A"/>
      <rgbColor rgb="FF0066CC"/>
      <rgbColor rgb="FFFDEC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8F0"/>
      <rgbColor rgb="FFF0F7F4"/>
      <rgbColor rgb="FFFFFBF0"/>
      <rgbColor rgb="FFFDF3F0"/>
      <rgbColor rgb="FFFF99CC"/>
      <rgbColor rgb="FFCC99FF"/>
      <rgbColor rgb="FFFFD966"/>
      <rgbColor rgb="FF3366FF"/>
      <rgbColor rgb="FF33CCCC"/>
      <rgbColor rgb="FF99CC00"/>
      <rgbColor rgb="FFFFCC00"/>
      <rgbColor rgb="FFD4A052"/>
      <rgbColor rgb="FFFF6600"/>
      <rgbColor rgb="FF666699"/>
      <rgbColor rgb="FFAAAAAA"/>
      <rgbColor rgb="FF1B2E48"/>
      <rgbColor rgb="FF339966"/>
      <rgbColor rgb="FF0C1A2E"/>
      <rgbColor rgb="FF1A1A2E"/>
      <rgbColor rgb="FFB71C1C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42"/>
    <col collapsed="false" customWidth="true" hidden="false" outlineLevel="0" max="4" min="4" style="1" width="22"/>
    <col collapsed="false" customWidth="true" hidden="false" outlineLevel="0" max="5" min="5" style="1" width="3"/>
  </cols>
  <sheetData>
    <row r="1" customFormat="false" ht="27.75" hidden="false" customHeight="true" outlineLevel="0" collapsed="false">
      <c r="B1" s="2" t="s">
        <v>0</v>
      </c>
      <c r="C1" s="2"/>
      <c r="D1" s="2"/>
    </row>
    <row r="2" customFormat="false" ht="24" hidden="false" customHeight="true" outlineLevel="0" collapsed="false">
      <c r="B2" s="3" t="s">
        <v>1</v>
      </c>
      <c r="C2" s="3"/>
      <c r="D2" s="3"/>
    </row>
    <row r="3" customFormat="false" ht="7.5" hidden="false" customHeight="true" outlineLevel="0" collapsed="false"/>
    <row r="4" customFormat="false" ht="19.5" hidden="false" customHeight="true" outlineLevel="0" collapsed="false">
      <c r="B4" s="4" t="s">
        <v>2</v>
      </c>
      <c r="C4" s="4"/>
      <c r="D4" s="4"/>
    </row>
    <row r="5" customFormat="false" ht="18" hidden="false" customHeight="true" outlineLevel="0" collapsed="false">
      <c r="B5" s="5" t="s">
        <v>3</v>
      </c>
      <c r="C5" s="5"/>
      <c r="D5" s="5"/>
    </row>
    <row r="6" customFormat="false" ht="18" hidden="false" customHeight="true" outlineLevel="0" collapsed="false">
      <c r="B6" s="5" t="s">
        <v>4</v>
      </c>
      <c r="C6" s="5"/>
      <c r="D6" s="5"/>
    </row>
    <row r="7" customFormat="false" ht="18" hidden="false" customHeight="true" outlineLevel="0" collapsed="false">
      <c r="B7" s="5" t="s">
        <v>5</v>
      </c>
      <c r="C7" s="5"/>
      <c r="D7" s="5"/>
    </row>
    <row r="8" customFormat="false" ht="18" hidden="false" customHeight="true" outlineLevel="0" collapsed="false">
      <c r="B8" s="5" t="s">
        <v>6</v>
      </c>
      <c r="C8" s="5"/>
      <c r="D8" s="5"/>
    </row>
    <row r="9" customFormat="false" ht="7.5" hidden="false" customHeight="true" outlineLevel="0" collapsed="false"/>
    <row r="10" customFormat="false" ht="19.5" hidden="false" customHeight="true" outlineLevel="0" collapsed="false">
      <c r="B10" s="6" t="s">
        <v>7</v>
      </c>
      <c r="C10" s="6"/>
      <c r="D10" s="6"/>
    </row>
    <row r="11" customFormat="false" ht="18" hidden="false" customHeight="true" outlineLevel="0" collapsed="false">
      <c r="B11" s="7" t="s">
        <v>8</v>
      </c>
      <c r="C11" s="7"/>
      <c r="D11" s="7"/>
    </row>
    <row r="12" customFormat="false" ht="18" hidden="false" customHeight="true" outlineLevel="0" collapsed="false">
      <c r="B12" s="5" t="s">
        <v>9</v>
      </c>
      <c r="C12" s="5"/>
      <c r="D12" s="5"/>
    </row>
    <row r="13" customFormat="false" ht="18" hidden="false" customHeight="true" outlineLevel="0" collapsed="false">
      <c r="B13" s="8" t="s">
        <v>10</v>
      </c>
      <c r="C13" s="8"/>
      <c r="D13" s="8"/>
    </row>
    <row r="14" customFormat="false" ht="18" hidden="false" customHeight="true" outlineLevel="0" collapsed="false">
      <c r="B14" s="9" t="s">
        <v>11</v>
      </c>
      <c r="C14" s="9"/>
      <c r="D14" s="9"/>
    </row>
    <row r="15" customFormat="false" ht="7.5" hidden="false" customHeight="true" outlineLevel="0" collapsed="false"/>
    <row r="16" customFormat="false" ht="19.5" hidden="false" customHeight="true" outlineLevel="0" collapsed="false">
      <c r="B16" s="10" t="s">
        <v>12</v>
      </c>
      <c r="C16" s="10"/>
      <c r="D16" s="10"/>
    </row>
    <row r="17" customFormat="false" ht="18" hidden="false" customHeight="true" outlineLevel="0" collapsed="false">
      <c r="B17" s="11" t="s">
        <v>13</v>
      </c>
      <c r="C17" s="12" t="s">
        <v>14</v>
      </c>
      <c r="D17" s="12"/>
    </row>
    <row r="18" customFormat="false" ht="18" hidden="false" customHeight="true" outlineLevel="0" collapsed="false">
      <c r="B18" s="11" t="s">
        <v>15</v>
      </c>
      <c r="C18" s="12" t="s">
        <v>16</v>
      </c>
      <c r="D18" s="12"/>
    </row>
    <row r="19" customFormat="false" ht="18" hidden="false" customHeight="true" outlineLevel="0" collapsed="false">
      <c r="B19" s="11" t="s">
        <v>17</v>
      </c>
      <c r="C19" s="12" t="s">
        <v>18</v>
      </c>
      <c r="D19" s="12"/>
    </row>
    <row r="20" customFormat="false" ht="18" hidden="false" customHeight="true" outlineLevel="0" collapsed="false">
      <c r="B20" s="11" t="s">
        <v>19</v>
      </c>
      <c r="C20" s="12" t="s">
        <v>20</v>
      </c>
      <c r="D20" s="12"/>
    </row>
    <row r="21" customFormat="false" ht="18" hidden="false" customHeight="true" outlineLevel="0" collapsed="false">
      <c r="B21" s="11" t="s">
        <v>21</v>
      </c>
      <c r="C21" s="12" t="s">
        <v>22</v>
      </c>
      <c r="D21" s="12"/>
    </row>
    <row r="22" customFormat="false" ht="7.5" hidden="false" customHeight="true" outlineLevel="0" collapsed="false"/>
    <row r="23" customFormat="false" ht="19.5" hidden="false" customHeight="true" outlineLevel="0" collapsed="false">
      <c r="B23" s="4" t="s">
        <v>23</v>
      </c>
      <c r="C23" s="4"/>
      <c r="D23" s="4"/>
    </row>
    <row r="24" customFormat="false" ht="36" hidden="false" customHeight="true" outlineLevel="0" collapsed="false">
      <c r="B24" s="9" t="s">
        <v>24</v>
      </c>
      <c r="C24" s="9"/>
      <c r="D24" s="9"/>
    </row>
  </sheetData>
  <mergeCells count="20">
    <mergeCell ref="B1:D1"/>
    <mergeCell ref="B2:D2"/>
    <mergeCell ref="B4:D4"/>
    <mergeCell ref="B5:D5"/>
    <mergeCell ref="B6:D6"/>
    <mergeCell ref="B7:D7"/>
    <mergeCell ref="B8:D8"/>
    <mergeCell ref="B10:D10"/>
    <mergeCell ref="B11:D11"/>
    <mergeCell ref="B12:D12"/>
    <mergeCell ref="B13:D13"/>
    <mergeCell ref="B14:D14"/>
    <mergeCell ref="B16:D16"/>
    <mergeCell ref="C17:D17"/>
    <mergeCell ref="C18:D18"/>
    <mergeCell ref="C19:D19"/>
    <mergeCell ref="C20:D20"/>
    <mergeCell ref="C21:D21"/>
    <mergeCell ref="B23:D23"/>
    <mergeCell ref="B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6" min="3" style="1" width="14"/>
    <col collapsed="false" customWidth="true" hidden="false" outlineLevel="0" max="7" min="7" style="1" width="3"/>
  </cols>
  <sheetData>
    <row r="1" customFormat="false" ht="24" hidden="false" customHeight="true" outlineLevel="0" collapsed="false">
      <c r="B1" s="13" t="s">
        <v>25</v>
      </c>
      <c r="C1" s="13"/>
      <c r="D1" s="13"/>
      <c r="E1" s="13"/>
      <c r="F1" s="13"/>
    </row>
    <row r="2" customFormat="false" ht="27.75" hidden="false" customHeight="true" outlineLevel="0" collapsed="false">
      <c r="B2" s="14" t="s">
        <v>26</v>
      </c>
      <c r="C2" s="14"/>
      <c r="D2" s="14"/>
      <c r="E2" s="14"/>
      <c r="F2" s="14"/>
    </row>
    <row r="3" customFormat="false" ht="7.5" hidden="false" customHeight="true" outlineLevel="0" collapsed="false"/>
    <row r="4" customFormat="false" ht="19.5" hidden="false" customHeight="true" outlineLevel="0" collapsed="false">
      <c r="B4" s="15" t="s">
        <v>27</v>
      </c>
      <c r="C4" s="15" t="s">
        <v>28</v>
      </c>
      <c r="D4" s="15" t="s">
        <v>29</v>
      </c>
      <c r="E4" s="15" t="s">
        <v>30</v>
      </c>
      <c r="F4" s="15" t="s">
        <v>31</v>
      </c>
    </row>
    <row r="5" customFormat="false" ht="18" hidden="false" customHeight="true" outlineLevel="0" collapsed="false">
      <c r="B5" s="16" t="s">
        <v>32</v>
      </c>
      <c r="C5" s="17" t="n">
        <v>18500</v>
      </c>
      <c r="D5" s="17" t="n">
        <v>12000</v>
      </c>
      <c r="E5" s="17" t="n">
        <v>5200</v>
      </c>
      <c r="F5" s="17" t="n">
        <v>35700</v>
      </c>
    </row>
    <row r="6" customFormat="false" ht="18" hidden="false" customHeight="true" outlineLevel="0" collapsed="false">
      <c r="B6" s="16" t="s">
        <v>33</v>
      </c>
      <c r="C6" s="17" t="n">
        <v>9800</v>
      </c>
      <c r="D6" s="17" t="n">
        <v>8500</v>
      </c>
      <c r="E6" s="17" t="n">
        <v>3100</v>
      </c>
      <c r="F6" s="17" t="n">
        <v>21400</v>
      </c>
    </row>
    <row r="7" customFormat="false" ht="18" hidden="false" customHeight="true" outlineLevel="0" collapsed="false">
      <c r="B7" s="16" t="s">
        <v>34</v>
      </c>
      <c r="C7" s="17" t="n">
        <v>14200</v>
      </c>
      <c r="D7" s="17" t="n">
        <v>10500</v>
      </c>
      <c r="E7" s="17" t="n">
        <v>4800</v>
      </c>
      <c r="F7" s="17" t="n">
        <v>29500</v>
      </c>
    </row>
    <row r="8" customFormat="false" ht="18" hidden="false" customHeight="true" outlineLevel="0" collapsed="false">
      <c r="B8" s="16" t="s">
        <v>35</v>
      </c>
      <c r="C8" s="17" t="n">
        <v>22100</v>
      </c>
      <c r="D8" s="17" t="n">
        <v>15000</v>
      </c>
      <c r="E8" s="17" t="n">
        <v>6200</v>
      </c>
      <c r="F8" s="17" t="n">
        <v>43300</v>
      </c>
    </row>
    <row r="9" customFormat="false" ht="18" hidden="false" customHeight="true" outlineLevel="0" collapsed="false">
      <c r="B9" s="16" t="s">
        <v>36</v>
      </c>
      <c r="C9" s="17" t="n">
        <v>28500</v>
      </c>
      <c r="D9" s="17" t="n">
        <v>18000</v>
      </c>
      <c r="E9" s="17" t="n">
        <v>8100</v>
      </c>
      <c r="F9" s="17" t="n">
        <v>54600</v>
      </c>
    </row>
    <row r="10" customFormat="false" ht="18" hidden="false" customHeight="true" outlineLevel="0" collapsed="false">
      <c r="B10" s="16" t="s">
        <v>37</v>
      </c>
      <c r="C10" s="17" t="n">
        <v>35200</v>
      </c>
      <c r="D10" s="17" t="n">
        <v>22500</v>
      </c>
      <c r="E10" s="17" t="n">
        <v>9500</v>
      </c>
      <c r="F10" s="17" t="n">
        <v>67200</v>
      </c>
    </row>
    <row r="11" customFormat="false" ht="18" hidden="false" customHeight="true" outlineLevel="0" collapsed="false">
      <c r="B11" s="16" t="s">
        <v>38</v>
      </c>
      <c r="C11" s="17" t="n">
        <v>31800</v>
      </c>
      <c r="D11" s="17" t="n">
        <v>19000</v>
      </c>
      <c r="E11" s="17" t="n">
        <v>8800</v>
      </c>
      <c r="F11" s="17" t="n">
        <v>59600</v>
      </c>
    </row>
    <row r="12" customFormat="false" ht="18" hidden="false" customHeight="true" outlineLevel="0" collapsed="false">
      <c r="B12" s="16" t="s">
        <v>39</v>
      </c>
      <c r="C12" s="17" t="n">
        <v>38500</v>
      </c>
      <c r="D12" s="17" t="n">
        <v>24000</v>
      </c>
      <c r="E12" s="17" t="n">
        <v>10200</v>
      </c>
      <c r="F12" s="17" t="n">
        <v>72700</v>
      </c>
    </row>
    <row r="13" customFormat="false" ht="18" hidden="false" customHeight="true" outlineLevel="0" collapsed="false">
      <c r="B13" s="16" t="s">
        <v>40</v>
      </c>
      <c r="C13" s="17" t="n">
        <v>26400</v>
      </c>
      <c r="D13" s="17" t="n">
        <v>17500</v>
      </c>
      <c r="E13" s="17" t="n">
        <v>7300</v>
      </c>
      <c r="F13" s="17" t="n">
        <v>51200</v>
      </c>
    </row>
    <row r="14" customFormat="false" ht="18" hidden="false" customHeight="true" outlineLevel="0" collapsed="false">
      <c r="B14" s="16" t="s">
        <v>41</v>
      </c>
      <c r="C14" s="17" t="n">
        <v>19800</v>
      </c>
      <c r="D14" s="17" t="n">
        <v>13000</v>
      </c>
      <c r="E14" s="17" t="n">
        <v>5800</v>
      </c>
      <c r="F14" s="17" t="n">
        <v>38600</v>
      </c>
    </row>
    <row r="15" customFormat="false" ht="18" hidden="false" customHeight="true" outlineLevel="0" collapsed="false">
      <c r="B15" s="16" t="s">
        <v>42</v>
      </c>
      <c r="C15" s="17" t="n">
        <v>12500</v>
      </c>
      <c r="D15" s="17" t="n">
        <v>9200</v>
      </c>
      <c r="E15" s="17" t="n">
        <v>4100</v>
      </c>
      <c r="F15" s="17" t="n">
        <v>25800</v>
      </c>
    </row>
    <row r="16" customFormat="false" ht="18" hidden="false" customHeight="true" outlineLevel="0" collapsed="false">
      <c r="B16" s="16" t="s">
        <v>43</v>
      </c>
      <c r="C16" s="17" t="n">
        <v>16800</v>
      </c>
      <c r="D16" s="17" t="n">
        <v>11500</v>
      </c>
      <c r="E16" s="17" t="n">
        <v>5500</v>
      </c>
      <c r="F16" s="17" t="n">
        <v>33800</v>
      </c>
    </row>
    <row r="17" customFormat="false" ht="7.5" hidden="false" customHeight="true" outlineLevel="0" collapsed="false"/>
    <row r="18" customFormat="false" ht="18" hidden="false" customHeight="true" outlineLevel="0" collapsed="false">
      <c r="B18" s="18" t="s">
        <v>44</v>
      </c>
      <c r="C18" s="18"/>
      <c r="D18" s="18"/>
      <c r="E18" s="17" t="n">
        <v>55000</v>
      </c>
    </row>
  </sheetData>
  <mergeCells count="3">
    <mergeCell ref="B1:F1"/>
    <mergeCell ref="B2:F2"/>
    <mergeCell ref="B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6" min="3" style="1" width="14"/>
    <col collapsed="false" customWidth="true" hidden="false" outlineLevel="0" max="7" min="7" style="1" width="20"/>
    <col collapsed="false" customWidth="true" hidden="false" outlineLevel="0" max="8" min="8" style="1" width="3"/>
  </cols>
  <sheetData>
    <row r="1" customFormat="false" ht="25.5" hidden="false" customHeight="true" outlineLevel="0" collapsed="false">
      <c r="B1" s="19" t="s">
        <v>45</v>
      </c>
      <c r="C1" s="19"/>
      <c r="D1" s="19"/>
      <c r="E1" s="19"/>
      <c r="F1" s="19"/>
      <c r="G1" s="19"/>
    </row>
    <row r="2" customFormat="false" ht="19.5" hidden="false" customHeight="true" outlineLevel="0" collapsed="false">
      <c r="B2" s="20" t="s">
        <v>1</v>
      </c>
      <c r="C2" s="20"/>
      <c r="D2" s="20"/>
      <c r="E2" s="20"/>
      <c r="F2" s="20"/>
      <c r="G2" s="20"/>
    </row>
    <row r="3" customFormat="false" ht="7.5" hidden="false" customHeight="true" outlineLevel="0" collapsed="false"/>
    <row r="4" customFormat="false" ht="19.5" hidden="false" customHeight="true" outlineLevel="0" collapsed="false">
      <c r="B4" s="4" t="s">
        <v>46</v>
      </c>
      <c r="C4" s="4"/>
      <c r="D4" s="4"/>
      <c r="E4" s="4"/>
      <c r="F4" s="4"/>
      <c r="G4" s="4"/>
    </row>
    <row r="5" customFormat="false" ht="27.75" hidden="false" customHeight="true" outlineLevel="0" collapsed="false">
      <c r="B5" s="21" t="s">
        <v>47</v>
      </c>
      <c r="C5" s="21"/>
      <c r="D5" s="21"/>
      <c r="E5" s="21"/>
      <c r="F5" s="21"/>
      <c r="G5" s="21"/>
    </row>
    <row r="6" customFormat="false" ht="19.5" hidden="false" customHeight="true" outlineLevel="0" collapsed="false">
      <c r="B6" s="22" t="s">
        <v>48</v>
      </c>
      <c r="C6" s="22" t="s">
        <v>49</v>
      </c>
      <c r="D6" s="22" t="s">
        <v>50</v>
      </c>
      <c r="E6" s="22" t="s">
        <v>51</v>
      </c>
      <c r="F6" s="22" t="s">
        <v>52</v>
      </c>
      <c r="G6" s="22" t="s">
        <v>53</v>
      </c>
    </row>
    <row r="7" customFormat="false" ht="18" hidden="false" customHeight="true" outlineLevel="0" collapsed="false">
      <c r="B7" s="16" t="s">
        <v>32</v>
      </c>
      <c r="C7" s="23"/>
      <c r="D7" s="23"/>
      <c r="E7" s="23"/>
      <c r="F7" s="23"/>
      <c r="G7" s="24" t="str">
        <f aca="false">IF(OR(C7="",D7="",E7="",F7=""),"⬅ Enter all values first",IF(AND(ABS(C7-'Raw Data'!C5)&lt;1,ABS(D7-'Raw Data'!D5)&lt;1,ABS(E7-'Raw Data'!E5)&lt;1),"✅ Data linked correctly","❌ Check your Raw Data references"))</f>
        <v>⬅ Enter all values first</v>
      </c>
    </row>
    <row r="8" customFormat="false" ht="18" hidden="false" customHeight="true" outlineLevel="0" collapsed="false">
      <c r="B8" s="16" t="s">
        <v>33</v>
      </c>
      <c r="C8" s="23"/>
      <c r="D8" s="23"/>
      <c r="E8" s="23"/>
      <c r="F8" s="23"/>
      <c r="G8" s="24" t="str">
        <f aca="false">IF(OR(C8="",D8="",E8="",F8=""),"⬅ Enter all values first",IF(AND(ABS(C8-'Raw Data'!C6)&lt;1,ABS(D8-'Raw Data'!D6)&lt;1,ABS(E8-'Raw Data'!E6)&lt;1),"✅ Data linked correctly","❌ Check your Raw Data references"))</f>
        <v>⬅ Enter all values first</v>
      </c>
    </row>
    <row r="9" customFormat="false" ht="18" hidden="false" customHeight="true" outlineLevel="0" collapsed="false">
      <c r="B9" s="16" t="s">
        <v>34</v>
      </c>
      <c r="C9" s="23"/>
      <c r="D9" s="23"/>
      <c r="E9" s="23"/>
      <c r="F9" s="23"/>
      <c r="G9" s="24" t="str">
        <f aca="false">IF(OR(C9="",D9="",E9="",F9=""),"⬅ Enter all values first",IF(AND(ABS(C9-'Raw Data'!C7)&lt;1,ABS(D9-'Raw Data'!D7)&lt;1,ABS(E9-'Raw Data'!E7)&lt;1),"✅ Data linked correctly","❌ Check your Raw Data references"))</f>
        <v>⬅ Enter all values first</v>
      </c>
    </row>
    <row r="10" customFormat="false" ht="18" hidden="false" customHeight="true" outlineLevel="0" collapsed="false">
      <c r="B10" s="16" t="s">
        <v>35</v>
      </c>
      <c r="C10" s="23"/>
      <c r="D10" s="23"/>
      <c r="E10" s="23"/>
      <c r="F10" s="23"/>
      <c r="G10" s="24" t="str">
        <f aca="false">IF(OR(C10="",D10="",E10="",F10=""),"⬅ Enter all values first",IF(AND(ABS(C10-'Raw Data'!C8)&lt;1,ABS(D10-'Raw Data'!D8)&lt;1,ABS(E10-'Raw Data'!E8)&lt;1),"✅ Data linked correctly","❌ Check your Raw Data references"))</f>
        <v>⬅ Enter all values first</v>
      </c>
    </row>
    <row r="11" customFormat="false" ht="18" hidden="false" customHeight="true" outlineLevel="0" collapsed="false">
      <c r="B11" s="16" t="s">
        <v>36</v>
      </c>
      <c r="C11" s="23"/>
      <c r="D11" s="23"/>
      <c r="E11" s="23"/>
      <c r="F11" s="23"/>
      <c r="G11" s="24" t="str">
        <f aca="false">IF(OR(C11="",D11="",E11="",F11=""),"⬅ Enter all values first",IF(AND(ABS(C11-'Raw Data'!C9)&lt;1,ABS(D11-'Raw Data'!D9)&lt;1,ABS(E11-'Raw Data'!E9)&lt;1),"✅ Data linked correctly","❌ Check your Raw Data references"))</f>
        <v>⬅ Enter all values first</v>
      </c>
    </row>
    <row r="12" customFormat="false" ht="18" hidden="false" customHeight="true" outlineLevel="0" collapsed="false">
      <c r="B12" s="16" t="s">
        <v>37</v>
      </c>
      <c r="C12" s="23"/>
      <c r="D12" s="23"/>
      <c r="E12" s="23"/>
      <c r="F12" s="23"/>
      <c r="G12" s="24" t="str">
        <f aca="false">IF(OR(C12="",D12="",E12="",F12=""),"⬅ Enter all values first",IF(AND(ABS(C12-'Raw Data'!C10)&lt;1,ABS(D12-'Raw Data'!D10)&lt;1,ABS(E12-'Raw Data'!E10)&lt;1),"✅ Data linked correctly","❌ Check your Raw Data references"))</f>
        <v>⬅ Enter all values first</v>
      </c>
    </row>
    <row r="13" customFormat="false" ht="18" hidden="false" customHeight="true" outlineLevel="0" collapsed="false">
      <c r="B13" s="16" t="s">
        <v>38</v>
      </c>
      <c r="C13" s="23"/>
      <c r="D13" s="23"/>
      <c r="E13" s="23"/>
      <c r="F13" s="23"/>
      <c r="G13" s="24" t="str">
        <f aca="false">IF(OR(C13="",D13="",E13="",F13=""),"⬅ Enter all values first",IF(AND(ABS(C13-'Raw Data'!C11)&lt;1,ABS(D13-'Raw Data'!D11)&lt;1,ABS(E13-'Raw Data'!E11)&lt;1),"✅ Data linked correctly","❌ Check your Raw Data references"))</f>
        <v>⬅ Enter all values first</v>
      </c>
    </row>
    <row r="14" customFormat="false" ht="18" hidden="false" customHeight="true" outlineLevel="0" collapsed="false">
      <c r="B14" s="16" t="s">
        <v>39</v>
      </c>
      <c r="C14" s="23"/>
      <c r="D14" s="23"/>
      <c r="E14" s="23"/>
      <c r="F14" s="23"/>
      <c r="G14" s="24" t="str">
        <f aca="false">IF(OR(C14="",D14="",E14="",F14=""),"⬅ Enter all values first",IF(AND(ABS(C14-'Raw Data'!C12)&lt;1,ABS(D14-'Raw Data'!D12)&lt;1,ABS(E14-'Raw Data'!E12)&lt;1),"✅ Data linked correctly","❌ Check your Raw Data references"))</f>
        <v>⬅ Enter all values first</v>
      </c>
    </row>
    <row r="15" customFormat="false" ht="18" hidden="false" customHeight="true" outlineLevel="0" collapsed="false">
      <c r="B15" s="16" t="s">
        <v>40</v>
      </c>
      <c r="C15" s="23"/>
      <c r="D15" s="23"/>
      <c r="E15" s="23"/>
      <c r="F15" s="23"/>
      <c r="G15" s="24" t="str">
        <f aca="false">IF(OR(C15="",D15="",E15="",F15=""),"⬅ Enter all values first",IF(AND(ABS(C15-'Raw Data'!C13)&lt;1,ABS(D15-'Raw Data'!D13)&lt;1,ABS(E15-'Raw Data'!E13)&lt;1),"✅ Data linked correctly","❌ Check your Raw Data references"))</f>
        <v>⬅ Enter all values first</v>
      </c>
    </row>
    <row r="16" customFormat="false" ht="18" hidden="false" customHeight="true" outlineLevel="0" collapsed="false">
      <c r="B16" s="16" t="s">
        <v>41</v>
      </c>
      <c r="C16" s="23"/>
      <c r="D16" s="23"/>
      <c r="E16" s="23"/>
      <c r="F16" s="23"/>
      <c r="G16" s="24" t="str">
        <f aca="false">IF(OR(C16="",D16="",E16="",F16=""),"⬅ Enter all values first",IF(AND(ABS(C16-'Raw Data'!C14)&lt;1,ABS(D16-'Raw Data'!D14)&lt;1,ABS(E16-'Raw Data'!E14)&lt;1),"✅ Data linked correctly","❌ Check your Raw Data references"))</f>
        <v>⬅ Enter all values first</v>
      </c>
    </row>
    <row r="17" customFormat="false" ht="18" hidden="false" customHeight="true" outlineLevel="0" collapsed="false">
      <c r="B17" s="16" t="s">
        <v>42</v>
      </c>
      <c r="C17" s="23"/>
      <c r="D17" s="23"/>
      <c r="E17" s="23"/>
      <c r="F17" s="23"/>
      <c r="G17" s="24" t="str">
        <f aca="false">IF(OR(C17="",D17="",E17="",F17=""),"⬅ Enter all values first",IF(AND(ABS(C17-'Raw Data'!C15)&lt;1,ABS(D17-'Raw Data'!D15)&lt;1,ABS(E17-'Raw Data'!E15)&lt;1),"✅ Data linked correctly","❌ Check your Raw Data references"))</f>
        <v>⬅ Enter all values first</v>
      </c>
    </row>
    <row r="18" customFormat="false" ht="18" hidden="false" customHeight="true" outlineLevel="0" collapsed="false">
      <c r="B18" s="16" t="s">
        <v>43</v>
      </c>
      <c r="C18" s="23"/>
      <c r="D18" s="23"/>
      <c r="E18" s="23"/>
      <c r="F18" s="23"/>
      <c r="G18" s="24" t="str">
        <f aca="false">IF(OR(C18="",D18="",E18="",F18=""),"⬅ Enter all values first",IF(AND(ABS(C18-'Raw Data'!C16)&lt;1,ABS(D18-'Raw Data'!D16)&lt;1,ABS(E18-'Raw Data'!E16)&lt;1),"✅ Data linked correctly","❌ Check your Raw Data references"))</f>
        <v>⬅ Enter all values first</v>
      </c>
    </row>
    <row r="19" customFormat="false" ht="12" hidden="false" customHeight="true" outlineLevel="0" collapsed="false"/>
    <row r="20" customFormat="false" ht="19.5" hidden="false" customHeight="true" outlineLevel="0" collapsed="false">
      <c r="B20" s="6" t="s">
        <v>54</v>
      </c>
      <c r="C20" s="6"/>
      <c r="D20" s="6"/>
      <c r="E20" s="6"/>
      <c r="F20" s="6"/>
      <c r="G20" s="6"/>
    </row>
    <row r="21" customFormat="false" ht="27.75" hidden="false" customHeight="true" outlineLevel="0" collapsed="false">
      <c r="B21" s="25" t="s">
        <v>55</v>
      </c>
      <c r="C21" s="25"/>
      <c r="D21" s="25"/>
      <c r="E21" s="25"/>
      <c r="F21" s="25"/>
      <c r="G21" s="25"/>
    </row>
    <row r="22" customFormat="false" ht="19.5" hidden="false" customHeight="true" outlineLevel="0" collapsed="false">
      <c r="B22" s="22" t="s">
        <v>56</v>
      </c>
      <c r="C22" s="22" t="s">
        <v>57</v>
      </c>
      <c r="D22" s="22" t="s">
        <v>58</v>
      </c>
      <c r="E22" s="22" t="s">
        <v>59</v>
      </c>
      <c r="F22" s="22"/>
      <c r="G22" s="22" t="s">
        <v>53</v>
      </c>
    </row>
    <row r="23" customFormat="false" ht="18" hidden="false" customHeight="true" outlineLevel="0" collapsed="false">
      <c r="B23" s="16" t="s">
        <v>60</v>
      </c>
      <c r="C23" s="26" t="s">
        <v>61</v>
      </c>
      <c r="D23" s="23"/>
      <c r="E23" s="27" t="str">
        <f aca="false">IF(D23="","",D23)</f>
        <v/>
      </c>
      <c r="G23" s="24" t="str">
        <f aca="false">IF(D23="","⬅ Write your formula",IF(ABS(D23-273400)&lt;100,"✅ Correct!","❌ Check your formula range"))</f>
        <v>⬅ Write your formula</v>
      </c>
    </row>
    <row r="24" customFormat="false" ht="18" hidden="false" customHeight="true" outlineLevel="0" collapsed="false">
      <c r="B24" s="16" t="s">
        <v>62</v>
      </c>
      <c r="C24" s="26" t="s">
        <v>63</v>
      </c>
      <c r="D24" s="23"/>
      <c r="E24" s="27" t="str">
        <f aca="false">IF(D24="","",D24)</f>
        <v/>
      </c>
      <c r="G24" s="24" t="str">
        <f aca="false">IF(D24="","⬅ Write your formula",IF(ABS(D24-22783.33)&lt;100,"✅ Correct!","❌ Check your formula range"))</f>
        <v>⬅ Write your formula</v>
      </c>
    </row>
    <row r="25" customFormat="false" ht="18" hidden="false" customHeight="true" outlineLevel="0" collapsed="false">
      <c r="B25" s="16" t="s">
        <v>64</v>
      </c>
      <c r="C25" s="26" t="s">
        <v>65</v>
      </c>
      <c r="D25" s="23"/>
      <c r="E25" s="27" t="str">
        <f aca="false">IF(D25="","",D25)</f>
        <v/>
      </c>
      <c r="G25" s="24" t="str">
        <f aca="false">IF(D25="","⬅ Write your formula",IF(ABS(D25-38500)&lt;1,"✅ Correct!","❌ Check your formula range"))</f>
        <v>⬅ Write your formula</v>
      </c>
    </row>
    <row r="26" customFormat="false" ht="18" hidden="false" customHeight="true" outlineLevel="0" collapsed="false">
      <c r="B26" s="16" t="s">
        <v>66</v>
      </c>
      <c r="C26" s="26" t="s">
        <v>67</v>
      </c>
      <c r="D26" s="23"/>
      <c r="E26" s="27" t="str">
        <f aca="false">IF(D26="","",D26)</f>
        <v/>
      </c>
      <c r="G26" s="24" t="str">
        <f aca="false">IF(D26="","⬅ Write your formula",IF(ABS(D26-9800)&lt;1,"✅ Correct!","❌ Check your formula range"))</f>
        <v>⬅ Write your formula</v>
      </c>
    </row>
    <row r="27" customFormat="false" ht="18" hidden="false" customHeight="true" outlineLevel="0" collapsed="false">
      <c r="B27" s="16" t="s">
        <v>68</v>
      </c>
      <c r="C27" s="26" t="s">
        <v>69</v>
      </c>
      <c r="D27" s="23"/>
      <c r="E27" s="27" t="str">
        <f aca="false">IF(D27="","",D27)</f>
        <v/>
      </c>
      <c r="G27" s="24" t="str">
        <f aca="false">IF(D27="","⬅ Write your formula",IF(ABS(D27-12)&lt;1,"✅ Correct!","❌ Check your formula range"))</f>
        <v>⬅ Write your formula</v>
      </c>
    </row>
    <row r="28" customFormat="false" ht="18" hidden="false" customHeight="true" outlineLevel="0" collapsed="false">
      <c r="B28" s="16" t="s">
        <v>70</v>
      </c>
      <c r="C28" s="26" t="s">
        <v>71</v>
      </c>
      <c r="D28" s="23"/>
      <c r="E28" s="27" t="str">
        <f aca="false">IF(D28="","",D28)</f>
        <v/>
      </c>
      <c r="G28" s="24" t="str">
        <f aca="false">IF(D28="","⬅ Write your formula",IF(ABS(D28-12)&lt;1,"✅ Correct!","❌ Check your formula range"))</f>
        <v>⬅ Write your formula</v>
      </c>
    </row>
    <row r="29" customFormat="false" ht="12" hidden="false" customHeight="true" outlineLevel="0" collapsed="false"/>
    <row r="30" customFormat="false" ht="19.5" hidden="false" customHeight="true" outlineLevel="0" collapsed="false">
      <c r="B30" s="10" t="s">
        <v>72</v>
      </c>
      <c r="C30" s="10"/>
      <c r="D30" s="10"/>
      <c r="E30" s="10"/>
      <c r="F30" s="10"/>
      <c r="G30" s="10"/>
    </row>
    <row r="31" customFormat="false" ht="27.75" hidden="false" customHeight="true" outlineLevel="0" collapsed="false">
      <c r="B31" s="28" t="s">
        <v>73</v>
      </c>
      <c r="C31" s="28"/>
      <c r="D31" s="28"/>
      <c r="E31" s="28"/>
      <c r="F31" s="28"/>
      <c r="G31" s="28"/>
    </row>
    <row r="32" customFormat="false" ht="19.5" hidden="false" customHeight="true" outlineLevel="0" collapsed="false">
      <c r="B32" s="29" t="s">
        <v>74</v>
      </c>
      <c r="C32" s="29"/>
      <c r="D32" s="29"/>
      <c r="E32" s="29"/>
      <c r="F32" s="29"/>
      <c r="G32" s="29"/>
    </row>
    <row r="33" customFormat="false" ht="21.75" hidden="false" customHeight="true" outlineLevel="0" collapsed="false">
      <c r="B33" s="30"/>
      <c r="C33" s="30"/>
      <c r="D33" s="30"/>
      <c r="E33" s="30"/>
      <c r="F33" s="30"/>
      <c r="G33" s="30"/>
    </row>
    <row r="34" customFormat="false" ht="19.5" hidden="false" customHeight="true" outlineLevel="0" collapsed="false">
      <c r="B34" s="29" t="s">
        <v>75</v>
      </c>
      <c r="C34" s="29"/>
      <c r="D34" s="29"/>
      <c r="E34" s="29"/>
      <c r="F34" s="29"/>
      <c r="G34" s="29"/>
    </row>
    <row r="35" customFormat="false" ht="21.75" hidden="false" customHeight="true" outlineLevel="0" collapsed="false">
      <c r="B35" s="30"/>
      <c r="C35" s="30"/>
      <c r="D35" s="30"/>
      <c r="E35" s="30"/>
      <c r="F35" s="30"/>
      <c r="G35" s="30"/>
    </row>
    <row r="36" customFormat="false" ht="19.5" hidden="false" customHeight="true" outlineLevel="0" collapsed="false">
      <c r="B36" s="29" t="s">
        <v>76</v>
      </c>
      <c r="C36" s="29"/>
      <c r="D36" s="29"/>
      <c r="E36" s="29"/>
      <c r="F36" s="29"/>
      <c r="G36" s="29"/>
    </row>
    <row r="37" customFormat="false" ht="21.75" hidden="false" customHeight="true" outlineLevel="0" collapsed="false">
      <c r="B37" s="30"/>
      <c r="C37" s="30"/>
      <c r="D37" s="30"/>
      <c r="E37" s="30"/>
      <c r="F37" s="30"/>
      <c r="G37" s="30"/>
    </row>
    <row r="38" customFormat="false" ht="19.5" hidden="false" customHeight="true" outlineLevel="0" collapsed="false">
      <c r="B38" s="29" t="s">
        <v>77</v>
      </c>
      <c r="C38" s="29"/>
      <c r="D38" s="29"/>
      <c r="E38" s="29"/>
      <c r="F38" s="29"/>
      <c r="G38" s="29"/>
    </row>
    <row r="39" customFormat="false" ht="21.75" hidden="false" customHeight="true" outlineLevel="0" collapsed="false">
      <c r="B39" s="30"/>
      <c r="C39" s="30"/>
      <c r="D39" s="30"/>
      <c r="E39" s="30"/>
      <c r="F39" s="30"/>
      <c r="G39" s="30"/>
    </row>
  </sheetData>
  <mergeCells count="16">
    <mergeCell ref="B1:G1"/>
    <mergeCell ref="B2:G2"/>
    <mergeCell ref="B4:G4"/>
    <mergeCell ref="B5:G5"/>
    <mergeCell ref="B20:G20"/>
    <mergeCell ref="B21:G21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4" min="3" style="1" width="14"/>
    <col collapsed="false" customWidth="true" hidden="false" outlineLevel="0" max="6" min="5" style="1" width="18"/>
    <col collapsed="false" customWidth="true" hidden="false" outlineLevel="0" max="7" min="7" style="1" width="3"/>
    <col collapsed="false" customWidth="true" hidden="false" outlineLevel="0" max="8" min="8" style="1" width="14"/>
  </cols>
  <sheetData>
    <row r="1" customFormat="false" ht="25.5" hidden="false" customHeight="true" outlineLevel="0" collapsed="false">
      <c r="B1" s="19" t="s">
        <v>78</v>
      </c>
      <c r="C1" s="19"/>
      <c r="D1" s="19"/>
      <c r="E1" s="19"/>
      <c r="F1" s="19"/>
    </row>
    <row r="2" customFormat="false" ht="19.5" hidden="false" customHeight="true" outlineLevel="0" collapsed="false">
      <c r="B2" s="20" t="s">
        <v>79</v>
      </c>
      <c r="C2" s="20"/>
      <c r="D2" s="20"/>
      <c r="E2" s="20"/>
      <c r="F2" s="20"/>
    </row>
    <row r="3" customFormat="false" ht="7.5" hidden="false" customHeight="true" outlineLevel="0" collapsed="false"/>
    <row r="4" customFormat="false" ht="19.5" hidden="false" customHeight="true" outlineLevel="0" collapsed="false">
      <c r="B4" s="4" t="s">
        <v>80</v>
      </c>
      <c r="C4" s="4"/>
      <c r="D4" s="4"/>
      <c r="E4" s="4"/>
      <c r="F4" s="4"/>
    </row>
    <row r="5" customFormat="false" ht="27.75" hidden="false" customHeight="true" outlineLevel="0" collapsed="false">
      <c r="B5" s="21" t="s">
        <v>81</v>
      </c>
      <c r="C5" s="21"/>
      <c r="D5" s="21"/>
      <c r="E5" s="21"/>
      <c r="F5" s="21"/>
    </row>
    <row r="6" customFormat="false" ht="19.5" hidden="false" customHeight="true" outlineLevel="0" collapsed="false">
      <c r="B6" s="22" t="s">
        <v>82</v>
      </c>
      <c r="C6" s="22" t="s">
        <v>49</v>
      </c>
      <c r="D6" s="22" t="s">
        <v>50</v>
      </c>
      <c r="E6" s="22" t="s">
        <v>51</v>
      </c>
      <c r="F6" s="22" t="s">
        <v>83</v>
      </c>
    </row>
    <row r="7" customFormat="false" ht="21.75" hidden="false" customHeight="true" outlineLevel="0" collapsed="false">
      <c r="B7" s="16" t="s">
        <v>84</v>
      </c>
      <c r="C7" s="23"/>
      <c r="D7" s="23"/>
      <c r="E7" s="23"/>
      <c r="F7" s="16" t="s">
        <v>85</v>
      </c>
    </row>
    <row r="8" customFormat="false" ht="7.5" hidden="false" customHeight="true" outlineLevel="0" collapsed="false"/>
    <row r="9" customFormat="false" ht="19.5" hidden="false" customHeight="true" outlineLevel="0" collapsed="false">
      <c r="B9" s="6" t="s">
        <v>86</v>
      </c>
      <c r="C9" s="6"/>
      <c r="D9" s="6"/>
      <c r="E9" s="6"/>
      <c r="F9" s="6"/>
    </row>
    <row r="10" customFormat="false" ht="36" hidden="false" customHeight="true" outlineLevel="0" collapsed="false">
      <c r="B10" s="25" t="s">
        <v>87</v>
      </c>
      <c r="C10" s="25"/>
      <c r="D10" s="25"/>
      <c r="E10" s="25"/>
      <c r="F10" s="25"/>
    </row>
    <row r="11" customFormat="false" ht="19.5" hidden="false" customHeight="true" outlineLevel="0" collapsed="false">
      <c r="B11" s="22" t="s">
        <v>48</v>
      </c>
      <c r="C11" s="22" t="s">
        <v>52</v>
      </c>
      <c r="D11" s="22" t="s">
        <v>88</v>
      </c>
      <c r="E11" s="22" t="s">
        <v>89</v>
      </c>
      <c r="F11" s="22" t="s">
        <v>53</v>
      </c>
    </row>
    <row r="12" customFormat="false" ht="18" hidden="false" customHeight="true" outlineLevel="0" collapsed="false">
      <c r="B12" s="16" t="s">
        <v>32</v>
      </c>
      <c r="C12" s="23"/>
      <c r="D12" s="23"/>
      <c r="E12" s="23"/>
      <c r="F12" s="24" t="str">
        <f aca="false">IF(OR(C12="",D12=""),"⬅ Fill in revenue &amp; variance first",IF(ABS(D12-(C12-$H$28))&lt;1,IF(E12="","✅ Variance correct — now write the IF formula","✅ Both correct!"),"❌ Check your variance formula — use absolute ref $H$28"))</f>
        <v>⬅ Fill in revenue &amp; variance first</v>
      </c>
    </row>
    <row r="13" customFormat="false" ht="18" hidden="false" customHeight="true" outlineLevel="0" collapsed="false">
      <c r="B13" s="16" t="s">
        <v>33</v>
      </c>
      <c r="C13" s="23"/>
      <c r="D13" s="23"/>
      <c r="E13" s="23"/>
      <c r="F13" s="24" t="str">
        <f aca="false">IF(OR(C13="",D13=""),"⬅ Fill in revenue &amp; variance first",IF(ABS(D13-(C13-$H$28))&lt;1,IF(E13="","✅ Variance correct — now write the IF formula","✅ Both correct!"),"❌ Check your variance formula — use absolute ref $H$28"))</f>
        <v>⬅ Fill in revenue &amp; variance first</v>
      </c>
    </row>
    <row r="14" customFormat="false" ht="18" hidden="false" customHeight="true" outlineLevel="0" collapsed="false">
      <c r="B14" s="16" t="s">
        <v>34</v>
      </c>
      <c r="C14" s="23"/>
      <c r="D14" s="23"/>
      <c r="E14" s="23"/>
      <c r="F14" s="24" t="str">
        <f aca="false">IF(OR(C14="",D14=""),"⬅ Fill in revenue &amp; variance first",IF(ABS(D14-(C14-$H$28))&lt;1,IF(E14="","✅ Variance correct — now write the IF formula","✅ Both correct!"),"❌ Check your variance formula — use absolute ref $H$28"))</f>
        <v>⬅ Fill in revenue &amp; variance first</v>
      </c>
    </row>
    <row r="15" customFormat="false" ht="18" hidden="false" customHeight="true" outlineLevel="0" collapsed="false">
      <c r="B15" s="16" t="s">
        <v>35</v>
      </c>
      <c r="C15" s="23"/>
      <c r="D15" s="23"/>
      <c r="E15" s="23"/>
      <c r="F15" s="24" t="str">
        <f aca="false">IF(OR(C15="",D15=""),"⬅ Fill in revenue &amp; variance first",IF(ABS(D15-(C15-$H$28))&lt;1,IF(E15="","✅ Variance correct — now write the IF formula","✅ Both correct!"),"❌ Check your variance formula — use absolute ref $H$28"))</f>
        <v>⬅ Fill in revenue &amp; variance first</v>
      </c>
    </row>
    <row r="16" customFormat="false" ht="18" hidden="false" customHeight="true" outlineLevel="0" collapsed="false">
      <c r="B16" s="16" t="s">
        <v>36</v>
      </c>
      <c r="C16" s="23"/>
      <c r="D16" s="23"/>
      <c r="E16" s="23"/>
      <c r="F16" s="24" t="str">
        <f aca="false">IF(OR(C16="",D16=""),"⬅ Fill in revenue &amp; variance first",IF(ABS(D16-(C16-$H$28))&lt;1,IF(E16="","✅ Variance correct — now write the IF formula","✅ Both correct!"),"❌ Check your variance formula — use absolute ref $H$28"))</f>
        <v>⬅ Fill in revenue &amp; variance first</v>
      </c>
    </row>
    <row r="17" customFormat="false" ht="18" hidden="false" customHeight="true" outlineLevel="0" collapsed="false">
      <c r="B17" s="16" t="s">
        <v>37</v>
      </c>
      <c r="C17" s="23"/>
      <c r="D17" s="23"/>
      <c r="E17" s="23"/>
      <c r="F17" s="24" t="str">
        <f aca="false">IF(OR(C17="",D17=""),"⬅ Fill in revenue &amp; variance first",IF(ABS(D17-(C17-$H$28))&lt;1,IF(E17="","✅ Variance correct — now write the IF formula","✅ Both correct!"),"❌ Check your variance formula — use absolute ref $H$28"))</f>
        <v>⬅ Fill in revenue &amp; variance first</v>
      </c>
    </row>
    <row r="18" customFormat="false" ht="18" hidden="false" customHeight="true" outlineLevel="0" collapsed="false">
      <c r="B18" s="16" t="s">
        <v>38</v>
      </c>
      <c r="C18" s="23"/>
      <c r="D18" s="23"/>
      <c r="E18" s="23"/>
      <c r="F18" s="24" t="str">
        <f aca="false">IF(OR(C18="",D18=""),"⬅ Fill in revenue &amp; variance first",IF(ABS(D18-(C18-$H$28))&lt;1,IF(E18="","✅ Variance correct — now write the IF formula","✅ Both correct!"),"❌ Check your variance formula — use absolute ref $H$28"))</f>
        <v>⬅ Fill in revenue &amp; variance first</v>
      </c>
    </row>
    <row r="19" customFormat="false" ht="18" hidden="false" customHeight="true" outlineLevel="0" collapsed="false">
      <c r="B19" s="16" t="s">
        <v>39</v>
      </c>
      <c r="C19" s="23"/>
      <c r="D19" s="23"/>
      <c r="E19" s="23"/>
      <c r="F19" s="24" t="str">
        <f aca="false">IF(OR(C19="",D19=""),"⬅ Fill in revenue &amp; variance first",IF(ABS(D19-(C19-$H$28))&lt;1,IF(E19="","✅ Variance correct — now write the IF formula","✅ Both correct!"),"❌ Check your variance formula — use absolute ref $H$28"))</f>
        <v>⬅ Fill in revenue &amp; variance first</v>
      </c>
    </row>
    <row r="20" customFormat="false" ht="18" hidden="false" customHeight="true" outlineLevel="0" collapsed="false">
      <c r="B20" s="16" t="s">
        <v>40</v>
      </c>
      <c r="C20" s="23"/>
      <c r="D20" s="23"/>
      <c r="E20" s="23"/>
      <c r="F20" s="24" t="str">
        <f aca="false">IF(OR(C20="",D20=""),"⬅ Fill in revenue &amp; variance first",IF(ABS(D20-(C20-$H$28))&lt;1,IF(E20="","✅ Variance correct — now write the IF formula","✅ Both correct!"),"❌ Check your variance formula — use absolute ref $H$28"))</f>
        <v>⬅ Fill in revenue &amp; variance first</v>
      </c>
    </row>
    <row r="21" customFormat="false" ht="18" hidden="false" customHeight="true" outlineLevel="0" collapsed="false">
      <c r="B21" s="16" t="s">
        <v>41</v>
      </c>
      <c r="C21" s="23"/>
      <c r="D21" s="23"/>
      <c r="E21" s="23"/>
      <c r="F21" s="24" t="str">
        <f aca="false">IF(OR(C21="",D21=""),"⬅ Fill in revenue &amp; variance first",IF(ABS(D21-(C21-$H$28))&lt;1,IF(E21="","✅ Variance correct — now write the IF formula","✅ Both correct!"),"❌ Check your variance formula — use absolute ref $H$28"))</f>
        <v>⬅ Fill in revenue &amp; variance first</v>
      </c>
    </row>
    <row r="22" customFormat="false" ht="18" hidden="false" customHeight="true" outlineLevel="0" collapsed="false">
      <c r="B22" s="16" t="s">
        <v>42</v>
      </c>
      <c r="C22" s="23"/>
      <c r="D22" s="23"/>
      <c r="E22" s="23"/>
      <c r="F22" s="24" t="str">
        <f aca="false">IF(OR(C22="",D22=""),"⬅ Fill in revenue &amp; variance first",IF(ABS(D22-(C22-$H$28))&lt;1,IF(E22="","✅ Variance correct — now write the IF formula","✅ Both correct!"),"❌ Check your variance formula — use absolute ref $H$28"))</f>
        <v>⬅ Fill in revenue &amp; variance first</v>
      </c>
    </row>
    <row r="23" customFormat="false" ht="18" hidden="false" customHeight="true" outlineLevel="0" collapsed="false">
      <c r="B23" s="16" t="s">
        <v>43</v>
      </c>
      <c r="C23" s="23"/>
      <c r="D23" s="23"/>
      <c r="E23" s="23"/>
      <c r="F23" s="24" t="str">
        <f aca="false">IF(OR(C23="",D23=""),"⬅ Fill in revenue &amp; variance first",IF(ABS(D23-(C23-$H$28))&lt;1,IF(E23="","✅ Variance correct — now write the IF formula","✅ Both correct!"),"❌ Check your variance formula — use absolute ref $H$28"))</f>
        <v>⬅ Fill in revenue &amp; variance first</v>
      </c>
    </row>
    <row r="24" customFormat="false" ht="7.5" hidden="false" customHeight="true" outlineLevel="0" collapsed="false"/>
    <row r="27" customFormat="false" ht="27.75" hidden="false" customHeight="true" outlineLevel="0" collapsed="false">
      <c r="H27" s="31" t="s">
        <v>90</v>
      </c>
    </row>
    <row r="28" customFormat="false" ht="15" hidden="false" customHeight="true" outlineLevel="0" collapsed="false">
      <c r="H28" s="32" t="n">
        <v>55000</v>
      </c>
    </row>
  </sheetData>
  <mergeCells count="6">
    <mergeCell ref="B1:F1"/>
    <mergeCell ref="B2:F2"/>
    <mergeCell ref="B4:F4"/>
    <mergeCell ref="B5:F5"/>
    <mergeCell ref="B9:F9"/>
    <mergeCell ref="B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32"/>
    <col collapsed="false" customWidth="true" hidden="false" outlineLevel="0" max="4" min="4" style="1" width="28"/>
    <col collapsed="false" customWidth="true" hidden="false" outlineLevel="0" max="5" min="5" style="1" width="3"/>
  </cols>
  <sheetData>
    <row r="1" customFormat="false" ht="25.5" hidden="false" customHeight="true" outlineLevel="0" collapsed="false">
      <c r="B1" s="19" t="s">
        <v>91</v>
      </c>
      <c r="C1" s="19"/>
      <c r="D1" s="19"/>
    </row>
    <row r="2" customFormat="false" ht="19.5" hidden="false" customHeight="true" outlineLevel="0" collapsed="false">
      <c r="B2" s="20" t="s">
        <v>92</v>
      </c>
      <c r="C2" s="20"/>
      <c r="D2" s="20"/>
    </row>
    <row r="3" customFormat="false" ht="7.5" hidden="false" customHeight="true" outlineLevel="0" collapsed="false"/>
    <row r="4" customFormat="false" ht="19.5" hidden="false" customHeight="true" outlineLevel="0" collapsed="false">
      <c r="B4" s="22" t="s">
        <v>57</v>
      </c>
      <c r="C4" s="22" t="s">
        <v>93</v>
      </c>
      <c r="D4" s="22" t="s">
        <v>94</v>
      </c>
    </row>
    <row r="5" customFormat="false" ht="21.75" hidden="false" customHeight="true" outlineLevel="0" collapsed="false">
      <c r="B5" s="33" t="s">
        <v>61</v>
      </c>
      <c r="C5" s="34" t="s">
        <v>95</v>
      </c>
      <c r="D5" s="35" t="s">
        <v>96</v>
      </c>
    </row>
    <row r="6" customFormat="false" ht="21.75" hidden="false" customHeight="true" outlineLevel="0" collapsed="false">
      <c r="B6" s="33" t="s">
        <v>63</v>
      </c>
      <c r="C6" s="34" t="s">
        <v>97</v>
      </c>
      <c r="D6" s="35" t="s">
        <v>98</v>
      </c>
    </row>
    <row r="7" customFormat="false" ht="21.75" hidden="false" customHeight="true" outlineLevel="0" collapsed="false">
      <c r="B7" s="33" t="s">
        <v>65</v>
      </c>
      <c r="C7" s="34" t="s">
        <v>99</v>
      </c>
      <c r="D7" s="35" t="s">
        <v>100</v>
      </c>
    </row>
    <row r="8" customFormat="false" ht="21.75" hidden="false" customHeight="true" outlineLevel="0" collapsed="false">
      <c r="B8" s="33" t="s">
        <v>67</v>
      </c>
      <c r="C8" s="34" t="s">
        <v>101</v>
      </c>
      <c r="D8" s="35" t="s">
        <v>102</v>
      </c>
    </row>
    <row r="9" customFormat="false" ht="21.75" hidden="false" customHeight="true" outlineLevel="0" collapsed="false">
      <c r="B9" s="33" t="s">
        <v>69</v>
      </c>
      <c r="C9" s="34" t="s">
        <v>103</v>
      </c>
      <c r="D9" s="35" t="s">
        <v>104</v>
      </c>
    </row>
    <row r="10" customFormat="false" ht="21.75" hidden="false" customHeight="true" outlineLevel="0" collapsed="false">
      <c r="B10" s="33" t="s">
        <v>71</v>
      </c>
      <c r="C10" s="34" t="s">
        <v>105</v>
      </c>
      <c r="D10" s="35" t="s">
        <v>106</v>
      </c>
    </row>
    <row r="11" customFormat="false" ht="7.5" hidden="false" customHeight="true" outlineLevel="0" collapsed="false"/>
    <row r="12" customFormat="false" ht="19.5" hidden="false" customHeight="true" outlineLevel="0" collapsed="false">
      <c r="B12" s="10" t="s">
        <v>107</v>
      </c>
      <c r="C12" s="10"/>
      <c r="D12" s="10"/>
    </row>
    <row r="13" customFormat="false" ht="21.75" hidden="false" customHeight="true" outlineLevel="0" collapsed="false">
      <c r="B13" s="36" t="s">
        <v>108</v>
      </c>
      <c r="C13" s="37" t="s">
        <v>109</v>
      </c>
      <c r="D13" s="35" t="s">
        <v>110</v>
      </c>
    </row>
    <row r="14" customFormat="false" ht="21.75" hidden="false" customHeight="true" outlineLevel="0" collapsed="false">
      <c r="B14" s="36" t="s">
        <v>111</v>
      </c>
      <c r="C14" s="37" t="s">
        <v>112</v>
      </c>
      <c r="D14" s="35" t="s">
        <v>113</v>
      </c>
    </row>
    <row r="15" customFormat="false" ht="21.75" hidden="false" customHeight="true" outlineLevel="0" collapsed="false">
      <c r="B15" s="36" t="s">
        <v>114</v>
      </c>
      <c r="C15" s="37" t="s">
        <v>115</v>
      </c>
      <c r="D15" s="35" t="s">
        <v>116</v>
      </c>
    </row>
  </sheetData>
  <mergeCells count="3">
    <mergeCell ref="B1:D1"/>
    <mergeCell ref="B2:D2"/>
    <mergeCell ref="B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2026-06-04T23:13:26Z</dcterms:created>
  <dc:creator>openpyxl</dc:creator>
  <dc:description/>
  <dc:language>en-US</dc:language>
  <cp:lastModifiedBy/>
  <dcterms:modified xsi:type="dcterms:W3CDTF">2026-06-04T23:13:41Z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