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rade &amp; Cash Discounts" sheetId="2" state="visible" r:id="rId2"/>
    <sheet xmlns:r="http://schemas.openxmlformats.org/officeDocument/2006/relationships" name="Challenge" sheetId="3" state="visible" r:id="rId3"/>
    <sheet xmlns:r="http://schemas.openxmlformats.org/officeDocument/2006/relationships" name="FormulaReferenceCard" sheetId="4" state="visible" r:id="rId4"/>
    <sheet xmlns:r="http://schemas.openxmlformats.org/officeDocument/2006/relationships" name="INSTRUCTOR_AnswerKey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0.0%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E1116"/>
      <sz val="14"/>
    </font>
    <font>
      <name val="Arial"/>
      <charset val="1"/>
      <family val="0"/>
      <b val="1"/>
      <color rgb="FF4A7C5E"/>
      <sz val="12"/>
    </font>
    <font>
      <name val="Arial"/>
      <charset val="1"/>
      <family val="0"/>
      <color rgb="FF000000"/>
      <sz val="11"/>
    </font>
    <font>
      <name val="Arial"/>
      <charset val="1"/>
      <family val="0"/>
      <color rgb="FF0A3D6B"/>
      <sz val="11"/>
    </font>
    <font>
      <name val="Arial"/>
      <charset val="1"/>
      <family val="0"/>
      <color rgb="FF1A6B3C"/>
      <sz val="11"/>
    </font>
    <font>
      <name val="Arial"/>
      <charset val="1"/>
      <family val="0"/>
      <i val="1"/>
      <color rgb="FF7A829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B8843D"/>
      <sz val="10"/>
    </font>
    <font>
      <name val="Arial"/>
      <charset val="1"/>
      <family val="0"/>
      <b val="1"/>
      <color rgb="FF000000"/>
      <sz val="11"/>
    </font>
    <font>
      <name val="Consolas"/>
      <charset val="1"/>
      <family val="0"/>
      <color rgb="FF0E1116"/>
      <sz val="11"/>
    </font>
    <font>
      <name val="Arial"/>
      <charset val="1"/>
      <family val="0"/>
      <color rgb="FF4A5567"/>
      <sz val="11"/>
    </font>
    <font>
      <name val="Consolas"/>
      <charset val="1"/>
      <family val="0"/>
      <sz val="11"/>
    </font>
  </fonts>
  <fills count="7">
    <fill>
      <patternFill/>
    </fill>
    <fill>
      <patternFill patternType="gray125"/>
    </fill>
    <fill>
      <patternFill patternType="solid">
        <fgColor rgb="FFFFD966"/>
        <bgColor rgb="FFFFFF99"/>
      </patternFill>
    </fill>
    <fill>
      <patternFill patternType="solid">
        <fgColor rgb="FFFFFBF0"/>
        <bgColor rgb="FFFFFFFF"/>
      </patternFill>
    </fill>
    <fill>
      <patternFill patternType="solid">
        <fgColor rgb="FF0E1116"/>
        <bgColor rgb="FF000000"/>
      </patternFill>
    </fill>
    <fill>
      <patternFill patternType="solid">
        <fgColor rgb="FFFFFFFF"/>
        <bgColor rgb="FFFFFBF0"/>
      </patternFill>
    </fill>
    <fill>
      <patternFill patternType="solid">
        <fgColor rgb="FFF7F8FA"/>
        <bgColor rgb="FFFFFB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7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9" fontId="6" fillId="5" borderId="1" applyAlignment="1" pivotButton="0" quotePrefix="0" xfId="0">
      <alignment horizontal="center" vertical="center" wrapText="1"/>
    </xf>
    <xf numFmtId="2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10" fontId="7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7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9" fontId="6" fillId="5" borderId="1" applyAlignment="1" pivotButton="0" quotePrefix="0" xfId="0">
      <alignment horizontal="center" vertical="center" wrapText="1"/>
    </xf>
    <xf numFmtId="2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10" fontId="7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B8843D"/>
      <rgbColor rgb="FF800080"/>
      <rgbColor rgb="FF008080"/>
      <rgbColor rgb="FFC0C0C0"/>
      <rgbColor rgb="FF7A8290"/>
      <rgbColor rgb="FF9999FF"/>
      <rgbColor rgb="FF993366"/>
      <rgbColor rgb="FFFFFBF0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8FA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4A5567"/>
      <rgbColor rgb="FF969696"/>
      <rgbColor rgb="FF0A3D6B"/>
      <rgbColor rgb="FF4A7C5E"/>
      <rgbColor rgb="FF0E1116"/>
      <rgbColor rgb="FF333300"/>
      <rgbColor rgb="FF9C4A2B"/>
      <rgbColor rgb="FF993366"/>
      <rgbColor rgb="FF35577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4A7C5E"/>
    <outlinePr summaryBelow="1" summaryRight="1"/>
    <pageSetUpPr fitToPage="0"/>
  </sheetPr>
  <dimension ref="A1:B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36" min="1" max="1"/>
    <col width="55" customWidth="1" style="36" min="2" max="2"/>
  </cols>
  <sheetData>
    <row r="1" ht="17.35" customHeight="1" s="37">
      <c r="A1" s="38" t="inlineStr">
        <is>
          <t>BUS123 · MATH M03 · L01</t>
        </is>
      </c>
    </row>
    <row r="2" ht="15" customHeight="1" s="37">
      <c r="A2" s="39" t="inlineStr">
        <is>
          <t>Discounts: Trade and Cash</t>
        </is>
      </c>
    </row>
    <row r="3" ht="15" customHeight="1" s="37">
      <c r="A3" s="40" t="n"/>
    </row>
    <row r="4" ht="15" customHeight="1" s="37">
      <c r="A4" s="39" t="inlineStr">
        <is>
          <t>Learning Objectives</t>
        </is>
      </c>
    </row>
    <row r="5" ht="26.85" customHeight="1" s="37">
      <c r="A5" s="41" t="inlineStr">
        <is>
          <t>• Calculate a net price from a list price and a single trade discount</t>
        </is>
      </c>
    </row>
    <row r="6" ht="15" customHeight="1" s="37">
      <c r="A6" s="41" t="inlineStr">
        <is>
          <t>• Apply chain discounts to find the final net price</t>
        </is>
      </c>
    </row>
    <row r="7" ht="26.85" customHeight="1" s="37">
      <c r="A7" s="41" t="inlineStr">
        <is>
          <t>• Interpret cash discount terms (e.g., 2/10 net 30) and calculate the discounted payment</t>
        </is>
      </c>
    </row>
    <row r="8" ht="26.85" customHeight="1" s="37">
      <c r="A8" s="41" t="inlineStr">
        <is>
          <t>• Use Excel formulas to compute trade, chain, and cash discounts</t>
        </is>
      </c>
    </row>
    <row r="9" ht="15" customHeight="1" s="37">
      <c r="A9" s="40" t="n"/>
    </row>
    <row r="10" ht="15" customHeight="1" s="37">
      <c r="A10" s="39" t="inlineStr">
        <is>
          <t>How to Use This Workbook</t>
        </is>
      </c>
    </row>
    <row r="11" ht="26.85" customHeight="1" s="37">
      <c r="A11" s="41" t="inlineStr">
        <is>
          <t>1. Work through each section on the "Trade &amp; Cash Discounts" tab.</t>
        </is>
      </c>
    </row>
    <row r="12" ht="26.85" customHeight="1" s="37">
      <c r="A12" s="41" t="inlineStr">
        <is>
          <t>2. Yellow cells are where you enter your formulas or values.</t>
        </is>
      </c>
    </row>
    <row r="13" ht="26.85" customHeight="1" s="37">
      <c r="A13" s="41" t="inlineStr">
        <is>
          <t>3. Green/red feedback will appear in result cells when your answer is correct or incorrect.</t>
        </is>
      </c>
    </row>
    <row r="14" ht="26.85" customHeight="1" s="37">
      <c r="A14" s="41" t="inlineStr">
        <is>
          <t>4. The FormulaReferenceCard tab has a quick reference of all formulas used in this activity.</t>
        </is>
      </c>
    </row>
    <row r="15" ht="26.85" customHeight="1" s="37">
      <c r="A15" s="41" t="inlineStr">
        <is>
          <t>5. Challenge tab has optional stretch problems if you finish early.</t>
        </is>
      </c>
    </row>
    <row r="16" ht="15" customHeight="1" s="37">
      <c r="A16" s="40" t="n"/>
    </row>
    <row r="17" ht="15" customHeight="1" s="37">
      <c r="A17" s="39" t="inlineStr">
        <is>
          <t>Color Key</t>
        </is>
      </c>
    </row>
    <row r="18" ht="15" customHeight="1" s="37">
      <c r="A18" s="42" t="inlineStr">
        <is>
          <t>Yellow cells</t>
        </is>
      </c>
      <c r="B18" s="43">
        <f>your input (enter formulas here)</f>
        <v/>
      </c>
    </row>
    <row r="19" ht="15" customHeight="1" s="37">
      <c r="A19" s="44" t="inlineStr">
        <is>
          <t>Result cells</t>
        </is>
      </c>
      <c r="B19" s="43">
        <f>calculated results with correct/incorrect feedback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4A7C5E"/>
    <outlinePr summaryBelow="1" summaryRight="1"/>
    <pageSetUpPr fitToPage="0"/>
  </sheetPr>
  <dimension ref="A1:H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6" min="1" max="1"/>
    <col width="28" customWidth="1" style="36" min="2" max="2"/>
    <col width="18" customWidth="1" style="36" min="3" max="6"/>
    <col width="22" customWidth="1" style="36" min="7" max="8"/>
  </cols>
  <sheetData>
    <row r="1" ht="17.35" customHeight="1" s="37">
      <c r="B1" s="45" t="inlineStr">
        <is>
          <t>SECTION A: Single Trade Discounts</t>
        </is>
      </c>
    </row>
    <row r="2" ht="15" customHeight="1" s="37">
      <c r="B2" s="46" t="inlineStr">
        <is>
          <t>Tidal Goods Co. receives trade discounts from suppliers. Calculate the net price for each item.</t>
        </is>
      </c>
    </row>
    <row r="4" ht="15" customHeight="1" s="37">
      <c r="A4" s="47" t="n"/>
      <c r="B4" s="47" t="inlineStr">
        <is>
          <t>Item</t>
        </is>
      </c>
      <c r="C4" s="47" t="inlineStr">
        <is>
          <t>List Price</t>
        </is>
      </c>
      <c r="D4" s="47" t="inlineStr">
        <is>
          <t>Discount Rate</t>
        </is>
      </c>
      <c r="E4" s="47" t="inlineStr">
        <is>
          <t>Complement</t>
        </is>
      </c>
      <c r="F4" s="47" t="inlineStr">
        <is>
          <t>Discount Amount</t>
        </is>
      </c>
      <c r="G4" s="47" t="inlineStr">
        <is>
          <t>Net Price</t>
        </is>
      </c>
    </row>
    <row r="5" ht="15" customHeight="1" s="37">
      <c r="A5" s="48" t="n">
        <v>1</v>
      </c>
      <c r="B5" s="49" t="inlineStr">
        <is>
          <t>Wetsuit</t>
        </is>
      </c>
      <c r="C5" s="50" t="n">
        <v>189.99</v>
      </c>
      <c r="D5" s="51" t="n">
        <v>0.3</v>
      </c>
      <c r="E5" s="52">
        <f>1-D5</f>
        <v/>
      </c>
      <c r="F5" s="53">
        <f>C5*D5</f>
        <v/>
      </c>
      <c r="G5" s="53">
        <f>C5*E5</f>
        <v/>
      </c>
    </row>
    <row r="6" ht="15" customHeight="1" s="37">
      <c r="A6" s="48" t="n">
        <v>2</v>
      </c>
      <c r="B6" s="49" t="inlineStr">
        <is>
          <t>Rash Guard</t>
        </is>
      </c>
      <c r="C6" s="50" t="n">
        <v>44.95</v>
      </c>
      <c r="D6" s="51" t="n">
        <v>0.25</v>
      </c>
      <c r="E6" s="52">
        <f>1-D6</f>
        <v/>
      </c>
      <c r="F6" s="53">
        <f>C6*D6</f>
        <v/>
      </c>
      <c r="G6" s="53">
        <f>C6*E6</f>
        <v/>
      </c>
    </row>
    <row r="7" ht="15" customHeight="1" s="37">
      <c r="A7" s="48" t="n">
        <v>3</v>
      </c>
      <c r="B7" s="49" t="inlineStr">
        <is>
          <t>Board Shorts</t>
        </is>
      </c>
      <c r="C7" s="50" t="n">
        <v>62</v>
      </c>
      <c r="D7" s="51" t="n">
        <v>0.35</v>
      </c>
      <c r="E7" s="52">
        <f>1-D7</f>
        <v/>
      </c>
      <c r="F7" s="53">
        <f>C7*D7</f>
        <v/>
      </c>
      <c r="G7" s="53">
        <f>C7*E7</f>
        <v/>
      </c>
    </row>
    <row r="8" ht="15" customHeight="1" s="37">
      <c r="A8" s="48" t="n">
        <v>4</v>
      </c>
      <c r="B8" s="49" t="inlineStr">
        <is>
          <t>Surfboard Leash</t>
        </is>
      </c>
      <c r="C8" s="50" t="n">
        <v>29.99</v>
      </c>
      <c r="D8" s="51" t="n">
        <v>0.2</v>
      </c>
      <c r="E8" s="52">
        <f>1-D8</f>
        <v/>
      </c>
      <c r="F8" s="53">
        <f>C8*D8</f>
        <v/>
      </c>
      <c r="G8" s="53">
        <f>C8*E8</f>
        <v/>
      </c>
    </row>
    <row r="9" ht="15" customHeight="1" s="37">
      <c r="A9" s="48" t="n">
        <v>5</v>
      </c>
      <c r="B9" s="49" t="inlineStr">
        <is>
          <t>Roof Rack Pads</t>
        </is>
      </c>
      <c r="C9" s="50" t="n">
        <v>54.5</v>
      </c>
      <c r="D9" s="51" t="n">
        <v>0.15</v>
      </c>
      <c r="E9" s="52">
        <f>1-D9</f>
        <v/>
      </c>
      <c r="F9" s="53">
        <f>C9*D9</f>
        <v/>
      </c>
      <c r="G9" s="53">
        <f>C9*E9</f>
        <v/>
      </c>
    </row>
    <row r="12" ht="17.35" customHeight="1" s="37">
      <c r="B12" s="54" t="inlineStr">
        <is>
          <t>SECTION B: Chain Discounts</t>
        </is>
      </c>
    </row>
    <row r="13" ht="15" customHeight="1" s="37">
      <c r="B13" s="46" t="inlineStr">
        <is>
          <t>Each item has multiple successive discounts. Calculate the net price using chain discount method.</t>
        </is>
      </c>
    </row>
    <row r="15" ht="15" customHeight="1" s="37">
      <c r="A15" s="47" t="n"/>
      <c r="B15" s="47" t="inlineStr">
        <is>
          <t>Item</t>
        </is>
      </c>
      <c r="C15" s="47" t="inlineStr">
        <is>
          <t>List Price</t>
        </is>
      </c>
      <c r="D15" s="47" t="inlineStr">
        <is>
          <t>d1</t>
        </is>
      </c>
      <c r="E15" s="47" t="inlineStr">
        <is>
          <t>d2</t>
        </is>
      </c>
      <c r="F15" s="47" t="inlineStr">
        <is>
          <t>d3</t>
        </is>
      </c>
      <c r="G15" s="47" t="inlineStr">
        <is>
          <t>Net Price (Chain)</t>
        </is>
      </c>
      <c r="H15" s="47" t="inlineStr">
        <is>
          <t>Single Equiv Rate</t>
        </is>
      </c>
    </row>
    <row r="16" ht="15" customHeight="1" s="37">
      <c r="A16" s="48" t="n">
        <v>1</v>
      </c>
      <c r="B16" s="49" t="inlineStr">
        <is>
          <t>Surfboard Fins</t>
        </is>
      </c>
      <c r="C16" s="50" t="n">
        <v>64</v>
      </c>
      <c r="D16" s="51" t="n">
        <v>0.2</v>
      </c>
      <c r="E16" s="51" t="n">
        <v>0.1</v>
      </c>
      <c r="F16" s="51" t="n">
        <v>0.05</v>
      </c>
      <c r="G16" s="53">
        <f>C16*(1-D16)*(1-E16)*(1-F16)</f>
        <v/>
      </c>
      <c r="H16" s="55">
        <f>1-((1-D16)*(1-E16)*(1-F16))</f>
        <v/>
      </c>
    </row>
    <row r="17" ht="15" customHeight="1" s="37">
      <c r="A17" s="48" t="n">
        <v>2</v>
      </c>
      <c r="B17" s="49" t="inlineStr">
        <is>
          <t>Wetsuit Gloves</t>
        </is>
      </c>
      <c r="C17" s="50" t="n">
        <v>38</v>
      </c>
      <c r="D17" s="51" t="n">
        <v>0.25</v>
      </c>
      <c r="E17" s="51" t="n">
        <v>0.1</v>
      </c>
      <c r="F17" s="51" t="n">
        <v>0</v>
      </c>
      <c r="G17" s="53">
        <f>C17*(1-D17)*(1-E17)</f>
        <v/>
      </c>
      <c r="H17" s="55">
        <f>1-((1-D17)*(1-E17))</f>
        <v/>
      </c>
    </row>
    <row r="18" ht="15" customHeight="1" s="37">
      <c r="A18" s="48" t="n">
        <v>3</v>
      </c>
      <c r="B18" s="49" t="inlineStr">
        <is>
          <t>Paddle Board</t>
        </is>
      </c>
      <c r="C18" s="50" t="n">
        <v>895</v>
      </c>
      <c r="D18" s="51" t="n">
        <v>0.15</v>
      </c>
      <c r="E18" s="51" t="n">
        <v>0.1</v>
      </c>
      <c r="F18" s="51" t="n">
        <v>0.05</v>
      </c>
      <c r="G18" s="53">
        <f>C18*(1-D18)*(1-E18)*(1-F18)</f>
        <v/>
      </c>
      <c r="H18" s="55">
        <f>1-((1-D18)*(1-E18)*(1-F18))</f>
        <v/>
      </c>
    </row>
    <row r="19" ht="15" customHeight="1" s="37">
      <c r="A19" s="48" t="n">
        <v>4</v>
      </c>
      <c r="B19" s="49" t="inlineStr">
        <is>
          <t>Dry Bag Set</t>
        </is>
      </c>
      <c r="C19" s="50" t="n">
        <v>72.5</v>
      </c>
      <c r="D19" s="51" t="n">
        <v>0.2</v>
      </c>
      <c r="E19" s="51" t="n">
        <v>0.15</v>
      </c>
      <c r="F19" s="51" t="n">
        <v>0.1</v>
      </c>
      <c r="G19" s="53">
        <f>C19*(1-D19)*(1-E19)*(1-F19)</f>
        <v/>
      </c>
      <c r="H19" s="55">
        <f>1-((1-D19)*(1-E19)*(1-F19))</f>
        <v/>
      </c>
    </row>
    <row r="22" ht="17.35" customHeight="1" s="37">
      <c r="B22" s="54" t="inlineStr">
        <is>
          <t>SECTION C: Cash Discounts</t>
        </is>
      </c>
    </row>
    <row r="23" ht="15" customHeight="1" s="37">
      <c r="B23" s="46" t="inlineStr">
        <is>
          <t>Calculate the discounted payment if Tidal Goods pays within the discount window.</t>
        </is>
      </c>
    </row>
    <row r="25" ht="15" customHeight="1" s="37">
      <c r="A25" s="47" t="n"/>
      <c r="B25" s="47" t="inlineStr">
        <is>
          <t>Supplier</t>
        </is>
      </c>
      <c r="C25" s="47" t="inlineStr">
        <is>
          <t>Invoice Amount</t>
        </is>
      </c>
      <c r="D25" s="47" t="inlineStr">
        <is>
          <t>Terms</t>
        </is>
      </c>
      <c r="E25" s="47" t="inlineStr">
        <is>
          <t>Disc Rate</t>
        </is>
      </c>
      <c r="F25" s="47" t="inlineStr">
        <is>
          <t>Disc Amount</t>
        </is>
      </c>
      <c r="G25" s="47" t="inlineStr">
        <is>
          <t>Payment If Early</t>
        </is>
      </c>
      <c r="H25" s="47" t="inlineStr">
        <is>
          <t>Savings</t>
        </is>
      </c>
    </row>
    <row r="26" ht="15" customHeight="1" s="37">
      <c r="A26" s="48" t="n">
        <v>1</v>
      </c>
      <c r="B26" s="49" t="inlineStr">
        <is>
          <t>WaveCrest Wetsuits</t>
        </is>
      </c>
      <c r="C26" s="50" t="n">
        <v>4200</v>
      </c>
      <c r="D26" s="56" t="inlineStr">
        <is>
          <t>2/10 net 30</t>
        </is>
      </c>
      <c r="E26" s="57" t="n">
        <v>0.02</v>
      </c>
      <c r="F26" s="53">
        <f>C26*E26</f>
        <v/>
      </c>
      <c r="G26" s="53">
        <f>C26*(1-E26)</f>
        <v/>
      </c>
      <c r="H26" s="53">
        <f>C26-G26</f>
        <v/>
      </c>
    </row>
    <row r="27" ht="15" customHeight="1" s="37">
      <c r="A27" s="48" t="n">
        <v>2</v>
      </c>
      <c r="B27" s="49" t="inlineStr">
        <is>
          <t>Pacific Boards Inc.</t>
        </is>
      </c>
      <c r="C27" s="50" t="n">
        <v>8750</v>
      </c>
      <c r="D27" s="56" t="inlineStr">
        <is>
          <t>3/15 net 45</t>
        </is>
      </c>
      <c r="E27" s="57" t="n">
        <v>0.03</v>
      </c>
      <c r="F27" s="53">
        <f>C27*E27</f>
        <v/>
      </c>
      <c r="G27" s="53">
        <f>C27*(1-E27)</f>
        <v/>
      </c>
      <c r="H27" s="53">
        <f>C27-G27</f>
        <v/>
      </c>
    </row>
    <row r="28" ht="15" customHeight="1" s="37">
      <c r="A28" s="48" t="n">
        <v>3</v>
      </c>
      <c r="B28" s="49" t="inlineStr">
        <is>
          <t>SaltAir Accessories</t>
        </is>
      </c>
      <c r="C28" s="50" t="n">
        <v>1620</v>
      </c>
      <c r="D28" s="56" t="inlineStr">
        <is>
          <t>1.5/10 net 30</t>
        </is>
      </c>
      <c r="E28" s="57" t="n">
        <v>0.015</v>
      </c>
      <c r="F28" s="53">
        <f>C28*E28</f>
        <v/>
      </c>
      <c r="G28" s="53">
        <f>C28*(1-E28)</f>
        <v/>
      </c>
      <c r="H28" s="53">
        <f>C28-G28</f>
        <v/>
      </c>
    </row>
    <row r="29" ht="15" customHeight="1" s="37">
      <c r="A29" s="48" t="n">
        <v>4</v>
      </c>
      <c r="B29" s="49" t="inlineStr">
        <is>
          <t>Reef Supply Co.</t>
        </is>
      </c>
      <c r="C29" s="50" t="n">
        <v>3400</v>
      </c>
      <c r="D29" s="56" t="inlineStr">
        <is>
          <t>2/10 net 60</t>
        </is>
      </c>
      <c r="E29" s="57" t="n">
        <v>0.02</v>
      </c>
      <c r="F29" s="53">
        <f>C29*E29</f>
        <v/>
      </c>
      <c r="G29" s="53">
        <f>C29*(1-E29)</f>
        <v/>
      </c>
      <c r="H29" s="53">
        <f>C29-G29</f>
        <v/>
      </c>
    </row>
  </sheetData>
  <mergeCells count="6">
    <mergeCell ref="B22:H22"/>
    <mergeCell ref="B1:H1"/>
    <mergeCell ref="B13:H13"/>
    <mergeCell ref="B12:H12"/>
    <mergeCell ref="B2:H2"/>
    <mergeCell ref="B23:H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B8843D"/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6" min="1" max="1"/>
    <col width="30" customWidth="1" style="36" min="2" max="2"/>
    <col width="18" customWidth="1" style="36" min="3" max="6"/>
    <col width="22" customWidth="1" style="36" min="7" max="8"/>
  </cols>
  <sheetData>
    <row r="1" ht="17.35" customHeight="1" s="37">
      <c r="B1" s="54" t="inlineStr">
        <is>
          <t>CHALLENGE: Combined Discounts</t>
        </is>
      </c>
    </row>
    <row r="2" ht="15" customHeight="1" s="37">
      <c r="B2" s="46" t="inlineStr">
        <is>
          <t>Tidal Goods receives BOTH trade/chain discounts AND cash discounts on these orders. Find the final amount paid.</t>
        </is>
      </c>
    </row>
    <row r="4" ht="15" customHeight="1" s="37">
      <c r="A4" s="47" t="n"/>
      <c r="B4" s="47" t="inlineStr">
        <is>
          <t>Item</t>
        </is>
      </c>
      <c r="C4" s="47" t="inlineStr">
        <is>
          <t>List Price</t>
        </is>
      </c>
      <c r="D4" s="47" t="inlineStr">
        <is>
          <t>Trade Disc</t>
        </is>
      </c>
      <c r="E4" s="47" t="inlineStr">
        <is>
          <t>Cash Terms</t>
        </is>
      </c>
      <c r="F4" s="47" t="inlineStr">
        <is>
          <t>Net After Trade</t>
        </is>
      </c>
      <c r="G4" s="47" t="inlineStr">
        <is>
          <t>Final Payment</t>
        </is>
      </c>
      <c r="H4" s="47" t="inlineStr">
        <is>
          <t>Total Savings</t>
        </is>
      </c>
    </row>
    <row r="5" ht="15" customHeight="1" s="37">
      <c r="A5" s="48" t="n">
        <v>1</v>
      </c>
      <c r="B5" s="49" t="inlineStr">
        <is>
          <t>Wetsuit Order (50 units)</t>
        </is>
      </c>
      <c r="C5" s="50" t="n">
        <v>9499.5</v>
      </c>
      <c r="D5" s="56" t="inlineStr">
        <is>
          <t>30%</t>
        </is>
      </c>
      <c r="E5" s="56" t="inlineStr">
        <is>
          <t>2/10 net 30</t>
        </is>
      </c>
      <c r="F5" s="53">
        <f>C5*(1-0.3)</f>
        <v/>
      </c>
      <c r="G5" s="53">
        <f>F5*(1-0.02)</f>
        <v/>
      </c>
      <c r="H5" s="53">
        <f>C5-G5</f>
        <v/>
      </c>
    </row>
    <row r="6" ht="15" customHeight="1" s="37">
      <c r="A6" s="48" t="n">
        <v>2</v>
      </c>
      <c r="B6" s="49" t="inlineStr">
        <is>
          <t>Board Accessories</t>
        </is>
      </c>
      <c r="C6" s="50" t="n">
        <v>3625</v>
      </c>
      <c r="D6" s="56" t="inlineStr">
        <is>
          <t>20/10</t>
        </is>
      </c>
      <c r="E6" s="56" t="inlineStr">
        <is>
          <t>1.5/10 net 30</t>
        </is>
      </c>
      <c r="F6" s="53">
        <f>C6*(1-0.2)*(1-0.1)</f>
        <v/>
      </c>
      <c r="G6" s="53">
        <f>F6*(1-0.015)</f>
        <v/>
      </c>
      <c r="H6" s="53">
        <f>C6-G6</f>
        <v/>
      </c>
    </row>
    <row r="7" ht="15" customHeight="1" s="37">
      <c r="A7" s="48" t="n">
        <v>3</v>
      </c>
      <c r="B7" s="49" t="inlineStr">
        <is>
          <t>Seasonal Display Racks</t>
        </is>
      </c>
      <c r="C7" s="50" t="n">
        <v>2800</v>
      </c>
      <c r="D7" s="56" t="inlineStr">
        <is>
          <t>15/5</t>
        </is>
      </c>
      <c r="E7" s="56" t="inlineStr">
        <is>
          <t>3/15 net 45</t>
        </is>
      </c>
      <c r="F7" s="53">
        <f>C7*(1-0.15)*(1-0.05)</f>
        <v/>
      </c>
      <c r="G7" s="53">
        <f>F7*(1-0.03)</f>
        <v/>
      </c>
      <c r="H7" s="53">
        <f>C7-G7</f>
        <v/>
      </c>
    </row>
  </sheetData>
  <mergeCells count="2">
    <mergeCell ref="B1:H1"/>
    <mergeCell ref="B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355773"/>
    <outlinePr summaryBelow="1" summaryRight="1"/>
    <pageSetUpPr fitToPage="0"/>
  </sheetPr>
  <dimension ref="A1:C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6" min="1" max="1"/>
    <col width="40" customWidth="1" style="36" min="2" max="2"/>
    <col width="45" customWidth="1" style="36" min="3" max="3"/>
  </cols>
  <sheetData>
    <row r="1" ht="17.35" customHeight="1" s="37">
      <c r="A1" s="54" t="inlineStr">
        <is>
          <t>Formula Reference Card — Discounts</t>
        </is>
      </c>
    </row>
    <row r="3" ht="15" customHeight="1" s="37">
      <c r="A3" s="47" t="inlineStr">
        <is>
          <t>Concept</t>
        </is>
      </c>
      <c r="B3" s="47" t="inlineStr">
        <is>
          <t>Formula</t>
        </is>
      </c>
      <c r="C3" s="47" t="inlineStr">
        <is>
          <t>Example</t>
        </is>
      </c>
    </row>
    <row r="4" ht="30" customHeight="1" s="37">
      <c r="A4" s="58" t="inlineStr">
        <is>
          <t>Trade Discount — Net Price</t>
        </is>
      </c>
      <c r="B4" s="59">
        <f>list price × (1 − Discount Rate)</f>
        <v/>
      </c>
      <c r="C4" s="60">
        <f>189.99 × (1 − 0.30) = $132.99</f>
        <v/>
      </c>
    </row>
    <row r="5" ht="30" customHeight="1" s="37">
      <c r="A5" s="61" t="inlineStr">
        <is>
          <t>Trade Discount — Complement</t>
        </is>
      </c>
      <c r="B5" s="62">
        <f>1 − Discount Rate</f>
        <v/>
      </c>
      <c r="C5" s="63">
        <f>1 − 0.30 = 0.70</f>
        <v/>
      </c>
    </row>
    <row r="6" ht="30" customHeight="1" s="37">
      <c r="A6" s="58" t="inlineStr">
        <is>
          <t>Trade Discount — Discount Amount</t>
        </is>
      </c>
      <c r="B6" s="59">
        <f>list price × Discount Rate</f>
        <v/>
      </c>
      <c r="C6" s="60">
        <f>189.99 × 0.30 = $57.00</f>
        <v/>
      </c>
    </row>
    <row r="7" ht="30" customHeight="1" s="37">
      <c r="A7" s="61" t="inlineStr">
        <is>
          <t>Chain Discount — Net Price</t>
        </is>
      </c>
      <c r="B7" s="62">
        <f>list price × (1−d1) × (1−d2) × (1−d3)</f>
        <v/>
      </c>
      <c r="C7" s="63">
        <f>64 × 0.80 × 0.90 × 0.95 = $43.78</f>
        <v/>
      </c>
    </row>
    <row r="8" ht="30" customHeight="1" s="37">
      <c r="A8" s="58" t="inlineStr">
        <is>
          <t>Chain — Single Equivalent Rate</t>
        </is>
      </c>
      <c r="B8" s="59">
        <f>1 − [(1−d1) × (1−d2) × (1−d3)]</f>
        <v/>
      </c>
      <c r="C8" s="60">
        <f>1 − (0.80 × 0.90 × 0.95) = 31.6%</f>
        <v/>
      </c>
    </row>
    <row r="9" ht="30" customHeight="1" s="37">
      <c r="A9" s="61" t="inlineStr">
        <is>
          <t>Cash Discount — Payment</t>
        </is>
      </c>
      <c r="B9" s="62">
        <f>invoice × (1 − Cash Discount Rate)</f>
        <v/>
      </c>
      <c r="C9" s="63">
        <f>4200 × (1 − 0.02) = $4,116.00</f>
        <v/>
      </c>
    </row>
    <row r="10" ht="30" customHeight="1" s="37">
      <c r="A10" s="58" t="inlineStr">
        <is>
          <t>Cash Discount — Savings</t>
        </is>
      </c>
      <c r="B10" s="59">
        <f>invoice × Cash Discount Rate</f>
        <v/>
      </c>
      <c r="C10" s="60">
        <f>4200 × 0.02 = $84.00</f>
        <v/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9C4A2B"/>
    <outlinePr summaryBelow="1" summaryRight="1"/>
    <pageSetUpPr fitToPage="0"/>
  </sheetPr>
  <dimension ref="A1:D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6" min="1" max="1"/>
    <col width="20" customWidth="1" style="36" min="2" max="3"/>
    <col width="50" customWidth="1" style="36" min="4" max="4"/>
  </cols>
  <sheetData>
    <row r="1" ht="17.35" customHeight="1" s="37">
      <c r="A1" s="54" t="inlineStr">
        <is>
          <t>INSTRUCTOR SOLUTION — Discounts: Trade and Cash</t>
        </is>
      </c>
    </row>
    <row r="3" ht="15" customHeight="1" s="37">
      <c r="A3" s="47" t="inlineStr">
        <is>
          <t>Section</t>
        </is>
      </c>
      <c r="B3" s="47" t="inlineStr">
        <is>
          <t>Cell</t>
        </is>
      </c>
      <c r="C3" s="47" t="inlineStr">
        <is>
          <t>Answer</t>
        </is>
      </c>
      <c r="D3" s="47" t="inlineStr">
        <is>
          <t>Notes</t>
        </is>
      </c>
    </row>
    <row r="4" ht="15" customHeight="1" s="37">
      <c r="A4" s="49" t="inlineStr">
        <is>
          <t>A: Trade</t>
        </is>
      </c>
      <c r="B4" s="64" t="inlineStr">
        <is>
          <t>E5</t>
        </is>
      </c>
      <c r="C4" s="65" t="inlineStr">
        <is>
          <t>0.70</t>
        </is>
      </c>
      <c r="D4" s="66" t="inlineStr">
        <is>
          <t>Complement = 1 - 0.30</t>
        </is>
      </c>
    </row>
    <row r="5" ht="15" customHeight="1" s="37">
      <c r="A5" s="67" t="inlineStr">
        <is>
          <t>A: Trade</t>
        </is>
      </c>
      <c r="B5" s="68" t="inlineStr">
        <is>
          <t>F5</t>
        </is>
      </c>
      <c r="C5" s="69" t="inlineStr">
        <is>
          <t>$57.00</t>
        </is>
      </c>
      <c r="D5" s="70" t="inlineStr">
        <is>
          <t>189.99 × 0.30</t>
        </is>
      </c>
    </row>
    <row r="6" ht="15" customHeight="1" s="37">
      <c r="A6" s="49" t="inlineStr">
        <is>
          <t>A: Trade</t>
        </is>
      </c>
      <c r="B6" s="64" t="inlineStr">
        <is>
          <t>G5</t>
        </is>
      </c>
      <c r="C6" s="65" t="inlineStr">
        <is>
          <t>$132.99</t>
        </is>
      </c>
      <c r="D6" s="66" t="inlineStr">
        <is>
          <t>189.99 × 0.70</t>
        </is>
      </c>
    </row>
    <row r="7" ht="15" customHeight="1" s="37">
      <c r="A7" s="67" t="inlineStr">
        <is>
          <t>A: Trade</t>
        </is>
      </c>
      <c r="B7" s="68" t="inlineStr">
        <is>
          <t>E6</t>
        </is>
      </c>
      <c r="C7" s="69" t="inlineStr">
        <is>
          <t>0.75</t>
        </is>
      </c>
      <c r="D7" s="70" t="n"/>
    </row>
    <row r="8" ht="15" customHeight="1" s="37">
      <c r="A8" s="49" t="inlineStr">
        <is>
          <t>A: Trade</t>
        </is>
      </c>
      <c r="B8" s="64" t="inlineStr">
        <is>
          <t>F6</t>
        </is>
      </c>
      <c r="C8" s="65" t="inlineStr">
        <is>
          <t>$11.24</t>
        </is>
      </c>
      <c r="D8" s="66" t="n"/>
    </row>
    <row r="9" ht="15" customHeight="1" s="37">
      <c r="A9" s="67" t="inlineStr">
        <is>
          <t>A: Trade</t>
        </is>
      </c>
      <c r="B9" s="68" t="inlineStr">
        <is>
          <t>G6</t>
        </is>
      </c>
      <c r="C9" s="69" t="inlineStr">
        <is>
          <t>$33.71</t>
        </is>
      </c>
      <c r="D9" s="70" t="n"/>
    </row>
    <row r="10" ht="15" customHeight="1" s="37">
      <c r="A10" s="49" t="inlineStr">
        <is>
          <t>A: Trade</t>
        </is>
      </c>
      <c r="B10" s="64" t="inlineStr">
        <is>
          <t>E7</t>
        </is>
      </c>
      <c r="C10" s="65" t="inlineStr">
        <is>
          <t>0.65</t>
        </is>
      </c>
      <c r="D10" s="66" t="n"/>
    </row>
    <row r="11" ht="15" customHeight="1" s="37">
      <c r="A11" s="67" t="inlineStr">
        <is>
          <t>A: Trade</t>
        </is>
      </c>
      <c r="B11" s="68" t="inlineStr">
        <is>
          <t>F7</t>
        </is>
      </c>
      <c r="C11" s="69" t="inlineStr">
        <is>
          <t>$21.70</t>
        </is>
      </c>
      <c r="D11" s="70" t="n"/>
    </row>
    <row r="12" ht="15" customHeight="1" s="37">
      <c r="A12" s="49" t="inlineStr">
        <is>
          <t>A: Trade</t>
        </is>
      </c>
      <c r="B12" s="64" t="inlineStr">
        <is>
          <t>G7</t>
        </is>
      </c>
      <c r="C12" s="65" t="inlineStr">
        <is>
          <t>$40.30</t>
        </is>
      </c>
      <c r="D12" s="66" t="n"/>
    </row>
    <row r="13" ht="15" customHeight="1" s="37">
      <c r="A13" s="67" t="inlineStr">
        <is>
          <t>A: Trade</t>
        </is>
      </c>
      <c r="B13" s="68" t="inlineStr">
        <is>
          <t>E8</t>
        </is>
      </c>
      <c r="C13" s="69" t="inlineStr">
        <is>
          <t>0.80</t>
        </is>
      </c>
      <c r="D13" s="70" t="n"/>
    </row>
    <row r="14" ht="15" customHeight="1" s="37">
      <c r="A14" s="49" t="inlineStr">
        <is>
          <t>A: Trade</t>
        </is>
      </c>
      <c r="B14" s="64" t="inlineStr">
        <is>
          <t>F8</t>
        </is>
      </c>
      <c r="C14" s="65" t="inlineStr">
        <is>
          <t>$6.00</t>
        </is>
      </c>
      <c r="D14" s="66" t="n"/>
    </row>
    <row r="15" ht="15" customHeight="1" s="37">
      <c r="A15" s="67" t="inlineStr">
        <is>
          <t>A: Trade</t>
        </is>
      </c>
      <c r="B15" s="68" t="inlineStr">
        <is>
          <t>G8</t>
        </is>
      </c>
      <c r="C15" s="69" t="inlineStr">
        <is>
          <t>$23.99</t>
        </is>
      </c>
      <c r="D15" s="70" t="n"/>
    </row>
    <row r="16" ht="15" customHeight="1" s="37">
      <c r="A16" s="49" t="inlineStr">
        <is>
          <t>A: Trade</t>
        </is>
      </c>
      <c r="B16" s="64" t="inlineStr">
        <is>
          <t>E9</t>
        </is>
      </c>
      <c r="C16" s="65" t="inlineStr">
        <is>
          <t>0.85</t>
        </is>
      </c>
      <c r="D16" s="66" t="n"/>
    </row>
    <row r="17" ht="15" customHeight="1" s="37">
      <c r="A17" s="67" t="inlineStr">
        <is>
          <t>A: Trade</t>
        </is>
      </c>
      <c r="B17" s="68" t="inlineStr">
        <is>
          <t>F9</t>
        </is>
      </c>
      <c r="C17" s="69" t="inlineStr">
        <is>
          <t>$8.18</t>
        </is>
      </c>
      <c r="D17" s="70" t="n"/>
    </row>
    <row r="18" ht="15" customHeight="1" s="37">
      <c r="A18" s="49" t="inlineStr">
        <is>
          <t>A: Trade</t>
        </is>
      </c>
      <c r="B18" s="64" t="inlineStr">
        <is>
          <t>G9</t>
        </is>
      </c>
      <c r="C18" s="65" t="inlineStr">
        <is>
          <t>$46.33</t>
        </is>
      </c>
      <c r="D18" s="66" t="n"/>
    </row>
    <row r="19" ht="15" customHeight="1" s="37">
      <c r="A19" s="67" t="inlineStr">
        <is>
          <t>B: Chain</t>
        </is>
      </c>
      <c r="B19" s="68" t="inlineStr">
        <is>
          <t>G16</t>
        </is>
      </c>
      <c r="C19" s="69" t="inlineStr">
        <is>
          <t>$43.78</t>
        </is>
      </c>
      <c r="D19" s="70" t="inlineStr">
        <is>
          <t>64 × 0.80 × 0.90 × 0.95</t>
        </is>
      </c>
    </row>
    <row r="20" ht="15" customHeight="1" s="37">
      <c r="A20" s="49" t="inlineStr">
        <is>
          <t>B: Chain</t>
        </is>
      </c>
      <c r="B20" s="64" t="inlineStr">
        <is>
          <t>H16</t>
        </is>
      </c>
      <c r="C20" s="65" t="inlineStr">
        <is>
          <t>31.60%</t>
        </is>
      </c>
      <c r="D20" s="66" t="inlineStr">
        <is>
          <t>1 - (0.80 × 0.90 × 0.95)</t>
        </is>
      </c>
    </row>
    <row r="21" ht="15" customHeight="1" s="37">
      <c r="A21" s="67" t="inlineStr">
        <is>
          <t>B: Chain</t>
        </is>
      </c>
      <c r="B21" s="68" t="inlineStr">
        <is>
          <t>G17</t>
        </is>
      </c>
      <c r="C21" s="69" t="inlineStr">
        <is>
          <t>$25.65</t>
        </is>
      </c>
      <c r="D21" s="70" t="inlineStr">
        <is>
          <t>38 × 0.75 × 0.90 (d3=0)</t>
        </is>
      </c>
    </row>
    <row r="22" ht="15" customHeight="1" s="37">
      <c r="A22" s="49" t="inlineStr">
        <is>
          <t>B: Chain</t>
        </is>
      </c>
      <c r="B22" s="64" t="inlineStr">
        <is>
          <t>H17</t>
        </is>
      </c>
      <c r="C22" s="65" t="inlineStr">
        <is>
          <t>32.50%</t>
        </is>
      </c>
      <c r="D22" s="66" t="n"/>
    </row>
    <row r="23" ht="15" customHeight="1" s="37">
      <c r="A23" s="67" t="inlineStr">
        <is>
          <t>B: Chain</t>
        </is>
      </c>
      <c r="B23" s="68" t="inlineStr">
        <is>
          <t>G18</t>
        </is>
      </c>
      <c r="C23" s="69" t="inlineStr">
        <is>
          <t>$650.44</t>
        </is>
      </c>
      <c r="D23" s="70" t="inlineStr">
        <is>
          <t>895 × 0.85 × 0.90 × 0.95</t>
        </is>
      </c>
    </row>
    <row r="24" ht="15" customHeight="1" s="37">
      <c r="A24" s="49" t="inlineStr">
        <is>
          <t>B: Chain</t>
        </is>
      </c>
      <c r="B24" s="64" t="inlineStr">
        <is>
          <t>H18</t>
        </is>
      </c>
      <c r="C24" s="65" t="inlineStr">
        <is>
          <t>27.33%</t>
        </is>
      </c>
      <c r="D24" s="66" t="n"/>
    </row>
    <row r="25" ht="15" customHeight="1" s="37">
      <c r="A25" s="67" t="inlineStr">
        <is>
          <t>B: Chain</t>
        </is>
      </c>
      <c r="B25" s="68" t="inlineStr">
        <is>
          <t>G19</t>
        </is>
      </c>
      <c r="C25" s="69" t="inlineStr">
        <is>
          <t>$44.37</t>
        </is>
      </c>
      <c r="D25" s="70" t="inlineStr">
        <is>
          <t>72.50 × 0.80 × 0.85 × 0.90</t>
        </is>
      </c>
    </row>
    <row r="26" ht="15" customHeight="1" s="37">
      <c r="A26" s="49" t="inlineStr">
        <is>
          <t>B: Chain</t>
        </is>
      </c>
      <c r="B26" s="64" t="inlineStr">
        <is>
          <t>H19</t>
        </is>
      </c>
      <c r="C26" s="65" t="inlineStr">
        <is>
          <t>38.80%</t>
        </is>
      </c>
      <c r="D26" s="66" t="n"/>
    </row>
    <row r="27" ht="15" customHeight="1" s="37">
      <c r="A27" s="67" t="inlineStr">
        <is>
          <t>C: Cash</t>
        </is>
      </c>
      <c r="B27" s="68" t="inlineStr">
        <is>
          <t>F26</t>
        </is>
      </c>
      <c r="C27" s="69" t="inlineStr">
        <is>
          <t>$84.00</t>
        </is>
      </c>
      <c r="D27" s="70" t="n"/>
    </row>
    <row r="28" ht="15" customHeight="1" s="37">
      <c r="A28" s="49" t="inlineStr">
        <is>
          <t>C: Cash</t>
        </is>
      </c>
      <c r="B28" s="64" t="inlineStr">
        <is>
          <t>G26</t>
        </is>
      </c>
      <c r="C28" s="65" t="inlineStr">
        <is>
          <t>$4,116.00</t>
        </is>
      </c>
      <c r="D28" s="66" t="n"/>
    </row>
    <row r="29" ht="15" customHeight="1" s="37">
      <c r="A29" s="67" t="inlineStr">
        <is>
          <t>C: Cash</t>
        </is>
      </c>
      <c r="B29" s="68" t="inlineStr">
        <is>
          <t>H26</t>
        </is>
      </c>
      <c r="C29" s="69" t="inlineStr">
        <is>
          <t>$84.00</t>
        </is>
      </c>
      <c r="D29" s="70" t="n"/>
    </row>
    <row r="30" ht="15" customHeight="1" s="37">
      <c r="A30" s="49" t="inlineStr">
        <is>
          <t>C: Cash</t>
        </is>
      </c>
      <c r="B30" s="64" t="inlineStr">
        <is>
          <t>F27</t>
        </is>
      </c>
      <c r="C30" s="65" t="inlineStr">
        <is>
          <t>$262.50</t>
        </is>
      </c>
      <c r="D30" s="66" t="n"/>
    </row>
    <row r="31" ht="15" customHeight="1" s="37">
      <c r="A31" s="67" t="inlineStr">
        <is>
          <t>C: Cash</t>
        </is>
      </c>
      <c r="B31" s="68" t="inlineStr">
        <is>
          <t>G27</t>
        </is>
      </c>
      <c r="C31" s="69" t="inlineStr">
        <is>
          <t>$8,487.50</t>
        </is>
      </c>
      <c r="D31" s="70" t="n"/>
    </row>
    <row r="32" ht="15" customHeight="1" s="37">
      <c r="A32" s="49" t="inlineStr">
        <is>
          <t>C: Cash</t>
        </is>
      </c>
      <c r="B32" s="64" t="inlineStr">
        <is>
          <t>H27</t>
        </is>
      </c>
      <c r="C32" s="65" t="inlineStr">
        <is>
          <t>$262.50</t>
        </is>
      </c>
      <c r="D32" s="66" t="n"/>
    </row>
    <row r="33" ht="15" customHeight="1" s="37">
      <c r="A33" s="67" t="inlineStr">
        <is>
          <t>C: Cash</t>
        </is>
      </c>
      <c r="B33" s="68" t="inlineStr">
        <is>
          <t>F28</t>
        </is>
      </c>
      <c r="C33" s="69" t="inlineStr">
        <is>
          <t>$24.30</t>
        </is>
      </c>
      <c r="D33" s="70" t="n"/>
    </row>
    <row r="34" ht="15" customHeight="1" s="37">
      <c r="A34" s="49" t="inlineStr">
        <is>
          <t>C: Cash</t>
        </is>
      </c>
      <c r="B34" s="64" t="inlineStr">
        <is>
          <t>G28</t>
        </is>
      </c>
      <c r="C34" s="65" t="inlineStr">
        <is>
          <t>$1,595.70</t>
        </is>
      </c>
      <c r="D34" s="66" t="n"/>
    </row>
    <row r="35" ht="15" customHeight="1" s="37">
      <c r="A35" s="67" t="inlineStr">
        <is>
          <t>C: Cash</t>
        </is>
      </c>
      <c r="B35" s="68" t="inlineStr">
        <is>
          <t>H28</t>
        </is>
      </c>
      <c r="C35" s="69" t="inlineStr">
        <is>
          <t>$24.30</t>
        </is>
      </c>
      <c r="D35" s="70" t="n"/>
    </row>
    <row r="36" ht="15" customHeight="1" s="37">
      <c r="A36" s="49" t="inlineStr">
        <is>
          <t>C: Cash</t>
        </is>
      </c>
      <c r="B36" s="64" t="inlineStr">
        <is>
          <t>F29</t>
        </is>
      </c>
      <c r="C36" s="65" t="inlineStr">
        <is>
          <t>$68.00</t>
        </is>
      </c>
      <c r="D36" s="66" t="n"/>
    </row>
    <row r="37" ht="15" customHeight="1" s="37">
      <c r="A37" s="67" t="inlineStr">
        <is>
          <t>C: Cash</t>
        </is>
      </c>
      <c r="B37" s="68" t="inlineStr">
        <is>
          <t>G29</t>
        </is>
      </c>
      <c r="C37" s="69" t="inlineStr">
        <is>
          <t>$3,332.00</t>
        </is>
      </c>
      <c r="D37" s="70" t="n"/>
    </row>
    <row r="38" ht="15" customHeight="1" s="37">
      <c r="A38" s="49" t="inlineStr">
        <is>
          <t>C: Cash</t>
        </is>
      </c>
      <c r="B38" s="64" t="inlineStr">
        <is>
          <t>H29</t>
        </is>
      </c>
      <c r="C38" s="65" t="inlineStr">
        <is>
          <t>$68.00</t>
        </is>
      </c>
      <c r="D38" s="66" t="n"/>
    </row>
    <row r="39"/>
    <row r="40"/>
    <row r="41" ht="15" customHeight="1" s="37">
      <c r="A41" s="71" t="inlineStr">
        <is>
          <t>Common Mistakes to Watch For</t>
        </is>
      </c>
    </row>
    <row r="42" ht="15" customHeight="1" s="37">
      <c r="A42" s="43" t="inlineStr">
        <is>
          <t>• Multiplying by the discount rate instead of the complement (getting discount amount instead of net price)</t>
        </is>
      </c>
    </row>
    <row r="43" ht="15" customHeight="1" s="37">
      <c r="A43" s="43" t="inlineStr">
        <is>
          <t>• Adding chain discount rates together instead of multiplying complements</t>
        </is>
      </c>
    </row>
    <row r="44" ht="15" customHeight="1" s="37">
      <c r="A44" s="43" t="inlineStr">
        <is>
          <t>• Forgetting to apply d3 when it is 0% (result is correct, but formula should still show the step)</t>
        </is>
      </c>
    </row>
    <row r="45" ht="15" customHeight="1" s="37">
      <c r="A45" s="43" t="inlineStr">
        <is>
          <t>• Using the wrong discount rate for cash terms (e.g., using 10 instead of 0.02 for "2/10 net 30")</t>
        </is>
      </c>
    </row>
    <row r="46" ht="15" customHeight="1" s="37">
      <c r="A46" s="43" t="inlineStr">
        <is>
          <t>• Confusing "savings" with "payment" — savings = invoice minus payment</t>
        </is>
      </c>
    </row>
    <row r="47"/>
    <row r="48"/>
    <row r="49"/>
  </sheetData>
  <mergeCells count="7">
    <mergeCell ref="A45:D45"/>
    <mergeCell ref="A1:D1"/>
    <mergeCell ref="A43:D43"/>
    <mergeCell ref="A41:D41"/>
    <mergeCell ref="A42:D42"/>
    <mergeCell ref="A46:D46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2026-05-26T14:58:35Z</dcterms:created>
  <dcterms:modified xmlns:dcterms="http://purl.org/dc/terms/" xmlns:xsi="http://www.w3.org/2001/XMLSchema-instance" xsi:type="dcterms:W3CDTF">2026-05-26T14:59:10Z</dcterms:modified>
  <cp:revision>0</cp:revision>
</cp:coreProperties>
</file>