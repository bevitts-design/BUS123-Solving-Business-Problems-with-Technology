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rt A · FV Annual" sheetId="2" state="visible" r:id="rId4"/>
    <sheet name="Part B · Compounding Freq" sheetId="3" state="visible" r:id="rId5"/>
    <sheet name="Part C · Rule of 72" sheetId="4" state="visible" r:id="rId6"/>
    <sheet name="FormulaReference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<sst xmlns="http://schemas.openxmlformats.org/spreadsheetml/2006/main" count="145" uniqueCount="125">
  <si>
    <t xml:space="preserve">BUS123 · MATH-M09 · L01</t>
  </si>
  <si>
    <t xml:space="preserve">Compound Interest &amp; Future Value</t>
  </si>
  <si>
    <t xml:space="preserve">Color Key</t>
  </si>
  <si>
    <t xml:space="preserve">Yellow cell</t>
  </si>
  <si>
    <t xml:space="preserve">Your input — every yellow cell must be filled</t>
  </si>
  <si>
    <t xml:space="preserve">Green / italic text</t>
  </si>
  <si>
    <t xml:space="preserve">Formula result — do not edit</t>
  </si>
  <si>
    <t xml:space="preserve">Cream row</t>
  </si>
  <si>
    <t xml:space="preserve">Read-only reference</t>
  </si>
  <si>
    <t xml:space="preserve">Learning Objectives — I Can…</t>
  </si>
  <si>
    <t xml:space="preserve">  1. Explain the difference between simple and compound interest</t>
  </si>
  <si>
    <t xml:space="preserve">  2. Calculate FV using FV = PV × (1+i)^n manually and with =FV()</t>
  </si>
  <si>
    <t xml:space="preserve">  3. Use =FV() with correct sign convention (pv negative, pmt=0)</t>
  </si>
  <si>
    <t xml:space="preserve">  4. Adjust rate and nper for non-annual compounding (quarterly, monthly)</t>
  </si>
  <si>
    <t xml:space="preserve">  5. Estimate doubling time using the Rule of 72 and verify with =FV()</t>
  </si>
  <si>
    <t xml:space="preserve">Tabs in This Workbook</t>
  </si>
  <si>
    <t xml:space="preserve">Part A · FV Annual</t>
  </si>
  <si>
    <t xml:space="preserve">Three Meridian investments — annual compounding. Build =FV() and manual verify.</t>
  </si>
  <si>
    <t xml:space="preserve">Part B · Compounding Freq</t>
  </si>
  <si>
    <t xml:space="preserve">Same investment, four frequencies. Adjust rate and nper for each.</t>
  </si>
  <si>
    <t xml:space="preserve">Part C · Rule of 72</t>
  </si>
  <si>
    <t xml:space="preserve">Estimate doubling time, then verify with =FV().</t>
  </si>
  <si>
    <t xml:space="preserve">FormulaReferenceCard</t>
  </si>
  <si>
    <t xml:space="preserve">All compound interest formulas for this lesson.</t>
  </si>
  <si>
    <t xml:space="preserve">Meridian Advisory Group · Compound Interest — Annual Compounding</t>
  </si>
  <si>
    <t xml:space="preserve">Section 1 — Annual Compounding   FV = PV × (1 + i)ⁿ   and   =FV(rate, nper, 0, pv)</t>
  </si>
  <si>
    <t xml:space="preserve">Investment</t>
  </si>
  <si>
    <t xml:space="preserve">PV (enter negative)</t>
  </si>
  <si>
    <t xml:space="preserve">Annual Rate (i)</t>
  </si>
  <si>
    <t xml:space="preserve">Years (n)</t>
  </si>
  <si>
    <t xml:space="preserve">=FV() Result</t>
  </si>
  <si>
    <t xml:space="preserve">Manual Verify</t>
  </si>
  <si>
    <t xml:space="preserve">Notes</t>
  </si>
  <si>
    <t xml:space="preserve">Client Inv. A</t>
  </si>
  <si>
    <t xml:space="preserve">Retirement account</t>
  </si>
  <si>
    <t xml:space="preserve">Client Inv. B</t>
  </si>
  <si>
    <t xml:space="preserve">Education fund</t>
  </si>
  <si>
    <t xml:space="preserve">Client Inv. C</t>
  </si>
  <si>
    <t xml:space="preserve">Business reserve</t>
  </si>
  <si>
    <t xml:space="preserve">  ✓  Rows F and G must match. If they don't, check that pv in column C is entered as a negative number.</t>
  </si>
  <si>
    <t xml:space="preserve">Section 2 — Solve for the Unknown (Rearrange the Formula)</t>
  </si>
  <si>
    <t xml:space="preserve">Problem</t>
  </si>
  <si>
    <t xml:space="preserve">PV</t>
  </si>
  <si>
    <t xml:space="preserve">Rate (i)</t>
  </si>
  <si>
    <t xml:space="preserve">FV (given)</t>
  </si>
  <si>
    <t xml:space="preserve">Solve For</t>
  </si>
  <si>
    <t xml:space="preserve">Answer</t>
  </si>
  <si>
    <t xml:space="preserve">Find PV</t>
  </si>
  <si>
    <t xml:space="preserve">$33,455.64</t>
  </si>
  <si>
    <t xml:space="preserve">Find n</t>
  </si>
  <si>
    <t xml:space="preserve">−25000</t>
  </si>
  <si>
    <t xml:space="preserve">Years</t>
  </si>
  <si>
    <t xml:space="preserve">Meridian Advisory Group · Compounding Frequency Comparison</t>
  </si>
  <si>
    <t xml:space="preserve">Shared Assumptions — Enter Once</t>
  </si>
  <si>
    <t xml:space="preserve">Present Value (PV)</t>
  </si>
  <si>
    <t xml:space="preserve">Annual Rate</t>
  </si>
  <si>
    <t xml:space="preserve">  Enter PV as negative. Enter rate as decimal (e.g. 0.06). Then fill in rate per period and nper for each row below.</t>
  </si>
  <si>
    <t xml:space="preserve">Frequency Comparison — Adjust Rate and Nper for Each Row</t>
  </si>
  <si>
    <t xml:space="preserve">Frequency</t>
  </si>
  <si>
    <t xml:space="preserve">Periods/Year</t>
  </si>
  <si>
    <t xml:space="preserve">Rate per Period</t>
  </si>
  <si>
    <t xml:space="preserve">Nper</t>
  </si>
  <si>
    <t xml:space="preserve">Difference vs Annual</t>
  </si>
  <si>
    <t xml:space="preserve">Annually</t>
  </si>
  <si>
    <t xml:space="preserve">—</t>
  </si>
  <si>
    <t xml:space="preserve">Semiannually</t>
  </si>
  <si>
    <t xml:space="preserve">Quarterly</t>
  </si>
  <si>
    <t xml:space="preserve">Monthly</t>
  </si>
  <si>
    <t xml:space="preserve">  Hint for Rate per Period: =$E$5/C10  ·  Hint for Nper: =$G$5*C10  ·  Use cell references — not hardcoded numbers.</t>
  </si>
  <si>
    <t xml:space="preserve">Meridian Advisory Group · Rule of 72</t>
  </si>
  <si>
    <t xml:space="preserve">Rule of 72 — Estimate, Then Verify</t>
  </si>
  <si>
    <t xml:space="preserve">Investment / Rate</t>
  </si>
  <si>
    <t xml:space="preserve">R72 Estimate (years)</t>
  </si>
  <si>
    <t xml:space="preserve">=FV() Verify</t>
  </si>
  <si>
    <t xml:space="preserve">5% annual — estimate years to double</t>
  </si>
  <si>
    <t xml:space="preserve">Is result close to $2,000?</t>
  </si>
  <si>
    <t xml:space="preserve">8% annual — estimate years to double</t>
  </si>
  <si>
    <t xml:space="preserve">3% annual — estimate years to double</t>
  </si>
  <si>
    <t xml:space="preserve">Reflection</t>
  </si>
  <si>
    <t xml:space="preserve">The Rule of 72 is an estimate. How close was your estimate to the exact answer from =FV()? What does the error tell you about the accuracy of the rule at different rates?</t>
  </si>
  <si>
    <t xml:space="preserve">Formula Reference Card · MATH-M09-L01</t>
  </si>
  <si>
    <t xml:space="preserve">Compound Interest &amp; Future Value  ·  Meridian Advisory Group</t>
  </si>
  <si>
    <t xml:space="preserve">COMPOUND INTEREST</t>
  </si>
  <si>
    <t xml:space="preserve">Formula Name</t>
  </si>
  <si>
    <t xml:space="preserve">Algebraic / Description</t>
  </si>
  <si>
    <t xml:space="preserve">Excel Formula</t>
  </si>
  <si>
    <t xml:space="preserve">Compound FV (manual)</t>
  </si>
  <si>
    <t xml:space="preserve">FV = PV × (1 + i)ⁿ</t>
  </si>
  <si>
    <t xml:space="preserve"> =B2*(1+C2)^D2</t>
  </si>
  <si>
    <t xml:space="preserve">i = rate per period, n = total periods</t>
  </si>
  <si>
    <t xml:space="preserve"> =FV() function</t>
  </si>
  <si>
    <t xml:space="preserve"> =FV(C2,D2,0,B2)</t>
  </si>
  <si>
    <t xml:space="preserve">pv negative, pmt=0 for lump sum</t>
  </si>
  <si>
    <t xml:space="preserve">Manual verify</t>
  </si>
  <si>
    <t xml:space="preserve"> =ABS(B2)*(1+C2)^D2</t>
  </si>
  <si>
    <t xml:space="preserve">Must match =FV() result</t>
  </si>
  <si>
    <t xml:space="preserve">NON-ANNUAL COMPOUNDING</t>
  </si>
  <si>
    <t xml:space="preserve">Rate per period</t>
  </si>
  <si>
    <t xml:space="preserve">Annual rate ÷ periods/year</t>
  </si>
  <si>
    <t xml:space="preserve"> =B3/B5</t>
  </si>
  <si>
    <t xml:space="preserve">e.g. 6%/4 = 1.5% quarterly</t>
  </si>
  <si>
    <t xml:space="preserve">Total periods</t>
  </si>
  <si>
    <t xml:space="preserve">Years × periods/year</t>
  </si>
  <si>
    <t xml:space="preserve"> =B4*B5</t>
  </si>
  <si>
    <t xml:space="preserve">e.g. 5×4 = 20 quarters</t>
  </si>
  <si>
    <t xml:space="preserve">Monthly FV</t>
  </si>
  <si>
    <t xml:space="preserve"> =$E$5/C10</t>
  </si>
  <si>
    <t xml:space="preserve"> =FV(B3/12,B4*12,0,B2)</t>
  </si>
  <si>
    <t xml:space="preserve">Adjust both args</t>
  </si>
  <si>
    <t xml:space="preserve">Quarterly FV</t>
  </si>
  <si>
    <t xml:space="preserve"> =$G$5*C10</t>
  </si>
  <si>
    <t xml:space="preserve"> =FV(B3/4,B4*4,0,B2)</t>
  </si>
  <si>
    <t xml:space="preserve">RULE OF 72 &amp; SIGN CONVENTION</t>
  </si>
  <si>
    <t xml:space="preserve">Rule of 72</t>
  </si>
  <si>
    <t xml:space="preserve">Years ≈ 72 ÷ Annual Rate (%)</t>
  </si>
  <si>
    <t xml:space="preserve"> =72/rate_pct</t>
  </si>
  <si>
    <t xml:space="preserve">Estimate only — verify with =FV()</t>
  </si>
  <si>
    <t xml:space="preserve">Sign convention — pv</t>
  </si>
  <si>
    <t xml:space="preserve">Enter PV as negative for investments</t>
  </si>
  <si>
    <t xml:space="preserve"> −25000</t>
  </si>
  <si>
    <t xml:space="preserve">Money leaving pocket = negative</t>
  </si>
  <si>
    <t xml:space="preserve">Sanity check</t>
  </si>
  <si>
    <t xml:space="preserve">FV should be larger than |PV|</t>
  </si>
  <si>
    <t xml:space="preserve">Always verify</t>
  </si>
  <si>
    <t xml:space="preserve">If FV &lt; PV, sign is wrong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</si>
</sst>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3"/>
      <color rgb="FFC9A84C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E1116"/>
      <name val="Calibri"/>
      <family val="0"/>
      <charset val="1"/>
    </font>
    <font>
      <sz val="11"/>
      <color rgb="FF4A5567"/>
      <name val="Calibri"/>
      <family val="0"/>
      <charset val="1"/>
    </font>
    <font>
      <sz val="11"/>
      <color rgb="FF0E1116"/>
      <name val="Calibri"/>
      <family val="0"/>
      <charset val="1"/>
    </font>
    <font>
      <b val="true"/>
      <sz val="11"/>
      <color rgb="FF4A7C5E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0A3D6B"/>
      <name val="Calibri"/>
      <family val="0"/>
      <charset val="1"/>
    </font>
    <font>
      <b val="true"/>
      <sz val="11"/>
      <color rgb="FF1A6B3C"/>
      <name val="Calibri"/>
      <family val="0"/>
      <charset val="1"/>
    </font>
    <font>
      <i val="true"/>
      <sz val="11"/>
      <color rgb="FF1A6B3C"/>
      <name val="Calibri"/>
      <family val="0"/>
      <charset val="1"/>
    </font>
    <font>
      <i val="true"/>
      <sz val="10"/>
      <color rgb="FF7A8290"/>
      <name val="Calibri"/>
      <family val="0"/>
      <charset val="1"/>
    </font>
    <font>
      <i val="true"/>
      <sz val="10"/>
      <color rgb="FF4A7C5E"/>
      <name val="Calibri"/>
      <family val="0"/>
      <charset val="1"/>
    </font>
    <font>
      <sz val="11"/>
      <color rgb="FF4A7C5E"/>
      <name val="Calibri"/>
      <family val="0"/>
      <charset val="1"/>
    </font>
    <font>
      <sz val="11"/>
      <color rgb="FF7A8290"/>
      <name val="Calibri"/>
      <family val="0"/>
      <charset val="1"/>
    </font>
    <font>
      <i val="true"/>
      <sz val="10"/>
      <color rgb="FF9C4A2B"/>
      <name val="Calibri"/>
      <family val="0"/>
      <charset val="1"/>
    </font>
    <font>
      <sz val="11"/>
      <color rgb="FFC9A84C"/>
      <name val="Calibri"/>
      <family val="0"/>
      <charset val="1"/>
    </font>
    <font>
      <sz val="11"/>
      <color rgb="FF1A6B3C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E1116"/>
        <bgColor rgb="FF1A1A2E"/>
      </patternFill>
    </fill>
    <fill>
      <patternFill patternType="solid">
        <fgColor rgb="FF4A7C5E"/>
        <bgColor rgb="FF4A5567"/>
      </patternFill>
    </fill>
    <fill>
      <patternFill patternType="solid">
        <fgColor rgb="FFF2EEE5"/>
        <bgColor rgb="FFFFF5F0"/>
      </patternFill>
    </fill>
    <fill>
      <patternFill patternType="solid">
        <fgColor rgb="FFB8843D"/>
        <bgColor rgb="FFC9A84C"/>
      </patternFill>
    </fill>
    <fill>
      <patternFill patternType="solid">
        <fgColor rgb="FF9C4A2B"/>
        <bgColor rgb="FF993366"/>
      </patternFill>
    </fill>
    <fill>
      <patternFill patternType="solid">
        <fgColor rgb="FF1A1A2E"/>
        <bgColor rgb="FF0E1116"/>
      </patternFill>
    </fill>
    <fill>
      <patternFill patternType="solid">
        <fgColor rgb="FFFFD966"/>
        <bgColor rgb="FFFFFF99"/>
      </patternFill>
    </fill>
    <fill>
      <patternFill patternType="solid">
        <fgColor rgb="FFFFFBF0"/>
        <bgColor rgb="FFFFF5F0"/>
      </patternFill>
    </fill>
    <fill>
      <patternFill patternType="solid">
        <fgColor rgb="FFF0FAF4"/>
        <bgColor rgb="FFFFFBF0"/>
      </patternFill>
    </fill>
    <fill>
      <patternFill patternType="solid">
        <fgColor rgb="FFFFF5F0"/>
        <bgColor rgb="FFFFFB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 diagonalUp="false" diagonalDown="false"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1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0FAF4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5F0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1116"/>
    <pageSetUpPr fitToPage="false"/>
  </sheetPr>
  <dimension ref="B1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52"/>
    <col collapsed="false" customWidth="true" hidden="false" outlineLevel="0" max="4" min="4" style="1" width="2"/>
  </cols>
  <sheetData>
    <row r="1" customFormat="false" ht="6" hidden="false" customHeight="true" outlineLevel="0" collapsed="false"/>
    <row r="2" customFormat="false" ht="36" hidden="false" customHeight="true" outlineLevel="0" collapsed="false">
      <c r="B2" s="2" t="s">
        <v>0</v>
      </c>
      <c r="C2" s="2"/>
    </row>
    <row r="3" customFormat="false" ht="24" hidden="false" customHeight="true" outlineLevel="0" collapsed="false">
      <c r="B3" s="3" t="s">
        <v>1</v>
      </c>
      <c r="C3" s="3"/>
    </row>
    <row r="4" customFormat="false" ht="7.5" hidden="false" customHeight="true" outlineLevel="0" collapsed="false"/>
    <row r="5" customFormat="false" ht="21.75" hidden="false" customHeight="true" outlineLevel="0" collapsed="false">
      <c r="B5" s="4" t="s">
        <v>2</v>
      </c>
      <c r="C5" s="4"/>
    </row>
    <row r="6" customFormat="false" ht="19.5" hidden="false" customHeight="true" outlineLevel="0" collapsed="false">
      <c r="B6" s="5" t="s">
        <v>3</v>
      </c>
      <c r="C6" s="6" t="s">
        <v>4</v>
      </c>
    </row>
    <row r="7" customFormat="false" ht="19.5" hidden="false" customHeight="true" outlineLevel="0" collapsed="false">
      <c r="B7" s="5" t="s">
        <v>5</v>
      </c>
      <c r="C7" s="6" t="s">
        <v>6</v>
      </c>
    </row>
    <row r="8" customFormat="false" ht="19.5" hidden="false" customHeight="true" outlineLevel="0" collapsed="false">
      <c r="B8" s="5" t="s">
        <v>7</v>
      </c>
      <c r="C8" s="6" t="s">
        <v>8</v>
      </c>
    </row>
    <row r="9" customFormat="false" ht="7.5" hidden="false" customHeight="true" outlineLevel="0" collapsed="false"/>
    <row r="10" customFormat="false" ht="21.75" hidden="false" customHeight="true" outlineLevel="0" collapsed="false">
      <c r="B10" s="7" t="s">
        <v>9</v>
      </c>
      <c r="C10" s="7"/>
    </row>
    <row r="11" customFormat="false" ht="19.5" hidden="false" customHeight="true" outlineLevel="0" collapsed="false">
      <c r="B11" s="8" t="s">
        <v>10</v>
      </c>
      <c r="C11" s="8"/>
    </row>
    <row r="12" customFormat="false" ht="19.5" hidden="false" customHeight="true" outlineLevel="0" collapsed="false">
      <c r="B12" s="8" t="s">
        <v>11</v>
      </c>
      <c r="C12" s="8"/>
    </row>
    <row r="13" customFormat="false" ht="19.5" hidden="false" customHeight="true" outlineLevel="0" collapsed="false">
      <c r="B13" s="8" t="s">
        <v>12</v>
      </c>
      <c r="C13" s="8"/>
    </row>
    <row r="14" customFormat="false" ht="19.5" hidden="false" customHeight="true" outlineLevel="0" collapsed="false">
      <c r="B14" s="8" t="s">
        <v>13</v>
      </c>
      <c r="C14" s="8"/>
    </row>
    <row r="15" customFormat="false" ht="19.5" hidden="false" customHeight="true" outlineLevel="0" collapsed="false">
      <c r="B15" s="8" t="s">
        <v>14</v>
      </c>
      <c r="C15" s="8"/>
    </row>
    <row r="16" customFormat="false" ht="7.5" hidden="false" customHeight="true" outlineLevel="0" collapsed="false"/>
    <row r="17" customFormat="false" ht="21.75" hidden="false" customHeight="true" outlineLevel="0" collapsed="false">
      <c r="B17" s="9" t="s">
        <v>15</v>
      </c>
      <c r="C17" s="9"/>
    </row>
    <row r="18" customFormat="false" ht="21.75" hidden="false" customHeight="true" outlineLevel="0" collapsed="false">
      <c r="B18" s="10" t="s">
        <v>16</v>
      </c>
      <c r="C18" s="11" t="s">
        <v>17</v>
      </c>
    </row>
    <row r="19" customFormat="false" ht="21.75" hidden="false" customHeight="true" outlineLevel="0" collapsed="false">
      <c r="B19" s="10" t="s">
        <v>18</v>
      </c>
      <c r="C19" s="11" t="s">
        <v>19</v>
      </c>
    </row>
    <row r="20" customFormat="false" ht="21.75" hidden="false" customHeight="true" outlineLevel="0" collapsed="false">
      <c r="B20" s="10" t="s">
        <v>20</v>
      </c>
      <c r="C20" s="11" t="s">
        <v>21</v>
      </c>
    </row>
    <row r="21" customFormat="false" ht="21.75" hidden="false" customHeight="true" outlineLevel="0" collapsed="false">
      <c r="B21" s="10" t="s">
        <v>22</v>
      </c>
      <c r="C21" s="11" t="s">
        <v>23</v>
      </c>
    </row>
  </sheetData>
  <mergeCells count="10">
    <mergeCell ref="B2:C2"/>
    <mergeCell ref="B3:C3"/>
    <mergeCell ref="B5:C5"/>
    <mergeCell ref="B10:C10"/>
    <mergeCell ref="B11:C11"/>
    <mergeCell ref="B12:C12"/>
    <mergeCell ref="B13:C13"/>
    <mergeCell ref="B14:C14"/>
    <mergeCell ref="B15:C15"/>
    <mergeCell ref="B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C5E"/>
    <pageSetUpPr fitToPage="false"/>
  </sheetPr>
  <dimension ref="B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24"/>
  </cols>
  <sheetData>
    <row r="1" customFormat="false" ht="6" hidden="false" customHeight="true" outlineLevel="0" collapsed="false"/>
    <row r="2" customFormat="false" ht="30" hidden="false" customHeight="true" outlineLevel="0" collapsed="false">
      <c r="B2" s="12" t="s">
        <v>24</v>
      </c>
      <c r="C2" s="12"/>
      <c r="D2" s="12"/>
      <c r="E2" s="12"/>
      <c r="F2" s="12"/>
      <c r="G2" s="12"/>
      <c r="H2" s="12"/>
    </row>
    <row r="3" customFormat="false" ht="9.75" hidden="false" customHeight="true" outlineLevel="0" collapsed="false"/>
    <row r="4" customFormat="false" ht="21.75" hidden="false" customHeight="true" outlineLevel="0" collapsed="false">
      <c r="B4" s="4" t="s">
        <v>25</v>
      </c>
      <c r="C4" s="4"/>
      <c r="D4" s="4"/>
      <c r="E4" s="4"/>
      <c r="F4" s="4"/>
      <c r="G4" s="4"/>
      <c r="H4" s="4"/>
    </row>
    <row r="5" customFormat="false" ht="19.5" hidden="false" customHeight="true" outlineLevel="0" collapsed="false">
      <c r="B5" s="13" t="s">
        <v>26</v>
      </c>
      <c r="C5" s="13" t="s">
        <v>27</v>
      </c>
      <c r="D5" s="13" t="s">
        <v>28</v>
      </c>
      <c r="E5" s="13" t="s">
        <v>29</v>
      </c>
      <c r="F5" s="13" t="s">
        <v>30</v>
      </c>
      <c r="G5" s="13" t="s">
        <v>31</v>
      </c>
      <c r="H5" s="13" t="s">
        <v>32</v>
      </c>
    </row>
    <row r="6" customFormat="false" ht="21.75" hidden="false" customHeight="true" outlineLevel="0" collapsed="false">
      <c r="B6" s="14" t="s">
        <v>33</v>
      </c>
      <c r="C6" s="15"/>
      <c r="D6" s="15"/>
      <c r="E6" s="15"/>
      <c r="F6" s="16" t="n">
        <f aca="false">IFERROR(FV(D6,E6,0,C6),"")</f>
        <v>-0</v>
      </c>
      <c r="G6" s="17" t="n">
        <f aca="false">IFERROR(ABS(C6)*(1+D6)^E6,"")</f>
        <v>0</v>
      </c>
      <c r="H6" s="18" t="s">
        <v>34</v>
      </c>
    </row>
    <row r="7" customFormat="false" ht="21.75" hidden="false" customHeight="true" outlineLevel="0" collapsed="false">
      <c r="B7" s="14" t="s">
        <v>35</v>
      </c>
      <c r="C7" s="15"/>
      <c r="D7" s="15"/>
      <c r="E7" s="15"/>
      <c r="F7" s="16" t="n">
        <f aca="false">IFERROR(FV(D7,E7,0,C7),"")</f>
        <v>-0</v>
      </c>
      <c r="G7" s="17" t="n">
        <f aca="false">IFERROR(ABS(C7)*(1+D7)^E7,"")</f>
        <v>0</v>
      </c>
      <c r="H7" s="18" t="s">
        <v>36</v>
      </c>
    </row>
    <row r="8" customFormat="false" ht="21.75" hidden="false" customHeight="true" outlineLevel="0" collapsed="false">
      <c r="B8" s="14" t="s">
        <v>37</v>
      </c>
      <c r="C8" s="15"/>
      <c r="D8" s="15"/>
      <c r="E8" s="15"/>
      <c r="F8" s="16" t="n">
        <f aca="false">IFERROR(FV(D8,E8,0,C8),"")</f>
        <v>-0</v>
      </c>
      <c r="G8" s="17" t="n">
        <f aca="false">IFERROR(ABS(C8)*(1+D8)^E8,"")</f>
        <v>0</v>
      </c>
      <c r="H8" s="18" t="s">
        <v>38</v>
      </c>
    </row>
    <row r="9" customFormat="false" ht="7.5" hidden="false" customHeight="true" outlineLevel="0" collapsed="false"/>
    <row r="10" customFormat="false" ht="21.75" hidden="false" customHeight="true" outlineLevel="0" collapsed="false">
      <c r="B10" s="19" t="s">
        <v>39</v>
      </c>
      <c r="C10" s="19"/>
      <c r="D10" s="19"/>
      <c r="E10" s="19"/>
      <c r="F10" s="19"/>
      <c r="G10" s="19"/>
      <c r="H10" s="19"/>
    </row>
    <row r="11" customFormat="false" ht="21.75" hidden="false" customHeight="true" outlineLevel="0" collapsed="false">
      <c r="B11" s="7" t="s">
        <v>40</v>
      </c>
      <c r="C11" s="7"/>
      <c r="D11" s="7"/>
      <c r="E11" s="7"/>
      <c r="F11" s="7"/>
      <c r="G11" s="7"/>
      <c r="H11" s="7"/>
    </row>
    <row r="12" customFormat="false" ht="19.5" hidden="false" customHeight="true" outlineLevel="0" collapsed="false">
      <c r="B12" s="13" t="s">
        <v>41</v>
      </c>
      <c r="C12" s="13" t="s">
        <v>42</v>
      </c>
      <c r="D12" s="13" t="s">
        <v>43</v>
      </c>
      <c r="E12" s="13" t="s">
        <v>29</v>
      </c>
      <c r="F12" s="13" t="s">
        <v>44</v>
      </c>
      <c r="G12" s="13" t="s">
        <v>45</v>
      </c>
      <c r="H12" s="13" t="s">
        <v>46</v>
      </c>
    </row>
    <row r="13" customFormat="false" ht="21.75" hidden="false" customHeight="true" outlineLevel="0" collapsed="false">
      <c r="B13" s="14" t="s">
        <v>47</v>
      </c>
      <c r="C13" s="15"/>
      <c r="D13" s="20" t="n">
        <v>0.06</v>
      </c>
      <c r="E13" s="20" t="n">
        <v>5</v>
      </c>
      <c r="F13" s="20" t="s">
        <v>48</v>
      </c>
      <c r="G13" s="21" t="s">
        <v>42</v>
      </c>
      <c r="H13" s="16" t="n">
        <f aca="false">IFERROR(FV(D13,E13,0,C13),"")</f>
        <v>-0</v>
      </c>
    </row>
    <row r="14" customFormat="false" ht="21.75" hidden="false" customHeight="true" outlineLevel="0" collapsed="false">
      <c r="B14" s="14" t="s">
        <v>49</v>
      </c>
      <c r="C14" s="20" t="s">
        <v>50</v>
      </c>
      <c r="D14" s="20" t="n">
        <v>0.06</v>
      </c>
      <c r="E14" s="15"/>
      <c r="F14" s="20" t="s">
        <v>48</v>
      </c>
      <c r="G14" s="21" t="s">
        <v>51</v>
      </c>
      <c r="H14" s="22" t="n">
        <f aca="false">IFERROR(LOG(F14/ABS(C14))/LOG(1+D14),"")</f>
        <v>5.0000002872644</v>
      </c>
    </row>
  </sheetData>
  <mergeCells count="4">
    <mergeCell ref="B2:H2"/>
    <mergeCell ref="B4:H4"/>
    <mergeCell ref="B10:H10"/>
    <mergeCell ref="B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4A2B"/>
    <pageSetUpPr fitToPage="false"/>
  </sheetPr>
  <dimension ref="B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20"/>
    <col collapsed="false" customWidth="true" hidden="false" outlineLevel="0" max="7" min="7" style="1" width="24"/>
  </cols>
  <sheetData>
    <row r="1" customFormat="false" ht="6" hidden="false" customHeight="true" outlineLevel="0" collapsed="false"/>
    <row r="2" customFormat="false" ht="30" hidden="false" customHeight="true" outlineLevel="0" collapsed="false">
      <c r="B2" s="12" t="s">
        <v>52</v>
      </c>
      <c r="C2" s="12"/>
      <c r="D2" s="12"/>
      <c r="E2" s="12"/>
      <c r="F2" s="12"/>
      <c r="G2" s="12"/>
    </row>
    <row r="3" customFormat="false" ht="9.75" hidden="false" customHeight="true" outlineLevel="0" collapsed="false"/>
    <row r="4" customFormat="false" ht="21.75" hidden="false" customHeight="true" outlineLevel="0" collapsed="false">
      <c r="B4" s="9" t="s">
        <v>53</v>
      </c>
      <c r="C4" s="9"/>
      <c r="D4" s="9"/>
      <c r="E4" s="9"/>
      <c r="F4" s="9"/>
      <c r="G4" s="9"/>
    </row>
    <row r="5" customFormat="false" ht="21.75" hidden="false" customHeight="true" outlineLevel="0" collapsed="false">
      <c r="B5" s="14" t="s">
        <v>54</v>
      </c>
      <c r="C5" s="15"/>
      <c r="D5" s="14" t="s">
        <v>55</v>
      </c>
      <c r="E5" s="15"/>
      <c r="F5" s="14" t="s">
        <v>51</v>
      </c>
      <c r="G5" s="15"/>
    </row>
    <row r="6" customFormat="false" ht="21.75" hidden="false" customHeight="true" outlineLevel="0" collapsed="false">
      <c r="B6" s="23" t="s">
        <v>56</v>
      </c>
      <c r="C6" s="23"/>
      <c r="D6" s="23"/>
      <c r="E6" s="23"/>
      <c r="F6" s="23"/>
      <c r="G6" s="23"/>
    </row>
    <row r="7" customFormat="false" ht="9.75" hidden="false" customHeight="true" outlineLevel="0" collapsed="false"/>
    <row r="8" customFormat="false" ht="21.75" hidden="false" customHeight="true" outlineLevel="0" collapsed="false">
      <c r="B8" s="7" t="s">
        <v>57</v>
      </c>
      <c r="C8" s="7"/>
      <c r="D8" s="7"/>
      <c r="E8" s="7"/>
      <c r="F8" s="7"/>
      <c r="G8" s="7"/>
    </row>
    <row r="9" customFormat="false" ht="19.5" hidden="false" customHeight="true" outlineLevel="0" collapsed="false">
      <c r="B9" s="13" t="s">
        <v>58</v>
      </c>
      <c r="C9" s="13" t="s">
        <v>59</v>
      </c>
      <c r="D9" s="13" t="s">
        <v>60</v>
      </c>
      <c r="E9" s="13" t="s">
        <v>61</v>
      </c>
      <c r="F9" s="13" t="s">
        <v>30</v>
      </c>
      <c r="G9" s="13" t="s">
        <v>62</v>
      </c>
    </row>
    <row r="10" customFormat="false" ht="21.75" hidden="false" customHeight="true" outlineLevel="0" collapsed="false">
      <c r="B10" s="14" t="s">
        <v>63</v>
      </c>
      <c r="C10" s="20" t="n">
        <v>1</v>
      </c>
      <c r="D10" s="15"/>
      <c r="E10" s="15"/>
      <c r="F10" s="16" t="n">
        <f aca="false">IFERROR(FV(D10,E10,0,$C$5),"")</f>
        <v>-0</v>
      </c>
      <c r="G10" s="24" t="s">
        <v>64</v>
      </c>
    </row>
    <row r="11" customFormat="false" ht="21.75" hidden="false" customHeight="true" outlineLevel="0" collapsed="false">
      <c r="B11" s="14" t="s">
        <v>65</v>
      </c>
      <c r="C11" s="20" t="n">
        <v>2</v>
      </c>
      <c r="D11" s="15"/>
      <c r="E11" s="15"/>
      <c r="F11" s="16" t="n">
        <f aca="false">IFERROR(FV(D11,E11,0,$C$5),"")</f>
        <v>-0</v>
      </c>
      <c r="G11" s="25" t="n">
        <f aca="false">IFERROR(F11-F10,"")</f>
        <v>0</v>
      </c>
    </row>
    <row r="12" customFormat="false" ht="21.75" hidden="false" customHeight="true" outlineLevel="0" collapsed="false">
      <c r="B12" s="14" t="s">
        <v>66</v>
      </c>
      <c r="C12" s="20" t="n">
        <v>4</v>
      </c>
      <c r="D12" s="15"/>
      <c r="E12" s="15"/>
      <c r="F12" s="16" t="n">
        <f aca="false">IFERROR(FV(D12,E12,0,$C$5),"")</f>
        <v>-0</v>
      </c>
      <c r="G12" s="25" t="n">
        <f aca="false">IFERROR(F12-F10,"")</f>
        <v>0</v>
      </c>
    </row>
    <row r="13" customFormat="false" ht="21.75" hidden="false" customHeight="true" outlineLevel="0" collapsed="false">
      <c r="B13" s="14" t="s">
        <v>67</v>
      </c>
      <c r="C13" s="20" t="n">
        <v>12</v>
      </c>
      <c r="D13" s="15"/>
      <c r="E13" s="15"/>
      <c r="F13" s="16" t="n">
        <f aca="false">IFERROR(FV(D13,E13,0,$C$5),"")</f>
        <v>-0</v>
      </c>
      <c r="G13" s="25" t="n">
        <f aca="false">IFERROR(F13-F10,"")</f>
        <v>0</v>
      </c>
    </row>
    <row r="14" customFormat="false" ht="7.5" hidden="false" customHeight="true" outlineLevel="0" collapsed="false"/>
    <row r="15" customFormat="false" ht="21.75" hidden="false" customHeight="true" outlineLevel="0" collapsed="false">
      <c r="B15" s="26" t="s">
        <v>68</v>
      </c>
      <c r="C15" s="26"/>
      <c r="D15" s="26"/>
      <c r="E15" s="26"/>
      <c r="F15" s="26"/>
      <c r="G15" s="26"/>
    </row>
  </sheetData>
  <mergeCells count="5">
    <mergeCell ref="B2:G2"/>
    <mergeCell ref="B4:G4"/>
    <mergeCell ref="B6:G6"/>
    <mergeCell ref="B8:G8"/>
    <mergeCell ref="B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43D"/>
    <pageSetUpPr fitToPage="false"/>
  </sheetPr>
  <dimension ref="B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4" min="3" style="1" width="20"/>
    <col collapsed="false" customWidth="true" hidden="false" outlineLevel="0" max="5" min="5" style="1" width="28"/>
  </cols>
  <sheetData>
    <row r="1" customFormat="false" ht="6" hidden="false" customHeight="true" outlineLevel="0" collapsed="false"/>
    <row r="2" customFormat="false" ht="30" hidden="false" customHeight="true" outlineLevel="0" collapsed="false">
      <c r="B2" s="12" t="s">
        <v>69</v>
      </c>
      <c r="C2" s="12"/>
      <c r="D2" s="12"/>
      <c r="E2" s="12"/>
    </row>
    <row r="3" customFormat="false" ht="9.75" hidden="false" customHeight="true" outlineLevel="0" collapsed="false"/>
    <row r="4" customFormat="false" ht="21.75" hidden="false" customHeight="true" outlineLevel="0" collapsed="false">
      <c r="B4" s="4" t="s">
        <v>70</v>
      </c>
      <c r="C4" s="4"/>
      <c r="D4" s="4"/>
      <c r="E4" s="4"/>
    </row>
    <row r="5" customFormat="false" ht="19.5" hidden="false" customHeight="true" outlineLevel="0" collapsed="false">
      <c r="B5" s="13" t="s">
        <v>71</v>
      </c>
      <c r="C5" s="13" t="s">
        <v>72</v>
      </c>
      <c r="D5" s="13" t="s">
        <v>73</v>
      </c>
      <c r="E5" s="13" t="s">
        <v>32</v>
      </c>
    </row>
    <row r="6" customFormat="false" ht="24" hidden="false" customHeight="true" outlineLevel="0" collapsed="false">
      <c r="B6" s="5" t="s">
        <v>74</v>
      </c>
      <c r="C6" s="22" t="n">
        <f aca="false">IFERROR(72/5,"")</f>
        <v>14.4</v>
      </c>
      <c r="D6" s="15"/>
      <c r="E6" s="18" t="s">
        <v>75</v>
      </c>
    </row>
    <row r="7" customFormat="false" ht="24" hidden="false" customHeight="true" outlineLevel="0" collapsed="false">
      <c r="B7" s="5" t="s">
        <v>76</v>
      </c>
      <c r="C7" s="22" t="n">
        <f aca="false">IFERROR(72/8,"")</f>
        <v>9</v>
      </c>
      <c r="D7" s="15"/>
      <c r="E7" s="18" t="s">
        <v>75</v>
      </c>
    </row>
    <row r="8" customFormat="false" ht="24" hidden="false" customHeight="true" outlineLevel="0" collapsed="false">
      <c r="B8" s="5" t="s">
        <v>77</v>
      </c>
      <c r="C8" s="22" t="n">
        <f aca="false">IFERROR(72/3,"")</f>
        <v>24</v>
      </c>
      <c r="D8" s="15"/>
      <c r="E8" s="18" t="s">
        <v>75</v>
      </c>
    </row>
    <row r="9" customFormat="false" ht="9.75" hidden="false" customHeight="true" outlineLevel="0" collapsed="false"/>
    <row r="10" customFormat="false" ht="21.75" hidden="false" customHeight="true" outlineLevel="0" collapsed="false">
      <c r="B10" s="7" t="s">
        <v>78</v>
      </c>
      <c r="C10" s="7"/>
      <c r="D10" s="7"/>
      <c r="E10" s="7"/>
    </row>
    <row r="11" customFormat="false" ht="39.75" hidden="false" customHeight="true" outlineLevel="0" collapsed="false">
      <c r="B11" s="27" t="s">
        <v>79</v>
      </c>
      <c r="C11" s="27"/>
      <c r="D11" s="27"/>
      <c r="E11" s="27"/>
    </row>
  </sheetData>
  <mergeCells count="4">
    <mergeCell ref="B2:E2"/>
    <mergeCell ref="B4:E4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B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28"/>
    <col collapsed="false" customWidth="true" hidden="false" outlineLevel="0" max="4" min="4" style="1" width="30"/>
    <col collapsed="false" customWidth="true" hidden="false" outlineLevel="0" max="5" min="5" style="1" width="26"/>
  </cols>
  <sheetData>
    <row r="1" customFormat="false" ht="6" hidden="false" customHeight="true" outlineLevel="0" collapsed="false"/>
    <row r="2" customFormat="false" ht="30" hidden="false" customHeight="true" outlineLevel="0" collapsed="false">
      <c r="B2" s="12" t="s">
        <v>80</v>
      </c>
      <c r="C2" s="12"/>
      <c r="D2" s="12"/>
      <c r="E2" s="12"/>
    </row>
    <row r="3" customFormat="false" ht="19.5" hidden="false" customHeight="true" outlineLevel="0" collapsed="false">
      <c r="B3" s="28" t="s">
        <v>81</v>
      </c>
      <c r="C3" s="28"/>
      <c r="D3" s="28"/>
      <c r="E3" s="28"/>
    </row>
    <row r="4" customFormat="false" ht="9.75" hidden="false" customHeight="true" outlineLevel="0" collapsed="false"/>
    <row r="5" customFormat="false" ht="21.75" hidden="false" customHeight="true" outlineLevel="0" collapsed="false">
      <c r="B5" s="4" t="s">
        <v>82</v>
      </c>
      <c r="C5" s="4"/>
      <c r="D5" s="4"/>
      <c r="E5" s="4"/>
    </row>
    <row r="6" customFormat="false" ht="18" hidden="false" customHeight="true" outlineLevel="0" collapsed="false">
      <c r="B6" s="29" t="s">
        <v>83</v>
      </c>
      <c r="C6" s="29" t="s">
        <v>84</v>
      </c>
      <c r="D6" s="29" t="s">
        <v>85</v>
      </c>
      <c r="E6" s="29" t="s">
        <v>32</v>
      </c>
    </row>
    <row r="7" customFormat="false" ht="19.5" hidden="false" customHeight="true" outlineLevel="0" collapsed="false">
      <c r="B7" s="5" t="s">
        <v>86</v>
      </c>
      <c r="C7" s="30" t="s">
        <v>87</v>
      </c>
      <c r="D7" s="31" t="s">
        <v>88</v>
      </c>
      <c r="E7" s="18" t="s">
        <v>89</v>
      </c>
    </row>
    <row r="8" customFormat="false" ht="19.5" hidden="false" customHeight="true" outlineLevel="0" collapsed="false">
      <c r="B8" s="5" t="s">
        <v>90</v>
      </c>
      <c r="C8" s="31" t="s">
        <v>88</v>
      </c>
      <c r="D8" s="31" t="s">
        <v>91</v>
      </c>
      <c r="E8" s="18" t="s">
        <v>92</v>
      </c>
    </row>
    <row r="9" customFormat="false" ht="19.5" hidden="false" customHeight="true" outlineLevel="0" collapsed="false">
      <c r="B9" s="5" t="s">
        <v>93</v>
      </c>
      <c r="C9" s="31" t="s">
        <v>91</v>
      </c>
      <c r="D9" s="31" t="s">
        <v>94</v>
      </c>
      <c r="E9" s="18" t="s">
        <v>95</v>
      </c>
    </row>
    <row r="10" customFormat="false" ht="7.5" hidden="false" customHeight="true" outlineLevel="0" collapsed="false"/>
    <row r="11" customFormat="false" ht="21.75" hidden="false" customHeight="true" outlineLevel="0" collapsed="false">
      <c r="B11" s="7" t="s">
        <v>96</v>
      </c>
      <c r="C11" s="7"/>
      <c r="D11" s="7"/>
      <c r="E11" s="7"/>
    </row>
    <row r="12" customFormat="false" ht="18" hidden="false" customHeight="true" outlineLevel="0" collapsed="false">
      <c r="B12" s="32" t="s">
        <v>83</v>
      </c>
      <c r="C12" s="32" t="s">
        <v>84</v>
      </c>
      <c r="D12" s="32" t="s">
        <v>85</v>
      </c>
      <c r="E12" s="32" t="s">
        <v>32</v>
      </c>
    </row>
    <row r="13" customFormat="false" ht="19.5" hidden="false" customHeight="true" outlineLevel="0" collapsed="false">
      <c r="B13" s="5" t="s">
        <v>97</v>
      </c>
      <c r="C13" s="30" t="s">
        <v>98</v>
      </c>
      <c r="D13" s="31" t="s">
        <v>99</v>
      </c>
      <c r="E13" s="18" t="s">
        <v>100</v>
      </c>
    </row>
    <row r="14" customFormat="false" ht="19.5" hidden="false" customHeight="true" outlineLevel="0" collapsed="false">
      <c r="B14" s="5" t="s">
        <v>101</v>
      </c>
      <c r="C14" s="30" t="s">
        <v>102</v>
      </c>
      <c r="D14" s="31" t="s">
        <v>103</v>
      </c>
      <c r="E14" s="18" t="s">
        <v>104</v>
      </c>
    </row>
    <row r="15" customFormat="false" ht="19.5" hidden="false" customHeight="true" outlineLevel="0" collapsed="false">
      <c r="B15" s="5" t="s">
        <v>105</v>
      </c>
      <c r="C15" s="31" t="s">
        <v>106</v>
      </c>
      <c r="D15" s="31" t="s">
        <v>107</v>
      </c>
      <c r="E15" s="18" t="s">
        <v>108</v>
      </c>
    </row>
    <row r="16" customFormat="false" ht="19.5" hidden="false" customHeight="true" outlineLevel="0" collapsed="false">
      <c r="B16" s="5" t="s">
        <v>109</v>
      </c>
      <c r="C16" s="31" t="s">
        <v>110</v>
      </c>
      <c r="D16" s="31" t="s">
        <v>111</v>
      </c>
      <c r="E16" s="18" t="s">
        <v>108</v>
      </c>
    </row>
    <row r="17" customFormat="false" ht="7.5" hidden="false" customHeight="true" outlineLevel="0" collapsed="false"/>
    <row r="18" customFormat="false" ht="21.75" hidden="false" customHeight="true" outlineLevel="0" collapsed="false">
      <c r="B18" s="9" t="s">
        <v>112</v>
      </c>
      <c r="C18" s="9"/>
      <c r="D18" s="9"/>
      <c r="E18" s="9"/>
    </row>
    <row r="19" customFormat="false" ht="18" hidden="false" customHeight="true" outlineLevel="0" collapsed="false">
      <c r="B19" s="33" t="s">
        <v>83</v>
      </c>
      <c r="C19" s="33" t="s">
        <v>84</v>
      </c>
      <c r="D19" s="33" t="s">
        <v>85</v>
      </c>
      <c r="E19" s="33" t="s">
        <v>32</v>
      </c>
    </row>
    <row r="20" customFormat="false" ht="19.5" hidden="false" customHeight="true" outlineLevel="0" collapsed="false">
      <c r="B20" s="5" t="s">
        <v>113</v>
      </c>
      <c r="C20" s="30" t="s">
        <v>114</v>
      </c>
      <c r="D20" s="31" t="s">
        <v>115</v>
      </c>
      <c r="E20" s="18" t="s">
        <v>116</v>
      </c>
    </row>
    <row r="21" customFormat="false" ht="19.5" hidden="false" customHeight="true" outlineLevel="0" collapsed="false">
      <c r="B21" s="5" t="s">
        <v>117</v>
      </c>
      <c r="C21" s="30" t="s">
        <v>118</v>
      </c>
      <c r="D21" s="31" t="s">
        <v>119</v>
      </c>
      <c r="E21" s="18" t="s">
        <v>120</v>
      </c>
    </row>
    <row r="22" customFormat="false" ht="19.5" hidden="false" customHeight="true" outlineLevel="0" collapsed="false">
      <c r="B22" s="5" t="s">
        <v>121</v>
      </c>
      <c r="C22" s="30" t="s">
        <v>122</v>
      </c>
      <c r="D22" s="31" t="s">
        <v>123</v>
      </c>
      <c r="E22" s="18" t="s">
        <v>124</v>
      </c>
    </row>
    <row r="23" customFormat="false" ht="7.5" hidden="false" customHeight="true" outlineLevel="0" collapsed="false"/>
  </sheetData>
  <mergeCells count="5">
    <mergeCell ref="B2:E2"/>
    <mergeCell ref="B3:E3"/>
    <mergeCell ref="B5:E5"/>
    <mergeCell ref="B11:E11"/>
    <mergeCell ref="B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2026-06-08T18:08:20Z</dcterms:created>
  <dc:creator>openpyxl</dc:creator>
  <dc:description/>
  <dc:language>en-US</dc:language>
  <cp:lastModifiedBy/>
  <dcterms:modified xsi:type="dcterms:W3CDTF">2026-06-08T18:08:48Z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