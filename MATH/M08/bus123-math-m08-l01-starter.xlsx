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Part A · Simple Interest" sheetId="2" state="visible" r:id="rId2"/>
    <sheet xmlns:r="http://schemas.openxmlformats.org/officeDocument/2006/relationships" name="Part B · Discounting" sheetId="3" state="visible" r:id="rId3"/>
    <sheet xmlns:r="http://schemas.openxmlformats.org/officeDocument/2006/relationships" name="Part C · DCF Model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4">
    <numFmt numFmtId="164" formatCode="[$$-409]#,##0.00;[Red]\-[$$-409]#,##0.00"/>
    <numFmt numFmtId="165" formatCode="\$#,##0"/>
    <numFmt numFmtId="166" formatCode="0.0%"/>
    <numFmt numFmtId="167" formatCode="&quot;$&quot;#,##0"/>
  </numFmts>
  <fonts count="27">
    <font>
      <name val="Calibri"/>
      <color theme="1"/>
      <sz val="11"/>
    </font>
    <font>
      <name val="Calibri"/>
      <b val="1"/>
      <color rgb="FFFFFFFF"/>
      <sz val="18"/>
    </font>
    <font>
      <name val="Calibri"/>
      <color rgb="FFC9A84C"/>
      <sz val="13"/>
    </font>
    <font>
      <name val="Calibri"/>
      <b val="1"/>
      <color rgb="FFFFFFFF"/>
      <sz val="12"/>
    </font>
    <font>
      <name val="Calibri"/>
      <b val="1"/>
      <color rgb="FF0E1116"/>
      <sz val="11"/>
    </font>
    <font>
      <name val="Calibri"/>
      <color rgb="FF4A5567"/>
      <sz val="11"/>
    </font>
    <font>
      <name val="Calibri"/>
      <color rgb="FF0E1116"/>
      <sz val="11"/>
    </font>
    <font>
      <name val="Calibri"/>
      <b val="1"/>
      <color rgb="FF4A7C5E"/>
      <sz val="11"/>
    </font>
    <font>
      <name val="Calibri"/>
      <b val="1"/>
      <color rgb="FFFFFFFF"/>
      <sz val="16"/>
    </font>
    <font>
      <name val="Calibri"/>
      <b val="1"/>
      <color rgb="FFC9A84C"/>
      <sz val="10"/>
    </font>
    <font>
      <name val="Calibri"/>
      <color rgb="FF0A3D6B"/>
      <sz val="11"/>
    </font>
    <font>
      <name val="Calibri"/>
      <i val="1"/>
      <color rgb="FF1A6B3C"/>
      <sz val="11"/>
    </font>
    <font>
      <name val="Calibri"/>
      <b val="1"/>
      <color rgb="FF1A6B3C"/>
      <sz val="11"/>
    </font>
    <font>
      <name val="Calibri"/>
      <i val="1"/>
      <color rgb="FF7A8290"/>
      <sz val="10"/>
    </font>
    <font>
      <name val="Calibri"/>
      <color rgb="FF4A7C5E"/>
      <sz val="11"/>
    </font>
    <font>
      <name val="Calibri"/>
      <i val="1"/>
      <color rgb="FF9C4A2B"/>
      <sz val="10"/>
    </font>
    <font>
      <name val="Calibri"/>
      <i val="1"/>
      <color rgb="FF9C4A2B"/>
      <sz val="9"/>
    </font>
    <font>
      <name val="Calibri"/>
      <i val="1"/>
      <color rgb="FF7A8290"/>
      <sz val="11"/>
    </font>
    <font>
      <name val="Calibri"/>
      <b val="1"/>
      <color rgb="FFFFFFFF"/>
      <sz val="15"/>
    </font>
    <font>
      <name val="Calibri"/>
      <color rgb="FFC9A84C"/>
      <sz val="11"/>
    </font>
    <font>
      <name val="Calibri"/>
      <b val="1"/>
      <color rgb="FFFFFFFF"/>
      <sz val="10"/>
    </font>
    <font>
      <name val="Calibri"/>
      <color rgb="FF1A6B3C"/>
      <sz val="11"/>
    </font>
    <font>
      <name val="Calibri"/>
      <color rgb="FF0070C0"/>
      <sz val="11"/>
    </font>
    <font>
      <name val="Calibri"/>
      <b val="1"/>
      <color rgb="FF0A3D6B"/>
      <sz val="11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19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F2EEE5"/>
      </patternFill>
    </fill>
    <fill>
      <patternFill patternType="solid">
        <fgColor rgb="FFB8843D"/>
      </patternFill>
    </fill>
    <fill>
      <patternFill patternType="solid">
        <fgColor rgb="FF9C4A2B"/>
      </patternFill>
    </fill>
    <fill>
      <patternFill patternType="solid">
        <fgColor rgb="FF1A1A2E"/>
      </patternFill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FFF5F0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3">
    <border/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top"/>
    </xf>
    <xf numFmtId="0" fontId="6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 wrapText="1"/>
    </xf>
    <xf numFmtId="0" fontId="15" fillId="1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3" fillId="5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4" fontId="12" fillId="9" borderId="1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/>
    </xf>
    <xf numFmtId="0" fontId="20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0" fillId="5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166" fontId="22" fillId="8" borderId="2" applyAlignment="1" pivotButton="0" quotePrefix="0" xfId="0">
      <alignment horizontal="center" vertical="center"/>
    </xf>
    <xf numFmtId="2" fontId="10" fillId="8" borderId="2" applyAlignment="1" pivotButton="0" quotePrefix="0" xfId="0">
      <alignment horizontal="center" vertical="center"/>
    </xf>
    <xf numFmtId="167" fontId="10" fillId="8" borderId="2" applyAlignment="1" pivotButton="0" quotePrefix="0" xfId="0">
      <alignment horizontal="center" vertical="center"/>
    </xf>
    <xf numFmtId="167" fontId="23" fillId="8" borderId="2" applyAlignment="1" pivotButton="0" quotePrefix="0" xfId="0">
      <alignment horizontal="center" vertical="center"/>
    </xf>
    <xf numFmtId="0" fontId="0" fillId="11" borderId="0" pivotButton="0" quotePrefix="0" xfId="0"/>
    <xf numFmtId="0" fontId="24" fillId="11" borderId="0" pivotButton="0" quotePrefix="0" xfId="0"/>
    <xf numFmtId="0" fontId="24" fillId="11" borderId="0" applyAlignment="1" pivotButton="0" quotePrefix="0" xfId="0">
      <alignment wrapText="1"/>
    </xf>
    <xf numFmtId="0" fontId="0" fillId="12" borderId="0" pivotButton="0" quotePrefix="0" xfId="0"/>
    <xf numFmtId="0" fontId="25" fillId="12" borderId="0" pivotButton="0" quotePrefix="0" xfId="0"/>
    <xf numFmtId="0" fontId="25" fillId="12" borderId="2" pivotButton="0" quotePrefix="0" xfId="0"/>
    <xf numFmtId="0" fontId="25" fillId="12" borderId="2" applyAlignment="1" pivotButton="0" quotePrefix="0" xfId="0">
      <alignment wrapText="1"/>
    </xf>
    <xf numFmtId="0" fontId="25" fillId="13" borderId="2" applyAlignment="1" pivotButton="0" quotePrefix="0" xfId="0">
      <alignment wrapText="1"/>
    </xf>
    <xf numFmtId="0" fontId="26" fillId="13" borderId="2" applyAlignment="1" pivotButton="0" quotePrefix="0" xfId="0">
      <alignment wrapText="1"/>
    </xf>
    <xf numFmtId="0" fontId="25" fillId="14" borderId="2" applyAlignment="1" pivotButton="0" quotePrefix="0" xfId="0">
      <alignment wrapText="1"/>
    </xf>
    <xf numFmtId="0" fontId="0" fillId="15" borderId="0" pivotButton="0" quotePrefix="0" xfId="0"/>
    <xf numFmtId="0" fontId="24" fillId="15" borderId="0" pivotButton="0" quotePrefix="0" xfId="0"/>
    <xf numFmtId="0" fontId="24" fillId="15" borderId="2" pivotButton="0" quotePrefix="0" xfId="0"/>
    <xf numFmtId="0" fontId="24" fillId="15" borderId="2" applyAlignment="1" pivotButton="0" quotePrefix="0" xfId="0">
      <alignment wrapText="1"/>
    </xf>
    <xf numFmtId="0" fontId="0" fillId="16" borderId="0" pivotButton="0" quotePrefix="0" xfId="0"/>
    <xf numFmtId="0" fontId="25" fillId="16" borderId="0" pivotButton="0" quotePrefix="0" xfId="0"/>
    <xf numFmtId="0" fontId="25" fillId="16" borderId="2" pivotButton="0" quotePrefix="0" xfId="0"/>
    <xf numFmtId="0" fontId="25" fillId="16" borderId="2" applyAlignment="1" pivotButton="0" quotePrefix="0" xfId="0">
      <alignment wrapText="1"/>
    </xf>
    <xf numFmtId="0" fontId="25" fillId="17" borderId="2" applyAlignment="1" pivotButton="0" quotePrefix="0" xfId="0">
      <alignment wrapText="1"/>
    </xf>
    <xf numFmtId="0" fontId="26" fillId="17" borderId="2" applyAlignment="1" pivotButton="0" quotePrefix="0" xfId="0">
      <alignment wrapText="1"/>
    </xf>
    <xf numFmtId="0" fontId="25" fillId="18" borderId="2" applyAlignment="1" pivotButton="0" quotePrefix="0" xfId="0">
      <alignment wrapText="1"/>
    </xf>
  </cellXfs>
  <cellStyles count="1">
    <cellStyle name="Normal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FF5F0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E1116"/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8" customWidth="1" min="2" max="2"/>
    <col width="52" customWidth="1" min="3" max="3"/>
  </cols>
  <sheetData>
    <row r="1" ht="6" customHeight="1"/>
    <row r="2" ht="36" customHeight="1">
      <c r="B2" s="14" t="inlineStr">
        <is>
          <t>BUS123 · MATH-M08 · L01</t>
        </is>
      </c>
    </row>
    <row r="3" ht="24" customHeight="1">
      <c r="B3" s="13" t="inlineStr">
        <is>
          <t>Simple Interest, Discounting &amp; Present Value</t>
        </is>
      </c>
    </row>
    <row r="4" ht="7.5" customHeight="1"/>
    <row r="5" ht="21.75" customHeight="1">
      <c r="B5" s="12" t="inlineStr">
        <is>
          <t>Color Key</t>
        </is>
      </c>
    </row>
    <row r="6" ht="19.5" customHeight="1">
      <c r="B6" s="15" t="inlineStr">
        <is>
          <t>Yellow cell</t>
        </is>
      </c>
      <c r="C6" s="16" t="inlineStr">
        <is>
          <t>Your input — every yellow cell must be filled before submitting</t>
        </is>
      </c>
    </row>
    <row r="7" ht="19.5" customHeight="1">
      <c r="B7" s="15" t="inlineStr">
        <is>
          <t>Green / italic text</t>
        </is>
      </c>
      <c r="C7" s="16" t="inlineStr">
        <is>
          <t>Formula result — calculated automatically, do not edit</t>
        </is>
      </c>
    </row>
    <row r="8" ht="19.5" customHeight="1">
      <c r="B8" s="15" t="inlineStr">
        <is>
          <t>Cream background</t>
        </is>
      </c>
      <c r="C8" s="16" t="inlineStr">
        <is>
          <t>Read-only label or reference row</t>
        </is>
      </c>
    </row>
    <row r="9" ht="7.5" customHeight="1"/>
    <row r="10" ht="21.75" customHeight="1">
      <c r="B10" s="11" t="inlineStr">
        <is>
          <t>Learning Objectives — I Can…</t>
        </is>
      </c>
    </row>
    <row r="11" ht="19.5" customHeight="1">
      <c r="B11" s="10" t="inlineStr">
        <is>
          <t xml:space="preserve">  1. Calculate simple interest (I = P × R × T) with correct year conversion</t>
        </is>
      </c>
    </row>
    <row r="12" ht="19.5" customHeight="1">
      <c r="B12" s="10" t="inlineStr">
        <is>
          <t xml:space="preserve">  2. Calculate future value using FV = P × (1 + R × T) in Excel</t>
        </is>
      </c>
    </row>
    <row r="13" ht="19.5" customHeight="1">
      <c r="B13" s="10" t="inlineStr">
        <is>
          <t xml:space="preserve">  3. Discount a future payment to present value using PV = FV ÷ (1 + R × T)</t>
        </is>
      </c>
    </row>
    <row r="14" ht="19.5" customHeight="1">
      <c r="B14" s="10" t="inlineStr">
        <is>
          <t xml:space="preserve">  4. Use the =PV() function in Excel and correctly interpret the sign of the result</t>
        </is>
      </c>
    </row>
    <row r="15" ht="19.5" customHeight="1">
      <c r="B15" s="10" t="inlineStr">
        <is>
          <t xml:space="preserve">  5. Build a discounted cash flow (DCF) model by summing present values of multiple payments</t>
        </is>
      </c>
    </row>
    <row r="16" ht="7.5" customHeight="1"/>
    <row r="17" ht="21.75" customHeight="1">
      <c r="B17" s="9" t="inlineStr">
        <is>
          <t>How to Use This Workbook</t>
        </is>
      </c>
    </row>
    <row r="18" ht="21.75" customHeight="1">
      <c r="B18" s="17" t="inlineStr">
        <is>
          <t>Tab 2 — Part A: Simple Interest</t>
        </is>
      </c>
      <c r="C18" s="18" t="inlineStr">
        <is>
          <t>Three Meridian loans. Enter P, R, and T (in years). Formulas calculate Interest and FV automatically.</t>
        </is>
      </c>
    </row>
    <row r="19" ht="21.75" customHeight="1">
      <c r="B19" s="17" t="inlineStr">
        <is>
          <t>Tab 3 — Part B: Discounting</t>
        </is>
      </c>
      <c r="C19" s="18" t="inlineStr">
        <is>
          <t>Three receivables. Enter FV, R, and T. Discount each to present value using the manual formula.</t>
        </is>
      </c>
    </row>
    <row r="20" ht="21.75" customHeight="1">
      <c r="B20" s="17" t="inlineStr">
        <is>
          <t>Tab 4 — Part C: DCF Model</t>
        </is>
      </c>
      <c r="C20" s="18" t="inlineStr">
        <is>
          <t>Five future payments. Enter the 6% discount rate, then build PV formulas for each row and sum them.</t>
        </is>
      </c>
    </row>
    <row r="21" ht="21.75" customHeight="1">
      <c r="B21" s="17" t="inlineStr">
        <is>
          <t>FormulaReferenceCard</t>
        </is>
      </c>
      <c r="C21" s="18" t="inlineStr">
        <is>
          <t>All formulas introduced in this lesson. Keep this visible as you work.</t>
        </is>
      </c>
    </row>
  </sheetData>
  <mergeCells count="10">
    <mergeCell ref="B13:C13"/>
    <mergeCell ref="B2:C2"/>
    <mergeCell ref="B15:C15"/>
    <mergeCell ref="B11:C11"/>
    <mergeCell ref="B3:C3"/>
    <mergeCell ref="B5:C5"/>
    <mergeCell ref="B10:C10"/>
    <mergeCell ref="B14:C14"/>
    <mergeCell ref="B17:C17"/>
    <mergeCell ref="B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7C5E"/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2" customWidth="1" min="2" max="2"/>
    <col width="16" customWidth="1" min="3" max="3"/>
    <col width="14" customWidth="1" min="4" max="5"/>
    <col width="18" customWidth="1" min="6" max="7"/>
    <col width="24" customWidth="1" min="8" max="8"/>
  </cols>
  <sheetData>
    <row r="1" ht="6" customHeight="1"/>
    <row r="2" ht="31.5" customHeight="1">
      <c r="B2" s="8" t="inlineStr">
        <is>
          <t>Meridian Advisory Group · Simple Interest</t>
        </is>
      </c>
    </row>
    <row r="3" ht="19.5" customHeight="1">
      <c r="B3" s="7" t="inlineStr">
        <is>
          <t>Enter values in yellow cells. Interest and FV calculate automatically.</t>
        </is>
      </c>
    </row>
    <row r="4" ht="9.75" customHeight="1"/>
    <row r="5" ht="21.75" customHeight="1">
      <c r="B5" s="12" t="inlineStr">
        <is>
          <t>Section 1 — Simple Interest   I = P × R × T</t>
        </is>
      </c>
    </row>
    <row r="6" ht="19.5" customHeight="1">
      <c r="B6" s="19" t="inlineStr">
        <is>
          <t>Loan</t>
        </is>
      </c>
      <c r="C6" s="19" t="inlineStr">
        <is>
          <t>Principal (P)</t>
        </is>
      </c>
      <c r="D6" s="19" t="inlineStr">
        <is>
          <t>Annual Rate (R)</t>
        </is>
      </c>
      <c r="E6" s="19" t="inlineStr">
        <is>
          <t>Time (years)</t>
        </is>
      </c>
      <c r="F6" s="19" t="inlineStr">
        <is>
          <t>Interest (I)</t>
        </is>
      </c>
      <c r="G6" s="19" t="inlineStr">
        <is>
          <t>FV = P + I</t>
        </is>
      </c>
      <c r="H6" s="19" t="inlineStr">
        <is>
          <t>Notes</t>
        </is>
      </c>
    </row>
    <row r="7" ht="21.75" customHeight="1">
      <c r="B7" s="20" t="inlineStr">
        <is>
          <t>Loan A</t>
        </is>
      </c>
      <c r="C7" s="21" t="n"/>
      <c r="D7" s="21" t="n"/>
      <c r="E7" s="21" t="n"/>
      <c r="F7" s="22">
        <f>IFERROR(C7*D7*E7,"")</f>
        <v/>
      </c>
      <c r="G7" s="23">
        <f>IFERROR(C7+F7,"")</f>
        <v/>
      </c>
      <c r="H7" s="24" t="inlineStr">
        <is>
          <t>A Meridian client borrowing at 6% for 2 years</t>
        </is>
      </c>
    </row>
    <row r="8" ht="21.75" customHeight="1">
      <c r="B8" s="20" t="inlineStr">
        <is>
          <t>Loan B</t>
        </is>
      </c>
      <c r="C8" s="21" t="n"/>
      <c r="D8" s="21" t="n"/>
      <c r="E8" s="21" t="n"/>
      <c r="F8" s="22">
        <f>IFERROR(C8*D8*E8,"")</f>
        <v/>
      </c>
      <c r="G8" s="23">
        <f>IFERROR(C8+F8,"")</f>
        <v/>
      </c>
      <c r="H8" s="24" t="inlineStr">
        <is>
          <t>Corporate note at 5.5% for 9 months → convert T</t>
        </is>
      </c>
    </row>
    <row r="9" ht="21.75" customHeight="1">
      <c r="B9" s="20" t="inlineStr">
        <is>
          <t>Loan C</t>
        </is>
      </c>
      <c r="C9" s="21" t="n"/>
      <c r="D9" s="21" t="n"/>
      <c r="E9" s="21" t="n"/>
      <c r="F9" s="22">
        <f>IFERROR(C9*D9*E9,"")</f>
        <v/>
      </c>
      <c r="G9" s="23">
        <f>IFERROR(C9+F9,"")</f>
        <v/>
      </c>
      <c r="H9" s="24" t="inlineStr">
        <is>
          <t>Short-term facility at 7.2% for 180 days — exact interest</t>
        </is>
      </c>
    </row>
    <row r="10" ht="13.5" customHeight="1"/>
    <row r="11" ht="21.75" customHeight="1">
      <c r="B11" s="11" t="inlineStr">
        <is>
          <t>Section 2 — Solve for the Unknown Variable</t>
        </is>
      </c>
    </row>
    <row r="12" ht="19.5" customHeight="1">
      <c r="B12" s="19" t="inlineStr">
        <is>
          <t>Problem</t>
        </is>
      </c>
      <c r="C12" s="19" t="inlineStr">
        <is>
          <t>Principal (P)</t>
        </is>
      </c>
      <c r="D12" s="19" t="inlineStr">
        <is>
          <t>Rate (R)</t>
        </is>
      </c>
      <c r="E12" s="19" t="inlineStr">
        <is>
          <t>Time (years)</t>
        </is>
      </c>
      <c r="F12" s="19" t="inlineStr">
        <is>
          <t>Interest (I)</t>
        </is>
      </c>
      <c r="G12" s="19" t="inlineStr">
        <is>
          <t>Solve For</t>
        </is>
      </c>
      <c r="H12" s="19" t="inlineStr">
        <is>
          <t>Your Answer</t>
        </is>
      </c>
    </row>
    <row r="13" ht="21.75" customHeight="1">
      <c r="B13" s="20" t="inlineStr">
        <is>
          <t>Find P</t>
        </is>
      </c>
      <c r="C13" s="21" t="n"/>
      <c r="D13" s="25" t="n">
        <v>0.045</v>
      </c>
      <c r="E13" s="25" t="n">
        <v>1</v>
      </c>
      <c r="F13" s="25" t="n">
        <v>450</v>
      </c>
      <c r="G13" s="26" t="inlineStr">
        <is>
          <t>Principal</t>
        </is>
      </c>
      <c r="H13" s="23">
        <f>IFERROR(F13/(D13*E13),"")</f>
        <v/>
      </c>
    </row>
    <row r="14" ht="21.75" customHeight="1">
      <c r="B14" s="20" t="inlineStr">
        <is>
          <t>Find R</t>
        </is>
      </c>
      <c r="C14" s="25" t="n">
        <v>10000</v>
      </c>
      <c r="D14" s="21" t="n"/>
      <c r="E14" s="25" t="n">
        <v>2</v>
      </c>
      <c r="F14" s="25" t="n">
        <v>1200</v>
      </c>
      <c r="G14" s="26" t="inlineStr">
        <is>
          <t>Rate</t>
        </is>
      </c>
      <c r="H14" s="23">
        <f>IFERROR(F14/(C14*E14),"")</f>
        <v/>
      </c>
    </row>
    <row r="15" ht="21.75" customHeight="1">
      <c r="B15" s="20" t="inlineStr">
        <is>
          <t>Find T</t>
        </is>
      </c>
      <c r="C15" s="25" t="n">
        <v>8000</v>
      </c>
      <c r="D15" s="25" t="n">
        <v>0.055</v>
      </c>
      <c r="E15" s="21" t="n"/>
      <c r="F15" s="25" t="n">
        <v>330</v>
      </c>
      <c r="G15" s="26" t="inlineStr">
        <is>
          <t>Time (yrs)</t>
        </is>
      </c>
      <c r="H15" s="23">
        <f>IFERROR(F15/(C15*D15),"")</f>
        <v/>
      </c>
    </row>
    <row r="16" ht="13.5" customHeight="1"/>
    <row r="17" ht="21.75" customHeight="1">
      <c r="B17" s="9" t="inlineStr">
        <is>
          <t>Section 3 — Day-Count Methods (Exact vs. Ordinary Interest)</t>
        </is>
      </c>
    </row>
    <row r="18" ht="19.5" customHeight="1">
      <c r="B18" s="19" t="inlineStr">
        <is>
          <t>Loan</t>
        </is>
      </c>
      <c r="C18" s="19" t="inlineStr">
        <is>
          <t>Principal</t>
        </is>
      </c>
      <c r="D18" s="19" t="inlineStr">
        <is>
          <t>Annual Rate</t>
        </is>
      </c>
      <c r="E18" s="19" t="inlineStr">
        <is>
          <t>Days</t>
        </is>
      </c>
      <c r="F18" s="19" t="inlineStr">
        <is>
          <t>T Exact (÷365)</t>
        </is>
      </c>
      <c r="G18" s="19" t="inlineStr">
        <is>
          <t>T Ordinary (÷360)</t>
        </is>
      </c>
      <c r="H18" s="19" t="inlineStr">
        <is>
          <t>Which is Higher?</t>
        </is>
      </c>
    </row>
    <row r="19" ht="21.75" customHeight="1">
      <c r="B19" s="20" t="inlineStr">
        <is>
          <t>Loan X</t>
        </is>
      </c>
      <c r="C19" s="21" t="n"/>
      <c r="D19" s="21" t="n"/>
      <c r="E19" s="21" t="n"/>
      <c r="F19" s="22">
        <f>IFERROR(C19*D19*(E19/365),"")</f>
        <v/>
      </c>
      <c r="G19" s="23">
        <f>IFERROR(C19*D19*(E19/360),"")</f>
        <v/>
      </c>
      <c r="H19" s="22">
        <f>IF(OR(C19="",D19="",E19=""),"",IFERROR(IF(G19&gt;F19,"Ordinary","Exact"),""))</f>
        <v/>
      </c>
    </row>
    <row r="20" ht="21.75" customHeight="1">
      <c r="B20" s="20" t="inlineStr">
        <is>
          <t>Loan Y</t>
        </is>
      </c>
      <c r="C20" s="21" t="n"/>
      <c r="D20" s="21" t="n"/>
      <c r="E20" s="21" t="n"/>
      <c r="F20" s="22">
        <f>IFERROR(C20*D20*(E20/365),"")</f>
        <v/>
      </c>
      <c r="G20" s="23">
        <f>IFERROR(C20*D20*(E20/360),"")</f>
        <v/>
      </c>
      <c r="H20" s="22">
        <f>IF(OR(C20="",D20="",E20=""),"",IFERROR(IF(G20&gt;F20,"Ordinary","Exact"),""))</f>
        <v/>
      </c>
    </row>
    <row r="21" ht="21.75" customHeight="1">
      <c r="B21" s="6" t="inlineStr">
        <is>
          <t xml:space="preserve">  ⚠  Banker's Rule (÷360) always produces more interest than Exact (÷365) when all other inputs are equal — intentionally favoring the lender.</t>
        </is>
      </c>
    </row>
  </sheetData>
  <mergeCells count="6">
    <mergeCell ref="B17:H17"/>
    <mergeCell ref="B21:H21"/>
    <mergeCell ref="B2:H2"/>
    <mergeCell ref="B11:H11"/>
    <mergeCell ref="B3:H3"/>
    <mergeCell ref="B5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C4A2B"/>
    <outlinePr summaryBelow="1" summaryRight="1"/>
    <pageSetUpPr/>
  </sheetPr>
  <dimension ref="B2:I16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2" customWidth="1" min="2" max="2"/>
    <col width="18" customWidth="1" min="3" max="3"/>
    <col width="14" customWidth="1" min="4" max="5"/>
    <col width="20" customWidth="1" min="6" max="6"/>
    <col width="22" customWidth="1" min="7" max="7"/>
    <col width="24" customWidth="1" min="8" max="9"/>
  </cols>
  <sheetData>
    <row r="1" ht="6" customHeight="1"/>
    <row r="2" ht="31.5" customHeight="1">
      <c r="B2" s="8" t="inlineStr">
        <is>
          <t>Meridian Advisory Group · Discounting &amp; Present Value</t>
        </is>
      </c>
    </row>
    <row r="3" ht="9.75" customHeight="1"/>
    <row r="4" ht="21.75" customHeight="1">
      <c r="B4" s="9" t="inlineStr">
        <is>
          <t>Section 1 — Manual PV   =  FV ÷ (1 + R × T)</t>
        </is>
      </c>
    </row>
    <row r="5" ht="19.5" customHeight="1">
      <c r="B5" s="19" t="inlineStr">
        <is>
          <t>Receivable</t>
        </is>
      </c>
      <c r="C5" s="19" t="inlineStr">
        <is>
          <t>FV ($)</t>
        </is>
      </c>
      <c r="D5" s="19" t="inlineStr">
        <is>
          <t>Discount Rate (R)</t>
        </is>
      </c>
      <c r="E5" s="19" t="inlineStr">
        <is>
          <t>Time (years)</t>
        </is>
      </c>
      <c r="F5" s="19" t="inlineStr">
        <is>
          <t>Discount Factor</t>
        </is>
      </c>
      <c r="G5" s="19" t="inlineStr">
        <is>
          <t>Present Value (PV)</t>
        </is>
      </c>
      <c r="H5" s="19" t="inlineStr">
        <is>
          <t>Notes</t>
        </is>
      </c>
    </row>
    <row r="6" ht="21.75" customHeight="1">
      <c r="B6" s="20" t="inlineStr">
        <is>
          <t>Rec. 1</t>
        </is>
      </c>
      <c r="C6" s="21" t="n"/>
      <c r="D6" s="21" t="n"/>
      <c r="E6" s="21" t="n"/>
      <c r="F6" s="22">
        <f>IFERROR(1+D6*E6,"")</f>
        <v/>
      </c>
      <c r="G6" s="23">
        <f>IFERROR(C6/F6,"")</f>
        <v/>
      </c>
      <c r="H6" s="24" t="inlineStr">
        <is>
          <t>Future payment from a 2-year contract</t>
        </is>
      </c>
    </row>
    <row r="7" ht="21.75" customHeight="1">
      <c r="B7" s="20" t="inlineStr">
        <is>
          <t>Rec. 2</t>
        </is>
      </c>
      <c r="C7" s="21" t="n"/>
      <c r="D7" s="21" t="n"/>
      <c r="E7" s="21" t="n"/>
      <c r="F7" s="22">
        <f>IFERROR(1+D7*E7,"")</f>
        <v/>
      </c>
      <c r="G7" s="23">
        <f>IFERROR(C7/F7,"")</f>
        <v/>
      </c>
      <c r="H7" s="24" t="inlineStr">
        <is>
          <t>Equipment lease payment at 18 months</t>
        </is>
      </c>
    </row>
    <row r="8" ht="21.75" customHeight="1">
      <c r="B8" s="20" t="inlineStr">
        <is>
          <t>Rec. 3</t>
        </is>
      </c>
      <c r="C8" s="21" t="n"/>
      <c r="D8" s="21" t="n"/>
      <c r="E8" s="21" t="n"/>
      <c r="F8" s="22">
        <f>IFERROR(1+D8*E8,"")</f>
        <v/>
      </c>
      <c r="G8" s="23">
        <f>IFERROR(C8/F8,"")</f>
        <v/>
      </c>
      <c r="H8" s="24" t="inlineStr">
        <is>
          <t>Short-term note due in 270 days (exact, ÷365)</t>
        </is>
      </c>
    </row>
    <row r="9" ht="13.5" customHeight="1"/>
    <row r="10" ht="21.75" customHeight="1">
      <c r="B10" s="11" t="inlineStr">
        <is>
          <t>Section 2 — The =PV() Function</t>
        </is>
      </c>
    </row>
    <row r="11" ht="19.5" customHeight="1">
      <c r="B11" s="19" t="inlineStr">
        <is>
          <t>Receivable</t>
        </is>
      </c>
      <c r="C11" s="19" t="inlineStr">
        <is>
          <t>FV ($)</t>
        </is>
      </c>
      <c r="D11" s="19" t="inlineStr">
        <is>
          <t>Rate</t>
        </is>
      </c>
      <c r="E11" s="19" t="inlineStr">
        <is>
          <t>Nper</t>
        </is>
      </c>
      <c r="F11" s="19" t="inlineStr">
        <is>
          <t>PMT (enter 0)</t>
        </is>
      </c>
      <c r="G11" s="19" t="inlineStr">
        <is>
          <t>=PV() Result</t>
        </is>
      </c>
      <c r="H11" s="19" t="inlineStr">
        <is>
          <t>Verify with =FV()</t>
        </is>
      </c>
    </row>
    <row r="12" ht="21.75" customHeight="1">
      <c r="B12" s="20" t="inlineStr">
        <is>
          <t>PV 1</t>
        </is>
      </c>
      <c r="C12" s="21" t="n"/>
      <c r="D12" s="21" t="n"/>
      <c r="E12" s="21" t="n"/>
      <c r="F12" s="21" t="n"/>
      <c r="G12" s="27">
        <f>IFERROR(PV(D12,E12,F12,C12),"")</f>
        <v/>
      </c>
      <c r="H12" s="28">
        <f>IFERROR(FV(D12,E12,F12,G12),"")</f>
        <v/>
      </c>
      <c r="I12" s="24" t="inlineStr">
        <is>
          <t>Use the same inputs as Rec. 1 above</t>
        </is>
      </c>
    </row>
    <row r="13" ht="21.75" customHeight="1">
      <c r="B13" s="20" t="inlineStr">
        <is>
          <t>PV 2</t>
        </is>
      </c>
      <c r="C13" s="21" t="n"/>
      <c r="D13" s="21" t="n"/>
      <c r="E13" s="21" t="n"/>
      <c r="F13" s="21" t="n"/>
      <c r="G13" s="27">
        <f>IFERROR(PV(D13,E13,F13,C13),"")</f>
        <v/>
      </c>
      <c r="H13" s="28">
        <f>IFERROR(FV(D13,E13,F13,G13),"")</f>
        <v/>
      </c>
      <c r="I13" s="24" t="inlineStr">
        <is>
          <t>Use the same inputs as Rec. 2 above</t>
        </is>
      </c>
    </row>
    <row r="14" ht="21.75" customHeight="1">
      <c r="B14" s="20" t="inlineStr">
        <is>
          <t>PV 3</t>
        </is>
      </c>
      <c r="C14" s="21" t="n"/>
      <c r="D14" s="21" t="n"/>
      <c r="E14" s="21" t="n"/>
      <c r="F14" s="21" t="n"/>
      <c r="G14" s="27">
        <f>IFERROR(PV(D14,E14,F14,C14),"")</f>
        <v/>
      </c>
      <c r="H14" s="28">
        <f>IFERROR(FV(D14,E14,F14,G14),"")</f>
        <v/>
      </c>
      <c r="I14" s="24" t="inlineStr">
        <is>
          <t>Try a new scenario: FV=$40,000, 6%, 3 years</t>
        </is>
      </c>
    </row>
    <row r="15" ht="9.75" customHeight="1"/>
    <row r="16" ht="21.75" customHeight="1">
      <c r="B16" s="6" t="inlineStr">
        <is>
          <t xml:space="preserve">  ⚠  =PV() returns a negative result — this means outflow (the amount you must invest today). Do NOT manually add a minus sign. Verify with =FV() in column H.</t>
        </is>
      </c>
    </row>
  </sheetData>
  <mergeCells count="4">
    <mergeCell ref="B4:H4"/>
    <mergeCell ref="B2:H2"/>
    <mergeCell ref="B16:H16"/>
    <mergeCell ref="B10:H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B8843D"/>
    <outlinePr summaryBelow="1" summaryRight="1"/>
    <pageSetUpPr/>
  </sheetPr>
  <dimension ref="B2:H22"/>
  <sheetViews>
    <sheetView showGridLines="0" workbookViewId="0">
      <selection activeCell="A1" sqref="A1"/>
    </sheetView>
  </sheetViews>
  <sheetFormatPr baseColWidth="10" defaultColWidth="8.6640625" defaultRowHeight="15"/>
  <cols>
    <col width="2" customWidth="1" min="1" max="1"/>
    <col width="24" customWidth="1" min="2" max="2"/>
    <col width="20" customWidth="1" min="3" max="3"/>
    <col width="16" customWidth="1" min="4" max="4"/>
    <col width="14" customWidth="1" min="5" max="5"/>
    <col width="18" customWidth="1" min="6" max="6"/>
    <col width="20" customWidth="1" min="7" max="7"/>
    <col width="24" customWidth="1" min="8" max="8"/>
  </cols>
  <sheetData>
    <row r="1" ht="6" customHeight="1"/>
    <row r="2" ht="31.5" customHeight="1">
      <c r="B2" s="8" t="inlineStr">
        <is>
          <t>Meridian Advisory Group · Discounted Cash Flow Model</t>
        </is>
      </c>
    </row>
    <row r="3" ht="24" customHeight="1">
      <c r="B3" s="5" t="inlineStr">
        <is>
          <t>A Meridian corporate client holds a contract with five future payments. Discount each to today and sum the present values.</t>
        </is>
      </c>
    </row>
    <row r="4" ht="9.75" customHeight="1"/>
    <row r="5" ht="21.75" customHeight="1">
      <c r="B5" s="9" t="inlineStr">
        <is>
          <t>Model Assumption — Enter Here First</t>
        </is>
      </c>
    </row>
    <row r="6" ht="21.75" customHeight="1">
      <c r="B6" s="20" t="inlineStr">
        <is>
          <t>Discount Rate</t>
        </is>
      </c>
      <c r="C6" s="40" t="n">
        <v>0.06</v>
      </c>
      <c r="D6" s="29" t="inlineStr">
        <is>
          <t>← Enter 0.06  (do this first — all PV formulas depend on this cell)</t>
        </is>
      </c>
    </row>
    <row r="7" ht="9.75" customHeight="1"/>
    <row r="8" ht="21.75" customHeight="1">
      <c r="B8" s="12" t="inlineStr">
        <is>
          <t>Payment Stream — Build the PV Formula for Each Row</t>
        </is>
      </c>
    </row>
    <row r="9" ht="19.5" customHeight="1">
      <c r="B9" s="19" t="inlineStr">
        <is>
          <t>Payment</t>
        </is>
      </c>
      <c r="C9" s="19" t="inlineStr">
        <is>
          <t>Description</t>
        </is>
      </c>
      <c r="D9" s="19" t="inlineStr">
        <is>
          <t>FV ($)</t>
        </is>
      </c>
      <c r="E9" s="19" t="inlineStr">
        <is>
          <t>Years</t>
        </is>
      </c>
      <c r="F9" s="19" t="inlineStr">
        <is>
          <t>Discount Factor</t>
        </is>
      </c>
      <c r="G9" s="19" t="inlineStr">
        <is>
          <t>Present Value (PV)</t>
        </is>
      </c>
      <c r="H9" s="19" t="inlineStr">
        <is>
          <t>Formula Used</t>
        </is>
      </c>
    </row>
    <row r="10" ht="21.75" customHeight="1">
      <c r="B10" s="20" t="inlineStr">
        <is>
          <t>Payment 1</t>
        </is>
      </c>
      <c r="C10" s="18" t="inlineStr">
        <is>
          <t>Equipment purchase refund</t>
        </is>
      </c>
      <c r="D10" s="30" t="n">
        <v>18000</v>
      </c>
      <c r="E10" s="25" t="n">
        <v>1</v>
      </c>
      <c r="F10" s="41">
        <f>1+$C$6*E10</f>
        <v/>
      </c>
      <c r="G10" s="42">
        <f>D10/F10</f>
        <v/>
      </c>
      <c r="H10" s="31" t="inlineStr">
        <is>
          <t xml:space="preserve"> =D10/(1+$C$6*E10)  or  =PV($C$6,E10,0,D10)</t>
        </is>
      </c>
    </row>
    <row r="11" ht="21.75" customHeight="1">
      <c r="B11" s="20" t="inlineStr">
        <is>
          <t>Payment 2</t>
        </is>
      </c>
      <c r="C11" s="18" t="inlineStr">
        <is>
          <t>Contract milestone payment</t>
        </is>
      </c>
      <c r="D11" s="30" t="n">
        <v>22000</v>
      </c>
      <c r="E11" s="25" t="n">
        <v>2</v>
      </c>
      <c r="F11" s="41">
        <f>1+$C$6*E11</f>
        <v/>
      </c>
      <c r="G11" s="42">
        <f>D11/F11</f>
        <v/>
      </c>
      <c r="H11" s="31" t="inlineStr">
        <is>
          <t xml:space="preserve"> =D11/(1+$C$6*E11)  or  =PV($C$6,E11,0,D11)</t>
        </is>
      </c>
    </row>
    <row r="12" ht="21.75" customHeight="1">
      <c r="B12" s="20" t="inlineStr">
        <is>
          <t>Payment 3</t>
        </is>
      </c>
      <c r="C12" s="18" t="inlineStr">
        <is>
          <t>Consulting fee receivable</t>
        </is>
      </c>
      <c r="D12" s="30" t="n">
        <v>25000</v>
      </c>
      <c r="E12" s="25" t="n">
        <v>3</v>
      </c>
      <c r="F12" s="41">
        <f>1+$C$6*E12</f>
        <v/>
      </c>
      <c r="G12" s="42">
        <f>D12/F12</f>
        <v/>
      </c>
      <c r="H12" s="31" t="inlineStr">
        <is>
          <t xml:space="preserve"> =D12/(1+$C$6*E12)  or  =PV($C$6,E12,0,D12)</t>
        </is>
      </c>
    </row>
    <row r="13" ht="21.75" customHeight="1">
      <c r="B13" s="20" t="inlineStr">
        <is>
          <t>Payment 4</t>
        </is>
      </c>
      <c r="C13" s="18" t="inlineStr">
        <is>
          <t>Lease buyout payment</t>
        </is>
      </c>
      <c r="D13" s="30" t="n">
        <v>20000</v>
      </c>
      <c r="E13" s="25" t="n">
        <v>4</v>
      </c>
      <c r="F13" s="41">
        <f>1+$C$6*E13</f>
        <v/>
      </c>
      <c r="G13" s="42">
        <f>D13/F13</f>
        <v/>
      </c>
      <c r="H13" s="31" t="inlineStr">
        <is>
          <t xml:space="preserve"> =D13/(1+$C$6*E13)  or  =PV($C$6,E13,0,D13)</t>
        </is>
      </c>
    </row>
    <row r="14" ht="21.75" customHeight="1">
      <c r="B14" s="20" t="inlineStr">
        <is>
          <t>Payment 5</t>
        </is>
      </c>
      <c r="C14" s="18" t="inlineStr">
        <is>
          <t>Final settlement</t>
        </is>
      </c>
      <c r="D14" s="30" t="n">
        <v>15000</v>
      </c>
      <c r="E14" s="25" t="n">
        <v>5</v>
      </c>
      <c r="F14" s="41">
        <f>1+$C$6*E14</f>
        <v/>
      </c>
      <c r="G14" s="42">
        <f>D14/F14</f>
        <v/>
      </c>
      <c r="H14" s="31" t="inlineStr">
        <is>
          <t xml:space="preserve"> =D14/(1+$C$6*E14)  or  =PV($C$6,E14,0,D14)</t>
        </is>
      </c>
    </row>
    <row r="15" ht="6" customHeight="1"/>
    <row r="16" ht="25.5" customHeight="1">
      <c r="B16" s="4" t="inlineStr">
        <is>
          <t>TOTAL PRESENT VALUE</t>
        </is>
      </c>
      <c r="G16" s="43">
        <f>SUM(G10:G14)</f>
        <v/>
      </c>
      <c r="H16" s="32" t="inlineStr">
        <is>
          <t xml:space="preserve"> =SUM(G10:G14)</t>
        </is>
      </c>
    </row>
    <row r="17" ht="9.75" customHeight="1"/>
    <row r="18" ht="21.75" customHeight="1">
      <c r="B18" s="11" t="inlineStr">
        <is>
          <t>Reflection Question</t>
        </is>
      </c>
    </row>
    <row r="19" ht="39.75" customHeight="1">
      <c r="B19" s="10" t="inlineStr">
        <is>
          <t>A buyer offers $75,000 cash today for the entire contract. Based on your model at 6%, should the Meridian client accept the offer or wait to collect each payment? Explain why in the space below.</t>
        </is>
      </c>
    </row>
    <row r="20" ht="21.75" customHeight="1">
      <c r="B20" s="2" t="inlineStr">
        <is>
          <t>Your answer:</t>
        </is>
      </c>
    </row>
    <row r="21" ht="21.75" customHeight="1"/>
    <row r="22" ht="21.75" customHeight="1"/>
  </sheetData>
  <mergeCells count="8">
    <mergeCell ref="B8:H8"/>
    <mergeCell ref="B5:D5"/>
    <mergeCell ref="B18:H18"/>
    <mergeCell ref="B16:F16"/>
    <mergeCell ref="B20:H22"/>
    <mergeCell ref="B2:H2"/>
    <mergeCell ref="B3:H3"/>
    <mergeCell ref="B19:H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10" defaultColWidth="8.6640625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  <col width="24" customWidth="1" min="5" max="5"/>
  </cols>
  <sheetData>
    <row r="1" ht="31.5" customHeight="1">
      <c r="A1" s="57" t="inlineStr">
        <is>
          <t>Concept</t>
        </is>
      </c>
      <c r="B1" s="57" t="inlineStr">
        <is>
          <t>Excel Pattern</t>
        </is>
      </c>
      <c r="C1" s="57" t="inlineStr">
        <is>
          <t>Plain-English Meaning</t>
        </is>
      </c>
      <c r="D1" s="57" t="inlineStr">
        <is>
          <t>Watch Out For</t>
        </is>
      </c>
    </row>
    <row r="2" ht="31.5" customHeight="1">
      <c r="A2" s="61" t="inlineStr">
        <is>
          <t>Simple interest</t>
        </is>
      </c>
      <c r="B2" s="63" t="inlineStr">
        <is>
          <t>=Principal*Rate*Time</t>
        </is>
      </c>
      <c r="C2" s="61" t="inlineStr">
        <is>
          <t>Calculates interest for one principal, rate, and time.</t>
        </is>
      </c>
      <c r="D2" s="64" t="inlineStr">
        <is>
          <t>Time must be in years.</t>
        </is>
      </c>
    </row>
    <row r="3" ht="31.5" customHeight="1">
      <c r="A3" s="61" t="inlineStr">
        <is>
          <t>Ending balance / FV</t>
        </is>
      </c>
      <c r="B3" s="63" t="inlineStr">
        <is>
          <t>=Principal*(1+Rate*Time)</t>
        </is>
      </c>
      <c r="C3" s="61" t="inlineStr">
        <is>
          <t>Adds simple interest back to principal.</t>
        </is>
      </c>
      <c r="D3" s="64" t="inlineStr">
        <is>
          <t>The growth factor is 1 plus rate times time.</t>
        </is>
      </c>
    </row>
    <row r="4" ht="31.5" customHeight="1">
      <c r="A4" s="61" t="inlineStr">
        <is>
          <t>Months to years</t>
        </is>
      </c>
      <c r="B4" s="63" t="inlineStr">
        <is>
          <t>=Months/12</t>
        </is>
      </c>
      <c r="C4" s="61" t="inlineStr">
        <is>
          <t>Converts months into a year fraction.</t>
        </is>
      </c>
      <c r="D4" s="64" t="inlineStr">
        <is>
          <t>Use the same time basis as the rate.</t>
        </is>
      </c>
    </row>
    <row r="5" ht="31.5" customHeight="1">
      <c r="A5" s="61" t="inlineStr">
        <is>
          <t>Manual present value</t>
        </is>
      </c>
      <c r="B5" s="63" t="inlineStr">
        <is>
          <t>=FV/(1+Rate*Time)</t>
        </is>
      </c>
      <c r="C5" s="61" t="inlineStr">
        <is>
          <t>Discounts a future amount back to today.</t>
        </is>
      </c>
      <c r="D5" s="64" t="inlineStr">
        <is>
          <t>PV should be less than FV.</t>
        </is>
      </c>
    </row>
    <row r="6" ht="31.5" customHeight="1">
      <c r="A6" s="61" t="inlineStr">
        <is>
          <t>Excel PV function</t>
        </is>
      </c>
      <c r="B6" s="63" t="inlineStr">
        <is>
          <t>=PV(rate,nper,0,fv)</t>
        </is>
      </c>
      <c r="C6" s="61" t="inlineStr">
        <is>
          <t>Uses Excel to discount one future value.</t>
        </is>
      </c>
      <c r="D6" s="64" t="inlineStr">
        <is>
          <t>Excel may return a negative sign convention result.</t>
        </is>
      </c>
    </row>
    <row r="7" ht="31.5" customHeight="1">
      <c r="A7" s="61" t="inlineStr">
        <is>
          <t>DCF total</t>
        </is>
      </c>
      <c r="B7" s="63" t="inlineStr">
        <is>
          <t>=SUM(PVRange)</t>
        </is>
      </c>
      <c r="C7" s="61" t="inlineStr">
        <is>
          <t>Adds present values from a stream of cash flows.</t>
        </is>
      </c>
      <c r="D7" s="64" t="inlineStr">
        <is>
          <t>Discount each cash flow before summing.</t>
        </is>
      </c>
    </row>
    <row r="8" ht="19.5" customHeight="1"/>
    <row r="9" ht="19.5" customHeight="1"/>
    <row r="10" ht="19.5" customHeight="1"/>
    <row r="11" ht="19.5" customHeight="1"/>
    <row r="12" ht="7.5" customHeight="1"/>
    <row r="13" ht="21.75" customHeight="1"/>
    <row r="14" ht="18" customHeight="1"/>
    <row r="15" ht="19.5" customHeight="1"/>
    <row r="16" ht="19.5" customHeight="1"/>
    <row r="17" ht="19.5" customHeight="1"/>
    <row r="18" ht="7.5" customHeight="1"/>
    <row r="19" ht="21.75" customHeight="1"/>
    <row r="20" ht="18" customHeight="1"/>
    <row r="21" ht="19.5" customHeight="1"/>
    <row r="22" ht="19.5" customHeight="1"/>
    <row r="23" ht="19.5" customHeight="1"/>
    <row r="24" ht="19.5" customHeight="1"/>
    <row r="25" ht="19.5" customHeight="1"/>
    <row r="26" ht="7.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