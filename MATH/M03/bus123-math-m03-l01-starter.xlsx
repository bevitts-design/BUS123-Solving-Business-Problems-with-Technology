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Trade &amp; Cash Discounts" sheetId="2" state="visible" r:id="rId2"/>
    <sheet xmlns:r="http://schemas.openxmlformats.org/officeDocument/2006/relationships" name="Challenge" sheetId="3" state="visible" r:id="rId3"/>
    <sheet xmlns:r="http://schemas.openxmlformats.org/officeDocument/2006/relationships" name="FormulaReferenceC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0E1116"/>
      <sz val="14"/>
    </font>
    <font>
      <name val="Arial"/>
      <b val="1"/>
      <color rgb="004A7C5E"/>
      <sz val="12"/>
    </font>
    <font>
      <name val="Arial"/>
      <color rgb="00000000"/>
      <sz val="11"/>
    </font>
    <font>
      <name val="Arial"/>
      <color rgb="000A3D6B"/>
      <sz val="11"/>
    </font>
    <font>
      <name val="Arial"/>
      <color rgb="001A6B3C"/>
      <sz val="11"/>
    </font>
    <font>
      <name val="Arial"/>
      <i val="1"/>
      <color rgb="007A8290"/>
      <sz val="10"/>
    </font>
    <font>
      <name val="Arial"/>
      <b val="1"/>
      <color rgb="00FFFFFF"/>
      <sz val="11"/>
    </font>
    <font>
      <name val="Arial"/>
      <b val="1"/>
      <color rgb="00B8843D"/>
      <sz val="10"/>
    </font>
    <font>
      <name val="Arial"/>
      <b val="1"/>
      <color rgb="00000000"/>
      <sz val="11"/>
    </font>
    <font>
      <name val="Consolas"/>
      <color rgb="000E1116"/>
      <sz val="11"/>
    </font>
    <font>
      <name val="Arial"/>
      <color rgb="004A5567"/>
      <sz val="11"/>
    </font>
  </fonts>
  <fills count="7">
    <fill>
      <patternFill/>
    </fill>
    <fill>
      <patternFill patternType="gray125"/>
    </fill>
    <fill>
      <patternFill patternType="solid">
        <fgColor rgb="00FFD966"/>
      </patternFill>
    </fill>
    <fill>
      <patternFill patternType="solid">
        <fgColor rgb="00FFFBF0"/>
      </patternFill>
    </fill>
    <fill>
      <patternFill patternType="solid">
        <fgColor rgb="000E1116"/>
      </patternFill>
    </fill>
    <fill>
      <patternFill patternType="solid">
        <fgColor rgb="00FFFFFF"/>
      </patternFill>
    </fill>
    <fill>
      <patternFill patternType="solid">
        <fgColor rgb="00F7F8F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pivotButton="0" quotePrefix="0" xfId="0"/>
    <xf numFmtId="0" fontId="3" fillId="0" borderId="0" pivotButton="0" quotePrefix="0" xfId="0"/>
    <xf numFmtId="0" fontId="5" fillId="3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center" vertical="center" wrapText="1"/>
    </xf>
    <xf numFmtId="9" fontId="3" fillId="5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10" fontId="4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A7C5E"/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50" customWidth="1" min="1" max="1"/>
    <col width="55" customWidth="1" min="2" max="2"/>
  </cols>
  <sheetData>
    <row r="1">
      <c r="A1" s="1" t="inlineStr">
        <is>
          <t>BUS123 · MATH M03 · L01</t>
        </is>
      </c>
    </row>
    <row r="2">
      <c r="A2" s="2" t="inlineStr">
        <is>
          <t>Discounts: Trade and Cash</t>
        </is>
      </c>
    </row>
    <row r="3">
      <c r="A3" s="3" t="inlineStr"/>
    </row>
    <row r="4">
      <c r="A4" s="2" t="inlineStr">
        <is>
          <t>Learning Objectives</t>
        </is>
      </c>
    </row>
    <row r="5">
      <c r="A5" s="4" t="inlineStr">
        <is>
          <t>• Calculate a net price from a list price and a single trade discount</t>
        </is>
      </c>
    </row>
    <row r="6">
      <c r="A6" s="4" t="inlineStr">
        <is>
          <t>• Apply chain discounts to find the final net price</t>
        </is>
      </c>
    </row>
    <row r="7">
      <c r="A7" s="4" t="inlineStr">
        <is>
          <t>• Interpret cash discount terms (e.g., 2/10 net 30) and calculate the discounted payment</t>
        </is>
      </c>
    </row>
    <row r="8">
      <c r="A8" s="4" t="inlineStr">
        <is>
          <t>• Use Excel formulas to compute trade, chain, and cash discounts</t>
        </is>
      </c>
    </row>
    <row r="9">
      <c r="A9" s="3" t="inlineStr"/>
    </row>
    <row r="10">
      <c r="A10" s="2" t="inlineStr">
        <is>
          <t>How to Use This Workbook</t>
        </is>
      </c>
    </row>
    <row r="11">
      <c r="A11" s="4" t="inlineStr">
        <is>
          <t>1. Work through each section on the "Trade &amp; Cash Discounts" tab.</t>
        </is>
      </c>
    </row>
    <row r="12">
      <c r="A12" s="4" t="inlineStr">
        <is>
          <t>2. Yellow cells are where you enter your formulas or values.</t>
        </is>
      </c>
    </row>
    <row r="13">
      <c r="A13" s="4" t="inlineStr">
        <is>
          <t>3. Green/red feedback will appear in result cells when your answer is correct or incorrect.</t>
        </is>
      </c>
    </row>
    <row r="14">
      <c r="A14" s="4" t="inlineStr">
        <is>
          <t>4. The FormulaReferenceCard tab has a quick reference of all formulas used in this activity.</t>
        </is>
      </c>
    </row>
    <row r="15">
      <c r="A15" s="4" t="inlineStr">
        <is>
          <t>5. Challenge tab has optional stretch problems if you finish early.</t>
        </is>
      </c>
    </row>
    <row r="16">
      <c r="A16" s="3" t="inlineStr"/>
    </row>
    <row r="17">
      <c r="A17" s="2" t="inlineStr">
        <is>
          <t>Color Key</t>
        </is>
      </c>
    </row>
    <row r="18">
      <c r="A18" s="5" t="inlineStr">
        <is>
          <t>Yellow cells</t>
        </is>
      </c>
      <c r="B18" s="6">
        <f> Your input (enter formulas here)</f>
        <v/>
      </c>
    </row>
    <row r="19">
      <c r="A19" s="7" t="inlineStr">
        <is>
          <t>Result cells</t>
        </is>
      </c>
      <c r="B19" s="6">
        <f> Calculated results with correct/incorrect feedback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7C5E"/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  <col width="22" customWidth="1" min="7" max="7"/>
    <col width="22" customWidth="1" min="8" max="8"/>
  </cols>
  <sheetData>
    <row r="1">
      <c r="B1" s="8" t="inlineStr">
        <is>
          <t>SECTION A: Single Trade Discounts</t>
        </is>
      </c>
    </row>
    <row r="2">
      <c r="B2" s="9" t="inlineStr">
        <is>
          <t>Tidal Goods Co. receives trade discounts from suppliers. Calculate the net price for each item.</t>
        </is>
      </c>
    </row>
    <row r="4">
      <c r="A4" s="10" t="inlineStr"/>
      <c r="B4" s="10" t="inlineStr">
        <is>
          <t>Item</t>
        </is>
      </c>
      <c r="C4" s="10" t="inlineStr">
        <is>
          <t>List Price</t>
        </is>
      </c>
      <c r="D4" s="10" t="inlineStr">
        <is>
          <t>Discount Rate</t>
        </is>
      </c>
      <c r="E4" s="10" t="inlineStr">
        <is>
          <t>Complement</t>
        </is>
      </c>
      <c r="F4" s="10" t="inlineStr">
        <is>
          <t>Discount Amount</t>
        </is>
      </c>
      <c r="G4" s="10" t="inlineStr">
        <is>
          <t>Net Price</t>
        </is>
      </c>
    </row>
    <row r="5">
      <c r="A5" s="11" t="n">
        <v>1</v>
      </c>
      <c r="B5" s="12" t="inlineStr">
        <is>
          <t>Wetsuit</t>
        </is>
      </c>
      <c r="C5" s="13" t="n">
        <v>189.99</v>
      </c>
      <c r="D5" s="14" t="n">
        <v>0.3</v>
      </c>
      <c r="E5" s="15" t="n"/>
      <c r="F5" s="16" t="n"/>
      <c r="G5" s="16" t="n"/>
    </row>
    <row r="6">
      <c r="A6" s="11" t="n">
        <v>2</v>
      </c>
      <c r="B6" s="12" t="inlineStr">
        <is>
          <t>Rash Guard</t>
        </is>
      </c>
      <c r="C6" s="13" t="n">
        <v>44.95</v>
      </c>
      <c r="D6" s="14" t="n">
        <v>0.25</v>
      </c>
      <c r="E6" s="15" t="n"/>
      <c r="F6" s="16" t="n"/>
      <c r="G6" s="16" t="n"/>
    </row>
    <row r="7">
      <c r="A7" s="11" t="n">
        <v>3</v>
      </c>
      <c r="B7" s="12" t="inlineStr">
        <is>
          <t>Board Shorts</t>
        </is>
      </c>
      <c r="C7" s="13" t="n">
        <v>62</v>
      </c>
      <c r="D7" s="14" t="n">
        <v>0.35</v>
      </c>
      <c r="E7" s="15" t="n"/>
      <c r="F7" s="16" t="n"/>
      <c r="G7" s="16" t="n"/>
    </row>
    <row r="8">
      <c r="A8" s="11" t="n">
        <v>4</v>
      </c>
      <c r="B8" s="12" t="inlineStr">
        <is>
          <t>Surfboard Leash</t>
        </is>
      </c>
      <c r="C8" s="13" t="n">
        <v>29.99</v>
      </c>
      <c r="D8" s="14" t="n">
        <v>0.2</v>
      </c>
      <c r="E8" s="15" t="n"/>
      <c r="F8" s="16" t="n"/>
      <c r="G8" s="16" t="n"/>
    </row>
    <row r="9">
      <c r="A9" s="11" t="n">
        <v>5</v>
      </c>
      <c r="B9" s="12" t="inlineStr">
        <is>
          <t>Roof Rack Pads</t>
        </is>
      </c>
      <c r="C9" s="13" t="n">
        <v>54.5</v>
      </c>
      <c r="D9" s="14" t="n">
        <v>0.15</v>
      </c>
      <c r="E9" s="15" t="n"/>
      <c r="F9" s="16" t="n"/>
      <c r="G9" s="16" t="n"/>
    </row>
    <row r="12">
      <c r="B12" s="17" t="inlineStr">
        <is>
          <t>SECTION B: Chain Discounts</t>
        </is>
      </c>
    </row>
    <row r="13">
      <c r="B13" s="9" t="inlineStr">
        <is>
          <t>Each item has multiple successive discounts. Calculate the net price using chain discount method.</t>
        </is>
      </c>
    </row>
    <row r="15">
      <c r="A15" s="10" t="inlineStr"/>
      <c r="B15" s="10" t="inlineStr">
        <is>
          <t>Item</t>
        </is>
      </c>
      <c r="C15" s="10" t="inlineStr">
        <is>
          <t>List Price</t>
        </is>
      </c>
      <c r="D15" s="10" t="inlineStr">
        <is>
          <t>d1</t>
        </is>
      </c>
      <c r="E15" s="10" t="inlineStr">
        <is>
          <t>d2</t>
        </is>
      </c>
      <c r="F15" s="10" t="inlineStr">
        <is>
          <t>d3</t>
        </is>
      </c>
      <c r="G15" s="10" t="inlineStr">
        <is>
          <t>Net Price (Chain)</t>
        </is>
      </c>
      <c r="H15" s="10" t="inlineStr">
        <is>
          <t>Single Equiv Rate</t>
        </is>
      </c>
    </row>
    <row r="16">
      <c r="A16" s="11" t="n">
        <v>1</v>
      </c>
      <c r="B16" s="12" t="inlineStr">
        <is>
          <t>Surfboard Fins</t>
        </is>
      </c>
      <c r="C16" s="13" t="n">
        <v>64</v>
      </c>
      <c r="D16" s="14" t="n">
        <v>0.2</v>
      </c>
      <c r="E16" s="14" t="n">
        <v>0.1</v>
      </c>
      <c r="F16" s="14" t="n">
        <v>0.05</v>
      </c>
      <c r="G16" s="16" t="n"/>
      <c r="H16" s="18" t="n"/>
    </row>
    <row r="17">
      <c r="A17" s="11" t="n">
        <v>2</v>
      </c>
      <c r="B17" s="12" t="inlineStr">
        <is>
          <t>Wetsuit Gloves</t>
        </is>
      </c>
      <c r="C17" s="13" t="n">
        <v>38</v>
      </c>
      <c r="D17" s="14" t="n">
        <v>0.25</v>
      </c>
      <c r="E17" s="14" t="n">
        <v>0.1</v>
      </c>
      <c r="F17" s="14" t="n">
        <v>0</v>
      </c>
      <c r="G17" s="16" t="n"/>
      <c r="H17" s="18" t="n"/>
    </row>
    <row r="18">
      <c r="A18" s="11" t="n">
        <v>3</v>
      </c>
      <c r="B18" s="12" t="inlineStr">
        <is>
          <t>Paddle Board</t>
        </is>
      </c>
      <c r="C18" s="13" t="n">
        <v>895</v>
      </c>
      <c r="D18" s="14" t="n">
        <v>0.15</v>
      </c>
      <c r="E18" s="14" t="n">
        <v>0.1</v>
      </c>
      <c r="F18" s="14" t="n">
        <v>0.05</v>
      </c>
      <c r="G18" s="16" t="n"/>
      <c r="H18" s="18" t="n"/>
    </row>
    <row r="19">
      <c r="A19" s="11" t="n">
        <v>4</v>
      </c>
      <c r="B19" s="12" t="inlineStr">
        <is>
          <t>Dry Bag Set</t>
        </is>
      </c>
      <c r="C19" s="13" t="n">
        <v>72.5</v>
      </c>
      <c r="D19" s="14" t="n">
        <v>0.2</v>
      </c>
      <c r="E19" s="14" t="n">
        <v>0.15</v>
      </c>
      <c r="F19" s="14" t="n">
        <v>0.1</v>
      </c>
      <c r="G19" s="16" t="n"/>
      <c r="H19" s="18" t="n"/>
    </row>
    <row r="22">
      <c r="B22" s="17" t="inlineStr">
        <is>
          <t>SECTION C: Cash Discounts</t>
        </is>
      </c>
    </row>
    <row r="23">
      <c r="B23" s="9" t="inlineStr">
        <is>
          <t>Calculate the discounted payment if Tidal Goods pays within the discount window.</t>
        </is>
      </c>
    </row>
    <row r="25">
      <c r="A25" s="10" t="inlineStr"/>
      <c r="B25" s="10" t="inlineStr">
        <is>
          <t>Supplier</t>
        </is>
      </c>
      <c r="C25" s="10" t="inlineStr">
        <is>
          <t>Invoice Amount</t>
        </is>
      </c>
      <c r="D25" s="10" t="inlineStr">
        <is>
          <t>Terms</t>
        </is>
      </c>
      <c r="E25" s="10" t="inlineStr">
        <is>
          <t>Disc Rate</t>
        </is>
      </c>
      <c r="F25" s="10" t="inlineStr">
        <is>
          <t>Disc Amount</t>
        </is>
      </c>
      <c r="G25" s="10" t="inlineStr">
        <is>
          <t>Payment If Early</t>
        </is>
      </c>
      <c r="H25" s="10" t="inlineStr">
        <is>
          <t>Savings</t>
        </is>
      </c>
    </row>
    <row r="26">
      <c r="A26" s="11" t="n">
        <v>1</v>
      </c>
      <c r="B26" s="12" t="inlineStr">
        <is>
          <t>WaveCrest Wetsuits</t>
        </is>
      </c>
      <c r="C26" s="13" t="n">
        <v>4200</v>
      </c>
      <c r="D26" s="19" t="inlineStr">
        <is>
          <t>2/10 net 30</t>
        </is>
      </c>
      <c r="E26" s="20" t="n">
        <v>0.02</v>
      </c>
      <c r="F26" s="16" t="n"/>
      <c r="G26" s="16" t="n"/>
      <c r="H26" s="16" t="n"/>
    </row>
    <row r="27">
      <c r="A27" s="11" t="n">
        <v>2</v>
      </c>
      <c r="B27" s="12" t="inlineStr">
        <is>
          <t>Pacific Boards Inc.</t>
        </is>
      </c>
      <c r="C27" s="13" t="n">
        <v>8750</v>
      </c>
      <c r="D27" s="19" t="inlineStr">
        <is>
          <t>3/15 net 45</t>
        </is>
      </c>
      <c r="E27" s="20" t="n">
        <v>0.03</v>
      </c>
      <c r="F27" s="16" t="n"/>
      <c r="G27" s="16" t="n"/>
      <c r="H27" s="16" t="n"/>
    </row>
    <row r="28">
      <c r="A28" s="11" t="n">
        <v>3</v>
      </c>
      <c r="B28" s="12" t="inlineStr">
        <is>
          <t>SaltAir Accessories</t>
        </is>
      </c>
      <c r="C28" s="13" t="n">
        <v>1620</v>
      </c>
      <c r="D28" s="19" t="inlineStr">
        <is>
          <t>1.5/10 net 30</t>
        </is>
      </c>
      <c r="E28" s="20" t="n">
        <v>0.015</v>
      </c>
      <c r="F28" s="16" t="n"/>
      <c r="G28" s="16" t="n"/>
      <c r="H28" s="16" t="n"/>
    </row>
    <row r="29">
      <c r="A29" s="11" t="n">
        <v>4</v>
      </c>
      <c r="B29" s="12" t="inlineStr">
        <is>
          <t>Reef Supply Co.</t>
        </is>
      </c>
      <c r="C29" s="13" t="n">
        <v>3400</v>
      </c>
      <c r="D29" s="19" t="inlineStr">
        <is>
          <t>2/10 net 60</t>
        </is>
      </c>
      <c r="E29" s="20" t="n">
        <v>0.02</v>
      </c>
      <c r="F29" s="16" t="n"/>
      <c r="G29" s="16" t="n"/>
      <c r="H29" s="16" t="n"/>
    </row>
  </sheetData>
  <mergeCells count="6">
    <mergeCell ref="B22:H22"/>
    <mergeCell ref="B1:H1"/>
    <mergeCell ref="B13:H13"/>
    <mergeCell ref="B12:H12"/>
    <mergeCell ref="B2:H2"/>
    <mergeCell ref="B23:H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843D"/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22" customWidth="1" min="7" max="7"/>
    <col width="22" customWidth="1" min="8" max="8"/>
  </cols>
  <sheetData>
    <row r="1">
      <c r="B1" s="17" t="inlineStr">
        <is>
          <t>CHALLENGE: Combined Discounts</t>
        </is>
      </c>
    </row>
    <row r="2">
      <c r="B2" s="9" t="inlineStr">
        <is>
          <t>Tidal Goods receives BOTH trade/chain discounts AND cash discounts on these orders. Find the final amount paid.</t>
        </is>
      </c>
    </row>
    <row r="4">
      <c r="A4" s="10" t="inlineStr"/>
      <c r="B4" s="10" t="inlineStr">
        <is>
          <t>Item</t>
        </is>
      </c>
      <c r="C4" s="10" t="inlineStr">
        <is>
          <t>List Price</t>
        </is>
      </c>
      <c r="D4" s="10" t="inlineStr">
        <is>
          <t>Trade Disc</t>
        </is>
      </c>
      <c r="E4" s="10" t="inlineStr">
        <is>
          <t>Cash Terms</t>
        </is>
      </c>
      <c r="F4" s="10" t="inlineStr">
        <is>
          <t>Net After Trade</t>
        </is>
      </c>
      <c r="G4" s="10" t="inlineStr">
        <is>
          <t>Final Payment</t>
        </is>
      </c>
      <c r="H4" s="10" t="inlineStr">
        <is>
          <t>Total Savings</t>
        </is>
      </c>
    </row>
    <row r="5">
      <c r="A5" s="11" t="n">
        <v>1</v>
      </c>
      <c r="B5" s="12" t="inlineStr">
        <is>
          <t>Wetsuit Order (50 units)</t>
        </is>
      </c>
      <c r="C5" s="13" t="n">
        <v>9499.5</v>
      </c>
      <c r="D5" s="19" t="inlineStr">
        <is>
          <t>30%</t>
        </is>
      </c>
      <c r="E5" s="19" t="inlineStr">
        <is>
          <t>2/10 net 30</t>
        </is>
      </c>
      <c r="F5" s="16" t="n"/>
      <c r="G5" s="16" t="n"/>
      <c r="H5" s="16" t="n"/>
    </row>
    <row r="6">
      <c r="A6" s="11" t="n">
        <v>2</v>
      </c>
      <c r="B6" s="12" t="inlineStr">
        <is>
          <t>Board Accessories</t>
        </is>
      </c>
      <c r="C6" s="13" t="n">
        <v>3625</v>
      </c>
      <c r="D6" s="19" t="inlineStr">
        <is>
          <t>20/10</t>
        </is>
      </c>
      <c r="E6" s="19" t="inlineStr">
        <is>
          <t>1.5/10 net 30</t>
        </is>
      </c>
      <c r="F6" s="16" t="n"/>
      <c r="G6" s="16" t="n"/>
      <c r="H6" s="16" t="n"/>
    </row>
    <row r="7">
      <c r="A7" s="11" t="n">
        <v>3</v>
      </c>
      <c r="B7" s="12" t="inlineStr">
        <is>
          <t>Seasonal Display Racks</t>
        </is>
      </c>
      <c r="C7" s="13" t="n">
        <v>2800</v>
      </c>
      <c r="D7" s="19" t="inlineStr">
        <is>
          <t>15/5</t>
        </is>
      </c>
      <c r="E7" s="19" t="inlineStr">
        <is>
          <t>3/15 net 45</t>
        </is>
      </c>
      <c r="F7" s="16" t="n"/>
      <c r="G7" s="16" t="n"/>
      <c r="H7" s="16" t="n"/>
    </row>
  </sheetData>
  <mergeCells count="2">
    <mergeCell ref="B1:H1"/>
    <mergeCell ref="B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55773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45" customWidth="1" min="3" max="3"/>
  </cols>
  <sheetData>
    <row r="1">
      <c r="A1" s="17" t="inlineStr">
        <is>
          <t>Formula Reference Card — Discounts</t>
        </is>
      </c>
    </row>
    <row r="3">
      <c r="A3" s="10" t="inlineStr">
        <is>
          <t>Concept</t>
        </is>
      </c>
      <c r="B3" s="10" t="inlineStr">
        <is>
          <t>Formula</t>
        </is>
      </c>
      <c r="C3" s="10" t="inlineStr">
        <is>
          <t>Example</t>
        </is>
      </c>
    </row>
    <row r="4" ht="30" customHeight="1">
      <c r="A4" s="21" t="inlineStr">
        <is>
          <t>Trade Discount — Net Price</t>
        </is>
      </c>
      <c r="B4" s="22">
        <f> List Price × (1 − Discount Rate)</f>
        <v/>
      </c>
      <c r="C4" s="23">
        <f> 189.99 × (1 − 0.30) = $132.99</f>
        <v/>
      </c>
    </row>
    <row r="5" ht="30" customHeight="1">
      <c r="A5" s="24" t="inlineStr">
        <is>
          <t>Trade Discount — Complement</t>
        </is>
      </c>
      <c r="B5" s="25">
        <f> 1 − Discount Rate</f>
        <v/>
      </c>
      <c r="C5" s="26">
        <f> 1 − 0.30 = 0.70</f>
        <v/>
      </c>
    </row>
    <row r="6" ht="30" customHeight="1">
      <c r="A6" s="21" t="inlineStr">
        <is>
          <t>Trade Discount — Discount Amount</t>
        </is>
      </c>
      <c r="B6" s="22">
        <f> List Price × Discount Rate</f>
        <v/>
      </c>
      <c r="C6" s="23">
        <f> 189.99 × 0.30 = $57.00</f>
        <v/>
      </c>
    </row>
    <row r="7" ht="30" customHeight="1">
      <c r="A7" s="24" t="inlineStr">
        <is>
          <t>Chain Discount — Net Price</t>
        </is>
      </c>
      <c r="B7" s="25">
        <f> List Price × (1−d1) × (1−d2) × (1−d3)</f>
        <v/>
      </c>
      <c r="C7" s="26">
        <f> 64 × 0.80 × 0.90 × 0.95 = $43.78</f>
        <v/>
      </c>
    </row>
    <row r="8" ht="30" customHeight="1">
      <c r="A8" s="21" t="inlineStr">
        <is>
          <t>Chain — Single Equivalent Rate</t>
        </is>
      </c>
      <c r="B8" s="22">
        <f> 1 − [(1−d1) × (1−d2) × (1−d3)]</f>
        <v/>
      </c>
      <c r="C8" s="23">
        <f> 1 − (0.80 × 0.90 × 0.95) = 31.6%</f>
        <v/>
      </c>
    </row>
    <row r="9" ht="30" customHeight="1">
      <c r="A9" s="24" t="inlineStr">
        <is>
          <t>Cash Discount — Payment</t>
        </is>
      </c>
      <c r="B9" s="25">
        <f> Invoice × (1 − Cash Discount Rate)</f>
        <v/>
      </c>
      <c r="C9" s="26">
        <f> 4200 × (1 − 0.02) = $4,116.00</f>
        <v/>
      </c>
    </row>
    <row r="10" ht="30" customHeight="1">
      <c r="A10" s="21" t="inlineStr">
        <is>
          <t>Cash Discount — Savings</t>
        </is>
      </c>
      <c r="B10" s="22">
        <f> Invoice × Cash Discount Rate</f>
        <v/>
      </c>
      <c r="C10" s="23">
        <f> 4200 × 0.02 = $84.00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2026-05-26T14:58:35Z</dcterms:created>
  <dcterms:modified xmlns:dcterms="http://purl.org/dc/terms/" xmlns:xsi="http://www.w3.org/2001/XMLSchema-instance" xsi:type="dcterms:W3CDTF">2026-05-26T14:58:35Z</dcterms:modified>
</cp:coreProperties>
</file>