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e944306bb349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979782c00867470a"/>
    <x:sheet xmlns:r="http://schemas.openxmlformats.org/officeDocument/2006/relationships" name="Live You Try It" sheetId="2" r:id="Rd64f0d0ea4fd4737"/>
    <x:sheet xmlns:r="http://schemas.openxmlformats.org/officeDocument/2006/relationships" name="Class Challenge" sheetId="3" r:id="R85c78b62231246e4"/>
    <x:sheet xmlns:r="http://schemas.openxmlformats.org/officeDocument/2006/relationships" name="FormulaReferenceCard" sheetId="4" r:id="R10bf100df662432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$#,##0"/>
    <x:numFmt numFmtId="201" formatCode="0"/>
  </x:numFmts>
  <x:fonts count="9">
    <x:font>
      <x:sz val="11"/>
      <x:name val="Carlito"/>
    </x:font>
    <x:font>
      <x:b/>
      <x:sz val="22"/>
      <x:color rgb="FFFFFFFF"/>
      <x:name val="Aptos"/>
    </x:font>
    <x:font>
      <x:i/>
      <x:sz val="12"/>
      <x:color rgb="FF4A5567"/>
      <x:name val="Aptos"/>
    </x:font>
    <x:font>
      <x:b/>
      <x:sz val="16"/>
      <x:color rgb="FF4A7C5E"/>
      <x:name val="Aptos"/>
    </x:font>
    <x:font>
      <x:b/>
      <x:sz val="11"/>
      <x:color rgb="FFFFFFFF"/>
      <x:name val="Aptos"/>
    </x:font>
    <x:font>
      <x:sz val="11"/>
      <x:color rgb="FF1A1F2C"/>
      <x:name val="Aptos"/>
    </x:font>
    <x:font>
      <x:b/>
      <x:sz val="11"/>
      <x:color rgb="FF4A7C5E"/>
      <x:name val="Aptos"/>
    </x:font>
    <x:font>
      <x:b/>
      <x:sz val="11"/>
      <x:color rgb="FF355773"/>
      <x:name val="Courier New"/>
    </x:font>
    <x:font>
      <x:sz val="10"/>
      <x:color rgb="FF4A7C5E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0E1116"/>
      </x:patternFill>
    </x:fill>
    <x:fill>
      <x:patternFill patternType="solid">
        <x:fgColor rgb="FFFAF8F3"/>
      </x:patternFill>
    </x:fill>
    <x:fill>
      <x:patternFill patternType="solid">
        <x:fgColor rgb="FFEAF3EC"/>
      </x:patternFill>
    </x:fill>
    <x:fill>
      <x:patternFill patternType="solid">
        <x:fgColor rgb="FFFFF2CC"/>
      </x:patternFill>
    </x:fill>
    <x:fill>
      <x:patternFill patternType="solid">
        <x:fgColor rgb="FFDCE6F1"/>
      </x:patternFill>
    </x:fill>
  </x:fills>
  <x:borders count="2">
    <x:border/>
    <x:border>
      <x:left style="thin">
        <x:color rgb="FFE5E1D6"/>
      </x:left>
      <x:right style="thin">
        <x:color rgb="FFE5E1D6"/>
      </x:right>
      <x:top style="thin">
        <x:color rgb="FFE5E1D6"/>
      </x:top>
      <x:bottom style="thin">
        <x:color rgb="FFE5E1D6"/>
      </x:bottom>
    </x:border>
  </x:borders>
  <x:cellStyleXfs count="1">
    <x:xf numFmtId="0" fontId="0" fillId="0" borderId="0"/>
  </x:cellStyleXfs>
  <x:cellXfs count="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vertical="top" wrapText="1"/>
    </x:xf>
    <x:xf numFmtId="0" fontId="5" fillId="4" borderId="1" xfId="0" applyNumberFormat="1" applyFont="1" applyFill="1" applyBorder="1" applyAlignment="1">
      <x:alignment vertical="top" wrapText="1"/>
    </x:xf>
    <x:xf numFmtId="0" fontId="6" fillId="4" borderId="1" xfId="0" applyNumberFormat="1" applyFont="1" applyFill="1" applyBorder="1" applyAlignment="1">
      <x:alignment vertical="top" wrapText="1"/>
    </x:xf>
    <x:xf numFmtId="0" fontId="6" fillId="4" borderId="1" xfId="0" applyNumberFormat="1" applyFont="1" applyFill="1" applyBorder="1" applyAlignment="1">
      <x:alignment horizontal="center" vertical="top" wrapText="1"/>
    </x:xf>
    <x:xf numFmtId="0" fontId="5" fillId="5" borderId="1" xfId="0" applyNumberFormat="1" applyFont="1" applyFill="1" applyBorder="1" applyAlignment="1">
      <x:alignment vertical="top" wrapText="1"/>
    </x:xf>
    <x:xf numFmtId="0" fontId="5" fillId="5" borderId="1" xfId="0" applyNumberFormat="1" applyFont="1" applyFill="1" applyBorder="1" applyAlignment="1">
      <x:alignment vertical="center" wrapText="1"/>
    </x:xf>
    <x:xf numFmtId="0" fontId="7" fillId="4" borderId="1" xfId="0" applyNumberFormat="1" applyFont="1" applyFill="1" applyBorder="1" applyAlignment="1">
      <x:alignment vertical="top" wrapText="1"/>
    </x:xf>
    <x:xf numFmtId="0" fontId="7" fillId="4" borderId="1" xfId="0" applyNumberFormat="1" applyFont="1" applyFill="1" applyBorder="1" applyAlignment="1">
      <x:alignment vertical="center" wrapText="1"/>
    </x:xf>
    <x:xf numFmtId="0" fontId="5" fillId="6" borderId="1" xfId="0" applyNumberFormat="1" applyFont="1" applyFill="1" applyBorder="1" applyAlignment="1">
      <x:alignment vertical="top" wrapText="1"/>
    </x:xf>
    <x:xf numFmtId="0" fontId="7" fillId="6" borderId="1" xfId="0" applyNumberFormat="1" applyFont="1" applyFill="1" applyBorder="1" applyAlignment="1">
      <x:alignment vertical="top" wrapText="1"/>
    </x:xf>
    <x:xf numFmtId="0" fontId="7" fillId="6" borderId="1" xfId="0" applyNumberFormat="1" applyFont="1" applyFill="1" applyBorder="1" applyAlignment="1">
      <x:alignment vertical="center" wrapText="1"/>
    </x:xf>
    <x:xf numFmtId="0" fontId="8" fillId="4" borderId="1" xfId="0" applyNumberFormat="1" applyFont="1" applyFill="1" applyBorder="1" applyAlignment="1">
      <x:alignment vertical="top" wrapText="1"/>
    </x:xf>
    <x:xf numFmtId="0" fontId="8" fillId="4" borderId="1" xfId="0" applyNumberFormat="1" applyFont="1" applyFill="1" applyBorder="1" applyAlignment="1">
      <x:alignment vertical="center" wrapText="1"/>
    </x:xf>
    <x:xf numFmtId="200" fontId="5" fillId="5" borderId="1" xfId="0" applyNumberFormat="1" applyFont="1" applyFill="1" applyBorder="1" applyAlignment="1">
      <x:alignment vertical="center" wrapText="1"/>
    </x:xf>
    <x:xf numFmtId="200" fontId="7" fillId="4" borderId="1" xfId="0" applyNumberFormat="1" applyFont="1" applyFill="1" applyBorder="1" applyAlignment="1">
      <x:alignment vertical="center" wrapText="1"/>
    </x:xf>
    <x:xf numFmtId="201" fontId="5" fillId="5" borderId="1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/>
    <x:xf numFmtId="0" fontId="8" fillId="4" borderId="1" xfId="0" applyNumberFormat="1" applyFont="1" applyFill="1" applyBorder="1"/>
    <x:xf numFmtId="0" fontId="8" fillId="4" borderId="1" xfId="0" applyNumberFormat="1" applyFont="1" applyFill="1" applyBorder="1" applyAlignment="1">
      <x:alignment wrapText="1"/>
    </x:xf>
    <x:xf numFmtId="200" fontId="7" fillId="6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89a0c9ff9f4aa5" /><Relationship Type="http://schemas.openxmlformats.org/officeDocument/2006/relationships/theme" Target="/xl/theme/theme1.xml" Id="Rf830127e20654303" /><Relationship Type="http://schemas.openxmlformats.org/officeDocument/2006/relationships/sharedStrings" Target="/xl/sharedStrings.xml" Id="Rb84c6da053de4e50" /><Relationship Type="http://schemas.openxmlformats.org/officeDocument/2006/relationships/worksheet" Target="/xl/worksheets/sheet1.xml" Id="R979782c00867470a" /><Relationship Type="http://schemas.openxmlformats.org/officeDocument/2006/relationships/worksheet" Target="/xl/worksheets/sheet2.xml" Id="Rd64f0d0ea4fd4737" /><Relationship Type="http://schemas.openxmlformats.org/officeDocument/2006/relationships/worksheet" Target="/xl/worksheets/sheet3.xml" Id="R85c78b62231246e4" /><Relationship Type="http://schemas.openxmlformats.org/officeDocument/2006/relationships/worksheet" Target="/xl/worksheets/sheet4.xml" Id="R10bf100df662432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329999923706055" hidden="0" customWidth="1"/>
    <x:col min="2" max="2" width="100" hidden="0" customWidth="1"/>
    <x:col min="3" max="3" width="2.7799999713897705" hidden="0" customWidth="1"/>
    <x:col min="4" max="4" width="2.7799999713897705" hidden="0" customWidth="1"/>
    <x:col min="5" max="5" width="2.7799999713897705" hidden="0" customWidth="1"/>
    <x:col min="6" max="6" width="2.7799999713897705" hidden="0" customWidth="1"/>
    <x:col min="7" max="7" width="2.7799999713897705" hidden="0" customWidth="1"/>
    <x:col min="8" max="8" width="2.7799999713897705" hidden="0" customWidth="1"/>
    <x:col min="9" max="9" width="2.7799999713897705" hidden="0" customWidth="1"/>
    <x:col min="10" max="10" width="2.7799999713897705" hidden="0" customWidth="1"/>
  </x:cols>
  <x:sheetData>
    <x:row r="1" ht="31.5" customHeight="1">
      <x:c r="A1" s="3" t="str">
        <x:v>BUS123 - MATH M05 - L01</x:v>
      </x:c>
      <x:c r="B1" s="3" t="str">
        <x:v>BUS123 - MATH M05 - L01</x:v>
      </x:c>
      <x:c r="C1" s="3" t="str">
        <x:v>BUS123 - MATH M05 - L01</x:v>
      </x:c>
      <x:c r="D1" s="3" t="str">
        <x:v>BUS123 - MATH M05 - L01</x:v>
      </x:c>
      <x:c r="E1" s="3" t="str">
        <x:v>BUS123 - MATH M05 - L01</x:v>
      </x:c>
      <x:c r="F1" s="3" t="str">
        <x:v>BUS123 - MATH M05 - L01</x:v>
      </x:c>
      <x:c r="G1" s="3" t="str">
        <x:v>BUS123 - MATH M05 - L01</x:v>
      </x:c>
      <x:c r="H1" s="3" t="str">
        <x:v>BUS123 - MATH M05 - L01</x:v>
      </x:c>
      <x:c r="I1" s="3" t="str">
        <x:v>BUS123 - MATH M05 - L01</x:v>
      </x:c>
      <x:c r="J1" s="3" t="str">
        <x:v>BUS123 - MATH M05 - L01</x:v>
      </x:c>
    </x:row>
    <x:row r="2" ht="22.5" customHeight="1">
      <x:c r="A2" s="6" t="str">
        <x:v>Payroll and Depreciation | Harborside Medical Center | Fall 2026</x:v>
      </x:c>
      <x:c r="B2" s="6" t="str">
        <x:v>Payroll and Depreciation | Harborside Medical Center | Fall 2026</x:v>
      </x:c>
      <x:c r="C2" s="6" t="str">
        <x:v>Payroll and Depreciation | Harborside Medical Center | Fall 2026</x:v>
      </x:c>
      <x:c r="D2" s="6" t="str">
        <x:v>Payroll and Depreciation | Harborside Medical Center | Fall 2026</x:v>
      </x:c>
      <x:c r="E2" s="6" t="str">
        <x:v>Payroll and Depreciation | Harborside Medical Center | Fall 2026</x:v>
      </x:c>
      <x:c r="F2" s="6" t="str">
        <x:v>Payroll and Depreciation | Harborside Medical Center | Fall 2026</x:v>
      </x:c>
      <x:c r="G2" s="6" t="str">
        <x:v>Payroll and Depreciation | Harborside Medical Center | Fall 2026</x:v>
      </x:c>
      <x:c r="H2" s="6" t="str">
        <x:v>Payroll and Depreciation | Harborside Medical Center | Fall 2026</x:v>
      </x:c>
      <x:c r="I2" s="6" t="str">
        <x:v>Payroll and Depreciation | Harborside Medical Center | Fall 2026</x:v>
      </x:c>
      <x:c r="J2" s="6" t="str">
        <x:v>Payroll and Depreciation | Harborside Medical Center | Fall 2026</x:v>
      </x:c>
    </x:row>
    <x:row r="4">
      <x:c r="A4" s="9" t="str">
        <x:v>How to Use This Workbook</x:v>
      </x:c>
      <x:c r="B4" s="9" t="str">
        <x:v>How to Use This Workbook</x:v>
      </x:c>
      <x:c r="C4" s="9" t="str">
        <x:v>How to Use This Workbook</x:v>
      </x:c>
      <x:c r="D4" s="9" t="str">
        <x:v>How to Use This Workbook</x:v>
      </x:c>
      <x:c r="E4" s="9" t="str">
        <x:v>How to Use This Workbook</x:v>
      </x:c>
      <x:c r="F4" s="9" t="str">
        <x:v>How to Use This Workbook</x:v>
      </x:c>
      <x:c r="G4" s="9" t="str">
        <x:v>How to Use This Workbook</x:v>
      </x:c>
      <x:c r="H4" s="9" t="str">
        <x:v>How to Use This Workbook</x:v>
      </x:c>
      <x:c r="I4" s="9" t="str">
        <x:v>How to Use This Workbook</x:v>
      </x:c>
      <x:c r="J4" s="9" t="str">
        <x:v>How to Use This Workbook</x:v>
      </x:c>
    </x:row>
    <x:row r="6">
      <x:c r="A6" s="14" t="str">
        <x:v>Step</x:v>
      </x:c>
      <x:c r="B6" s="14" t="str">
        <x:v>Student move</x:v>
      </x:c>
    </x:row>
    <x:row r="7" ht="36" customHeight="1">
      <x:c r="A7" s="18" t="str">
        <x:v>1. Guided payroll</x:v>
      </x:c>
      <x:c r="B7" s="18" t="str">
        <x:v>During slides 10-13, build the three payroll formulas on Live You Try It before using feedback.</x:v>
      </x:c>
    </x:row>
    <x:row r="8" ht="36" customHeight="1">
      <x:c r="A8" s="18" t="str">
        <x:v>2. Full depreciation schedule</x:v>
      </x:c>
      <x:c r="B8" s="18" t="str">
        <x:v>During slide 17, build Year 1 and copy the formula pattern through Year 6.</x:v>
      </x:c>
    </x:row>
    <x:row r="9" ht="36" customHeight="1">
      <x:c r="A9" s="18" t="str">
        <x:v>3. Two decision cases</x:v>
      </x:c>
      <x:c r="B9" s="18" t="str">
        <x:v>Class Challenge requires a staffing recommendation and an equipment explanation, each with one limitation.</x:v>
      </x:c>
    </x:row>
    <x:row r="10" ht="36" customHeight="1">
      <x:c r="A10" s="18" t="str">
        <x:v>4. Reference only when needed</x:v>
      </x:c>
      <x:c r="B10" s="18" t="str">
        <x:v>FormulaReferenceCard is a syntax reminder. Decide which relationship fits before looking up the pattern.</x:v>
      </x:c>
    </x:row>
    <x:row r="12">
      <x:c r="A12" s="9" t="str">
        <x:v>Learning Targets</x:v>
      </x:c>
      <x:c r="B12" s="9" t="str">
        <x:v>Learning Targets</x:v>
      </x:c>
      <x:c r="C12" s="9" t="str">
        <x:v>Learning Targets</x:v>
      </x:c>
      <x:c r="D12" s="9" t="str">
        <x:v>Learning Targets</x:v>
      </x:c>
      <x:c r="E12" s="9" t="str">
        <x:v>Learning Targets</x:v>
      </x:c>
      <x:c r="F12" s="9" t="str">
        <x:v>Learning Targets</x:v>
      </x:c>
      <x:c r="G12" s="9" t="str">
        <x:v>Learning Targets</x:v>
      </x:c>
      <x:c r="H12" s="9" t="str">
        <x:v>Learning Targets</x:v>
      </x:c>
      <x:c r="I12" s="9" t="str">
        <x:v>Learning Targets</x:v>
      </x:c>
      <x:c r="J12" s="9" t="str">
        <x:v>Learning Targets</x:v>
      </x:c>
    </x:row>
    <x:row r="14" ht="25.5" customHeight="1">
      <x:c r="A14" s="21" t="str">
        <x:v>I can</x:v>
      </x:c>
      <x:c r="B14" s="18" t="str">
        <x:v>Compare pay systems by business fit and incentive risk.</x:v>
      </x:c>
    </x:row>
    <x:row r="15" ht="25.5" customHeight="1">
      <x:c r="A15" s="21" t="str">
        <x:v>I can</x:v>
      </x:c>
      <x:c r="B15" s="18" t="str">
        <x:v>Model salary pay cycles, overtime, and team gross payroll.</x:v>
      </x:c>
    </x:row>
    <x:row r="16" ht="25.5" customHeight="1">
      <x:c r="A16" s="21" t="str">
        <x:v>I can</x:v>
      </x:c>
      <x:c r="B16" s="18" t="str">
        <x:v>Build a complete six-year straight-line depreciation schedule.</x:v>
      </x:c>
    </x:row>
    <x:row r="17" ht="25.5" customHeight="1">
      <x:c r="A17" s="21" t="str">
        <x:v>I can</x:v>
      </x:c>
      <x:c r="B17" s="18" t="str">
        <x:v>Support a staffing or equipment decision and name a model limitation.</x:v>
      </x:c>
    </x:row>
    <x:row r="19">
      <x:c r="A19" s="9" t="str">
        <x:v>Color and Evidence Key</x:v>
      </x:c>
      <x:c r="B19" s="9" t="str">
        <x:v>Color and Evidence Key</x:v>
      </x:c>
      <x:c r="C19" s="9" t="str">
        <x:v>Color and Evidence Key</x:v>
      </x:c>
      <x:c r="D19" s="9" t="str">
        <x:v>Color and Evidence Key</x:v>
      </x:c>
      <x:c r="E19" s="9" t="str">
        <x:v>Color and Evidence Key</x:v>
      </x:c>
      <x:c r="F19" s="9" t="str">
        <x:v>Color and Evidence Key</x:v>
      </x:c>
      <x:c r="G19" s="9" t="str">
        <x:v>Color and Evidence Key</x:v>
      </x:c>
      <x:c r="H19" s="9" t="str">
        <x:v>Color and Evidence Key</x:v>
      </x:c>
      <x:c r="I19" s="9" t="str">
        <x:v>Color and Evidence Key</x:v>
      </x:c>
      <x:c r="J19" s="9" t="str">
        <x:v>Color and Evidence Key</x:v>
      </x:c>
    </x:row>
    <x:row r="21" ht="28.5" customHeight="1">
      <x:c r="A21" s="23" t="str">
        <x:v>Yellow cells</x:v>
      </x:c>
      <x:c r="B21" s="18" t="str">
        <x:v>Given inputs. Use these cells in formulas instead of hard-coding numbers.</x:v>
      </x:c>
    </x:row>
    <x:row r="22" ht="28.5" customHeight="1">
      <x:c r="A22" s="25" t="str">
        <x:v>Light sage cells</x:v>
      </x:c>
      <x:c r="B22" s="18" t="str">
        <x:v>Guided formula cells and self-check feedback.</x:v>
      </x:c>
    </x:row>
    <x:row r="23" ht="28.5" customHeight="1">
      <x:c r="A23" s="28" t="str">
        <x:v>Blue cells</x:v>
      </x:c>
      <x:c r="B23" s="18" t="str">
        <x:v>Independent Class Challenge formula or response cells.</x:v>
      </x:c>
    </x:row>
    <x:row r="24" ht="28.5" customHeight="1">
      <x:c r="A24" s="18" t="str">
        <x:v>Decision evidence</x:v>
      </x:c>
      <x:c r="B24" s="18" t="str">
        <x:v>A formula, a direction check, a recommendation, and one limitation.</x:v>
      </x:c>
    </x:row>
  </x:sheetData>
  <x:mergeCells>
    <x:mergeCell ref="A1:J1"/>
    <x:mergeCell ref="A2:J2"/>
    <x:mergeCell ref="A4:J4"/>
    <x:mergeCell ref="A12:J12"/>
    <x:mergeCell ref="A19:J1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12.779999732971191" hidden="0" customWidth="1"/>
    <x:col min="3" max="3" width="12.220000267028809" hidden="0" customWidth="1"/>
    <x:col min="4" max="4" width="11.109999656677246" hidden="0" customWidth="1"/>
    <x:col min="5" max="5" width="13.890000343322754" hidden="0" customWidth="1"/>
    <x:col min="6" max="6" width="13.890000343322754" hidden="0" customWidth="1"/>
    <x:col min="7" max="7" width="12.779999732971191" hidden="0" customWidth="1"/>
    <x:col min="8" max="8" width="25.559999465942383" hidden="0" customWidth="1"/>
    <x:col min="9" max="9" width="25.559999465942383" hidden="0" customWidth="1"/>
    <x:col min="10" max="10" width="30" hidden="0" customWidth="1"/>
  </x:cols>
  <x:sheetData>
    <x:row r="1">
      <x:c r="A1" s="3" t="str">
        <x:v>M05 - Live You Try It</x:v>
      </x:c>
      <x:c r="B1" s="3" t="str">
        <x:v>M05 - Live You Try It</x:v>
      </x:c>
      <x:c r="C1" s="3" t="str">
        <x:v>M05 - Live You Try It</x:v>
      </x:c>
      <x:c r="D1" s="3" t="str">
        <x:v>M05 - Live You Try It</x:v>
      </x:c>
      <x:c r="E1" s="3" t="str">
        <x:v>M05 - Live You Try It</x:v>
      </x:c>
      <x:c r="F1" s="3" t="str">
        <x:v>M05 - Live You Try It</x:v>
      </x:c>
      <x:c r="G1" s="3" t="str">
        <x:v>M05 - Live You Try It</x:v>
      </x:c>
      <x:c r="H1" s="3" t="str">
        <x:v>M05 - Live You Try It</x:v>
      </x:c>
      <x:c r="I1" s="3" t="str">
        <x:v>M05 - Live You Try It</x:v>
      </x:c>
      <x:c r="J1" s="3" t="str">
        <x:v>M05 - Live You Try It</x:v>
      </x:c>
    </x:row>
    <x:row r="2">
      <x:c r="A2" s="6" t="str">
        <x:v>Guided practice: build formulas first; feedback confirms the relationship without displaying the answer in advance.</x:v>
      </x:c>
      <x:c r="B2" s="6" t="str">
        <x:v>Guided practice: build formulas first; feedback confirms the relationship without displaying the answer in advance.</x:v>
      </x:c>
      <x:c r="C2" s="6" t="str">
        <x:v>Guided practice: build formulas first; feedback confirms the relationship without displaying the answer in advance.</x:v>
      </x:c>
      <x:c r="D2" s="6" t="str">
        <x:v>Guided practice: build formulas first; feedback confirms the relationship without displaying the answer in advance.</x:v>
      </x:c>
      <x:c r="E2" s="6" t="str">
        <x:v>Guided practice: build formulas first; feedback confirms the relationship without displaying the answer in advance.</x:v>
      </x:c>
      <x:c r="F2" s="6" t="str">
        <x:v>Guided practice: build formulas first; feedback confirms the relationship without displaying the answer in advance.</x:v>
      </x:c>
      <x:c r="G2" s="6" t="str">
        <x:v>Guided practice: build formulas first; feedback confirms the relationship without displaying the answer in advance.</x:v>
      </x:c>
      <x:c r="H2" s="6" t="str">
        <x:v>Guided practice: build formulas first; feedback confirms the relationship without displaying the answer in advance.</x:v>
      </x:c>
      <x:c r="I2" s="6" t="str">
        <x:v>Guided practice: build formulas first; feedback confirms the relationship without displaying the answer in advance.</x:v>
      </x:c>
      <x:c r="J2" s="6" t="str">
        <x:v>Guided practice: build formulas first; feedback confirms the relationship without displaying the answer in advance.</x:v>
      </x:c>
    </x:row>
    <x:row r="4">
      <x:c r="A4" s="9" t="str">
        <x:v>Part A - Payroll Checks</x:v>
      </x:c>
      <x:c r="B4" s="9" t="str">
        <x:v>Part A - Payroll Checks</x:v>
      </x:c>
      <x:c r="C4" s="9" t="str">
        <x:v>Part A - Payroll Checks</x:v>
      </x:c>
      <x:c r="D4" s="9" t="str">
        <x:v>Part A - Payroll Checks</x:v>
      </x:c>
      <x:c r="E4" s="9" t="str">
        <x:v>Part A - Payroll Checks</x:v>
      </x:c>
      <x:c r="F4" s="9" t="str">
        <x:v>Part A - Payroll Checks</x:v>
      </x:c>
      <x:c r="G4" s="9" t="str">
        <x:v>Part A - Payroll Checks</x:v>
      </x:c>
      <x:c r="H4" s="9" t="str">
        <x:v>Part A - Payroll Checks</x:v>
      </x:c>
      <x:c r="I4" s="9" t="str">
        <x:v>Part A - Payroll Checks</x:v>
      </x:c>
      <x:c r="J4" s="9" t="str">
        <x:v>Part A - Payroll Checks</x:v>
      </x:c>
    </x:row>
    <x:row r="6">
      <x:c r="A6" s="14" t="str">
        <x:v>Task</x:v>
      </x:c>
      <x:c r="B6" s="14" t="str">
        <x:v>Annual salary</x:v>
      </x:c>
      <x:c r="C6" s="14" t="str">
        <x:v>Pay periods</x:v>
      </x:c>
      <x:c r="D6" s="14" t="str">
        <x:v>Total hours</x:v>
      </x:c>
      <x:c r="E6" s="14" t="str">
        <x:v>Regular cap</x:v>
      </x:c>
      <x:c r="F6" s="14" t="str">
        <x:v>Hourly rate</x:v>
      </x:c>
      <x:c r="G6" s="14" t="str">
        <x:v>OT multiplier</x:v>
      </x:c>
      <x:c r="H6" s="14" t="str">
        <x:v>Formula answer</x:v>
      </x:c>
      <x:c r="I6" s="14" t="str">
        <x:v>Prediction / interpretation</x:v>
      </x:c>
      <x:c r="J6" s="14" t="str">
        <x:v>Feedback</x:v>
      </x:c>
    </x:row>
    <x:row r="7" ht="43.5" customHeight="1">
      <x:c r="A7" s="18" t="str">
        <x:v>Weekly salary check</x:v>
      </x:c>
      <x:c r="B7" s="31" t="n">
        <x:v>52000</x:v>
      </x:c>
      <x:c r="C7" s="23" t="n">
        <x:v>52</x:v>
      </x:c>
      <x:c r="D7" s="23"/>
      <x:c r="E7" s="23"/>
      <x:c r="F7" s="23"/>
      <x:c r="G7" s="23"/>
      <x:c r="H7" s="32"/>
      <x:c r="I7" s="18" t="str">
        <x:v>Will weekly pay be smaller or larger than monthly pay? Why?</x:v>
      </x:c>
      <x:c r="J7" s="30" t="str">
        <x:f>IF(H7="","Build a formula in H7 using B7 and C7.",IF(ABS(H7-(B7/C7))&lt;0.01,"Correct - payroll check complete","Check the salary and pay-period relationship."))</x:f>
        <x:v>Build a formula in H7 using B7 and C7.</x:v>
      </x:c>
    </x:row>
    <x:row r="8" ht="43.5" customHeight="1">
      <x:c r="A8" s="18" t="str">
        <x:v>One nurse regular pay</x:v>
      </x:c>
      <x:c r="B8" s="23"/>
      <x:c r="C8" s="23"/>
      <x:c r="D8" s="23" t="n">
        <x:v>43</x:v>
      </x:c>
      <x:c r="E8" s="23" t="n">
        <x:v>40</x:v>
      </x:c>
      <x:c r="F8" s="31" t="n">
        <x:v>44</x:v>
      </x:c>
      <x:c r="G8" s="23"/>
      <x:c r="H8" s="32"/>
      <x:c r="I8" s="18" t="str">
        <x:v>Why must regular hours stop at the cap?</x:v>
      </x:c>
      <x:c r="J8" s="30" t="str">
        <x:f>IF(H8="","Build a formula in H8 using D8:F8.",IF(ABS(H8-(MIN(D8,E8)*F8))&lt;0.01,"Correct - regular pay complete","Cap regular hours before multiplying by rate."))</x:f>
        <x:v>Build a formula in H8 using D8:F8.</x:v>
      </x:c>
    </x:row>
    <x:row r="9" ht="43.5" customHeight="1">
      <x:c r="A9" s="18" t="str">
        <x:v>One nurse gross pay</x:v>
      </x:c>
      <x:c r="B9" s="23"/>
      <x:c r="C9" s="23"/>
      <x:c r="D9" s="23" t="n">
        <x:v>43</x:v>
      </x:c>
      <x:c r="E9" s="23" t="n">
        <x:v>40</x:v>
      </x:c>
      <x:c r="F9" s="31" t="n">
        <x:v>44</x:v>
      </x:c>
      <x:c r="G9" s="23" t="n">
        <x:v>1.5</x:v>
      </x:c>
      <x:c r="H9" s="32"/>
      <x:c r="I9" s="18" t="str">
        <x:v>Which part of gross pay is created by the premium?</x:v>
      </x:c>
      <x:c r="J9" s="30" t="str">
        <x:f>IF(H9="","Build a formula in H9 using D9:G9.",IF(ABS(H9-(MIN(D9,E9)*F9+MAX(D9-E9,0)*F9*G9))&lt;0.01,"Correct - gross pay complete","Separate regular hours from overtime hours."))</x:f>
        <x:v>Build a formula in H9 using D9:G9.</x:v>
      </x:c>
    </x:row>
    <x:row r="11">
      <x:c r="A11" s="9" t="str">
        <x:v>Part B - Complete Six-Year Depreciation Schedule</x:v>
      </x:c>
      <x:c r="B11" s="9" t="str">
        <x:v>Part B - Complete Six-Year Depreciation Schedule</x:v>
      </x:c>
      <x:c r="C11" s="9" t="str">
        <x:v>Part B - Complete Six-Year Depreciation Schedule</x:v>
      </x:c>
      <x:c r="D11" s="9" t="str">
        <x:v>Part B - Complete Six-Year Depreciation Schedule</x:v>
      </x:c>
      <x:c r="E11" s="9" t="str">
        <x:v>Part B - Complete Six-Year Depreciation Schedule</x:v>
      </x:c>
      <x:c r="F11" s="9" t="str">
        <x:v>Part B - Complete Six-Year Depreciation Schedule</x:v>
      </x:c>
      <x:c r="G11" s="9" t="str">
        <x:v>Part B - Complete Six-Year Depreciation Schedule</x:v>
      </x:c>
      <x:c r="H11" s="9" t="str">
        <x:v>Part B - Complete Six-Year Depreciation Schedule</x:v>
      </x:c>
      <x:c r="I11" s="9" t="str">
        <x:v>Part B - Complete Six-Year Depreciation Schedule</x:v>
      </x:c>
      <x:c r="J11" s="9" t="str">
        <x:v>Part B - Complete Six-Year Depreciation Schedule</x:v>
      </x:c>
    </x:row>
    <x:row r="13">
      <x:c r="A13" s="18" t="str">
        <x:v>Asset cost</x:v>
      </x:c>
      <x:c r="B13" s="31" t="n">
        <x:v>84000</x:v>
      </x:c>
      <x:c r="C13" s="18" t="str">
        <x:v>Residual value</x:v>
      </x:c>
      <x:c r="D13" s="31" t="n">
        <x:v>12000</x:v>
      </x:c>
      <x:c r="E13" s="18" t="str">
        <x:v>Useful life</x:v>
      </x:c>
      <x:c r="F13" s="23" t="n">
        <x:v>6</x:v>
      </x:c>
      <x:c r="G13" s="18" t="str">
        <x:v>Build Year 1, then copy the pattern down</x:v>
      </x:c>
    </x:row>
    <x:row r="15">
      <x:c r="A15" s="14" t="str">
        <x:v>Year</x:v>
      </x:c>
      <x:c r="B15" s="14" t="str">
        <x:v>Cost</x:v>
      </x:c>
      <x:c r="C15" s="14" t="str">
        <x:v>Residual</x:v>
      </x:c>
      <x:c r="D15" s="14" t="str">
        <x:v>Useful life</x:v>
      </x:c>
      <x:c r="E15" s="14" t="str">
        <x:v>Depreciation expense</x:v>
      </x:c>
      <x:c r="F15" s="14" t="str">
        <x:v>Accumulated depreciation</x:v>
      </x:c>
      <x:c r="G15" s="14" t="str">
        <x:v>Book value</x:v>
      </x:c>
      <x:c r="H15" s="14" t="str">
        <x:v>Direction check</x:v>
      </x:c>
      <x:c r="I15" s="14" t="str">
        <x:v>Hint</x:v>
      </x:c>
      <x:c r="J15" s="14" t="str">
        <x:v>Feedback</x:v>
      </x:c>
    </x:row>
    <x:row r="16" ht="37.5" customHeight="1">
      <x:c r="A16" s="18" t="n">
        <x:v>1</x:v>
      </x:c>
      <x:c r="B16" s="31" t="n">
        <x:f>$B$13</x:f>
        <x:v>84000</x:v>
      </x:c>
      <x:c r="C16" s="31" t="n">
        <x:f>$D$13</x:f>
        <x:v>12000</x:v>
      </x:c>
      <x:c r="D16" s="33" t="n">
        <x:f>$F$13</x:f>
        <x:v>6</x:v>
      </x:c>
      <x:c r="E16" s="32"/>
      <x:c r="F16" s="32"/>
      <x:c r="G16" s="32"/>
      <x:c r="H16" s="18" t="str">
        <x:v>Expense constant; accumulated rises; book value falls</x:v>
      </x:c>
      <x:c r="I16" s="18" t="str">
        <x:v>Reference the input cells, then copy formulas down.</x:v>
      </x:c>
      <x:c r="J16" s="30" t="str">
        <x:f>IF(COUNTBLANK(E16:G16)&gt;0,"Build all three formulas for Year 1.",IF(AND(ABS(E16-(($B$13-$D$13)/$F$13))&lt;0.01,ABS(F16-(E16*A16))&lt;0.01,ABS(G16-($B$13-F16))&lt;0.01),"Correct - Year 1 complete","Check expense, accumulated depreciation, and book value."))</x:f>
        <x:v>Build all three formulas for Year 1.</x:v>
      </x:c>
    </x:row>
    <x:row r="17" ht="37.5" customHeight="1">
      <x:c r="A17" s="18" t="n">
        <x:v>2</x:v>
      </x:c>
      <x:c r="B17" s="31" t="n">
        <x:f>$B$13</x:f>
        <x:v>84000</x:v>
      </x:c>
      <x:c r="C17" s="31" t="n">
        <x:f>$D$13</x:f>
        <x:v>12000</x:v>
      </x:c>
      <x:c r="D17" s="33" t="n">
        <x:f>$F$13</x:f>
        <x:v>6</x:v>
      </x:c>
      <x:c r="E17" s="32"/>
      <x:c r="F17" s="32"/>
      <x:c r="G17" s="32"/>
      <x:c r="H17" s="18" t="str">
        <x:v>Does the pattern continue?</x:v>
      </x:c>
      <x:c r="I17" s="18" t="str">
        <x:v>Copy the pattern; do not hard-code the answer.</x:v>
      </x:c>
      <x:c r="J17" s="30" t="str">
        <x:f>IF(COUNTBLANK(E17:G17)&gt;0,"Build all three formulas for Year 2.",IF(AND(ABS(E17-(($B$13-$D$13)/$F$13))&lt;0.01,ABS(F17-(E17*A17))&lt;0.01,ABS(G17-($B$13-F17))&lt;0.01),"Correct - Year 2 complete","Check expense, accumulated depreciation, and book value."))</x:f>
        <x:v>Build all three formulas for Year 2.</x:v>
      </x:c>
    </x:row>
    <x:row r="18" ht="37.5" customHeight="1">
      <x:c r="A18" s="18" t="n">
        <x:v>3</x:v>
      </x:c>
      <x:c r="B18" s="31" t="n">
        <x:f>$B$13</x:f>
        <x:v>84000</x:v>
      </x:c>
      <x:c r="C18" s="31" t="n">
        <x:f>$D$13</x:f>
        <x:v>12000</x:v>
      </x:c>
      <x:c r="D18" s="33" t="n">
        <x:f>$F$13</x:f>
        <x:v>6</x:v>
      </x:c>
      <x:c r="E18" s="32"/>
      <x:c r="F18" s="32"/>
      <x:c r="G18" s="32"/>
      <x:c r="H18" s="18" t="str">
        <x:v>Does the pattern continue?</x:v>
      </x:c>
      <x:c r="I18" s="18" t="str">
        <x:v>Copy the pattern; do not hard-code the answer.</x:v>
      </x:c>
      <x:c r="J18" s="30" t="str">
        <x:f>IF(COUNTBLANK(E18:G18)&gt;0,"Build all three formulas for Year 3.",IF(AND(ABS(E18-(($B$13-$D$13)/$F$13))&lt;0.01,ABS(F18-(E18*A18))&lt;0.01,ABS(G18-($B$13-F18))&lt;0.01),"Correct - Year 3 complete","Check expense, accumulated depreciation, and book value."))</x:f>
        <x:v>Build all three formulas for Year 3.</x:v>
      </x:c>
    </x:row>
    <x:row r="19" ht="37.5" customHeight="1">
      <x:c r="A19" s="18" t="n">
        <x:v>4</x:v>
      </x:c>
      <x:c r="B19" s="31" t="n">
        <x:f>$B$13</x:f>
        <x:v>84000</x:v>
      </x:c>
      <x:c r="C19" s="31" t="n">
        <x:f>$D$13</x:f>
        <x:v>12000</x:v>
      </x:c>
      <x:c r="D19" s="33" t="n">
        <x:f>$F$13</x:f>
        <x:v>6</x:v>
      </x:c>
      <x:c r="E19" s="32"/>
      <x:c r="F19" s="32"/>
      <x:c r="G19" s="32"/>
      <x:c r="H19" s="18" t="str">
        <x:v>Does the pattern continue?</x:v>
      </x:c>
      <x:c r="I19" s="18" t="str">
        <x:v>Copy the pattern; do not hard-code the answer.</x:v>
      </x:c>
      <x:c r="J19" s="30" t="str">
        <x:f>IF(COUNTBLANK(E19:G19)&gt;0,"Build all three formulas for Year 4.",IF(AND(ABS(E19-(($B$13-$D$13)/$F$13))&lt;0.01,ABS(F19-(E19*A19))&lt;0.01,ABS(G19-($B$13-F19))&lt;0.01),"Correct - Year 4 complete","Check expense, accumulated depreciation, and book value."))</x:f>
        <x:v>Build all three formulas for Year 4.</x:v>
      </x:c>
    </x:row>
    <x:row r="20" ht="37.5" customHeight="1">
      <x:c r="A20" s="18" t="n">
        <x:v>5</x:v>
      </x:c>
      <x:c r="B20" s="31" t="n">
        <x:f>$B$13</x:f>
        <x:v>84000</x:v>
      </x:c>
      <x:c r="C20" s="31" t="n">
        <x:f>$D$13</x:f>
        <x:v>12000</x:v>
      </x:c>
      <x:c r="D20" s="33" t="n">
        <x:f>$F$13</x:f>
        <x:v>6</x:v>
      </x:c>
      <x:c r="E20" s="32"/>
      <x:c r="F20" s="32"/>
      <x:c r="G20" s="32"/>
      <x:c r="H20" s="18" t="str">
        <x:v>Does the pattern continue?</x:v>
      </x:c>
      <x:c r="I20" s="18" t="str">
        <x:v>Copy the pattern; do not hard-code the answer.</x:v>
      </x:c>
      <x:c r="J20" s="30" t="str">
        <x:f>IF(COUNTBLANK(E20:G20)&gt;0,"Build all three formulas for Year 5.",IF(AND(ABS(E20-(($B$13-$D$13)/$F$13))&lt;0.01,ABS(F20-(E20*A20))&lt;0.01,ABS(G20-($B$13-F20))&lt;0.01),"Correct - Year 5 complete","Check expense, accumulated depreciation, and book value."))</x:f>
        <x:v>Build all three formulas for Year 5.</x:v>
      </x:c>
    </x:row>
    <x:row r="21" ht="37.5" customHeight="1">
      <x:c r="A21" s="18" t="n">
        <x:v>6</x:v>
      </x:c>
      <x:c r="B21" s="31" t="n">
        <x:f>$B$13</x:f>
        <x:v>84000</x:v>
      </x:c>
      <x:c r="C21" s="31" t="n">
        <x:f>$D$13</x:f>
        <x:v>12000</x:v>
      </x:c>
      <x:c r="D21" s="33" t="n">
        <x:f>$F$13</x:f>
        <x:v>6</x:v>
      </x:c>
      <x:c r="E21" s="32"/>
      <x:c r="F21" s="32"/>
      <x:c r="G21" s="32"/>
      <x:c r="H21" s="18" t="str">
        <x:v>Does the pattern continue?</x:v>
      </x:c>
      <x:c r="I21" s="18" t="str">
        <x:v>Copy the pattern; do not hard-code the answer.</x:v>
      </x:c>
      <x:c r="J21" s="30" t="str">
        <x:f>IF(COUNTBLANK(E21:G21)&gt;0,"Build all three formulas for Year 6.",IF(AND(ABS(E21-(($B$13-$D$13)/$F$13))&lt;0.01,ABS(F21-(E21*A21))&lt;0.01,ABS(G21-($B$13-F21))&lt;0.01),"Correct - Year 6 complete","Check expense, accumulated depreciation, and book value."))</x:f>
        <x:v>Build all three formulas for Year 6.</x:v>
      </x:c>
    </x:row>
    <x:row r="23">
      <x:c r="A23" s="9" t="str">
        <x:v>Self-check progress</x:v>
      </x:c>
      <x:c r="B23" s="9" t="str">
        <x:v>Self-check progress</x:v>
      </x:c>
      <x:c r="C23" s="9" t="str">
        <x:v>Self-check progress</x:v>
      </x:c>
      <x:c r="D23" s="9" t="str">
        <x:v>Self-check progress</x:v>
      </x:c>
      <x:c r="E23" s="30" t="str">
        <x:f>COUNTIF(J7:J21,"Correct*")&amp;" of 9 checks complete"</x:f>
        <x:v>0 of 9 checks complete</x:v>
      </x:c>
      <x:c r="F23" s="30"/>
      <x:c r="G23" s="30"/>
      <x:c r="H23" s="30" t="str">
        <x:v>Ending check: Year 6 book value should equal residual value.</x:v>
      </x:c>
      <x:c r="I23" s="30" t="str">
        <x:v>Ending check: Year 6 book value should equal residual value.</x:v>
      </x:c>
      <x:c r="J23" s="30" t="str">
        <x:v>Ending check: Year 6 book value should equal residual value.</x:v>
      </x:c>
    </x:row>
  </x:sheetData>
  <x:mergeCells>
    <x:mergeCell ref="A1:J1"/>
    <x:mergeCell ref="A2:J2"/>
    <x:mergeCell ref="A4:J4"/>
    <x:mergeCell ref="A11:J11"/>
    <x:mergeCell ref="A23:D23"/>
    <x:mergeCell ref="E23:G23"/>
    <x:mergeCell ref="H23:J2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329999923706055" hidden="0" customWidth="1"/>
    <x:col min="2" max="2" width="13.890000343322754" hidden="0" customWidth="1"/>
    <x:col min="3" max="3" width="19.440000534057617" hidden="0" customWidth="1"/>
    <x:col min="4" max="4" width="16.670000076293945" hidden="0" customWidth="1"/>
    <x:col min="5" max="5" width="17.219999313354492" hidden="0" customWidth="1"/>
    <x:col min="6" max="6" width="18.329999923706055" hidden="0" customWidth="1"/>
    <x:col min="7" max="7" width="13.890000343322754" hidden="0" customWidth="1"/>
    <x:col min="8" max="8" width="13.890000343322754" hidden="0" customWidth="1"/>
    <x:col min="9" max="9" width="13.890000343322754" hidden="0" customWidth="1"/>
    <x:col min="10" max="10" width="13.890000343322754" hidden="0" customWidth="1"/>
  </x:cols>
  <x:sheetData>
    <x:row r="1">
      <x:c r="A1" s="3" t="str">
        <x:v>M05 - Class Challenge</x:v>
      </x:c>
      <x:c r="B1" s="3" t="str">
        <x:v>M05 - Class Challenge</x:v>
      </x:c>
      <x:c r="C1" s="3" t="str">
        <x:v>M05 - Class Challenge</x:v>
      </x:c>
      <x:c r="D1" s="3" t="str">
        <x:v>M05 - Class Challenge</x:v>
      </x:c>
      <x:c r="E1" s="3" t="str">
        <x:v>M05 - Class Challenge</x:v>
      </x:c>
      <x:c r="F1" s="3" t="str">
        <x:v>M05 - Class Challenge</x:v>
      </x:c>
      <x:c r="G1" s="3" t="str">
        <x:v>M05 - Class Challenge</x:v>
      </x:c>
      <x:c r="H1" s="3" t="str">
        <x:v>M05 - Class Challenge</x:v>
      </x:c>
      <x:c r="I1" s="3" t="str">
        <x:v>M05 - Class Challenge</x:v>
      </x:c>
      <x:c r="J1" s="3" t="str">
        <x:v>M05 - Class Challenge</x:v>
      </x:c>
    </x:row>
    <x:row r="2">
      <x:c r="A2" s="6" t="str">
        <x:v>Independent evidence: build formulas in blue cells, make a recommendation, and name one limitation.</x:v>
      </x:c>
      <x:c r="B2" s="6" t="str">
        <x:v>Independent evidence: build formulas in blue cells, make a recommendation, and name one limitation.</x:v>
      </x:c>
      <x:c r="C2" s="6" t="str">
        <x:v>Independent evidence: build formulas in blue cells, make a recommendation, and name one limitation.</x:v>
      </x:c>
      <x:c r="D2" s="6" t="str">
        <x:v>Independent evidence: build formulas in blue cells, make a recommendation, and name one limitation.</x:v>
      </x:c>
      <x:c r="E2" s="6" t="str">
        <x:v>Independent evidence: build formulas in blue cells, make a recommendation, and name one limitation.</x:v>
      </x:c>
      <x:c r="F2" s="6" t="str">
        <x:v>Independent evidence: build formulas in blue cells, make a recommendation, and name one limitation.</x:v>
      </x:c>
      <x:c r="G2" s="6" t="str">
        <x:v>Independent evidence: build formulas in blue cells, make a recommendation, and name one limitation.</x:v>
      </x:c>
      <x:c r="H2" s="6" t="str">
        <x:v>Independent evidence: build formulas in blue cells, make a recommendation, and name one limitation.</x:v>
      </x:c>
      <x:c r="I2" s="6" t="str">
        <x:v>Independent evidence: build formulas in blue cells, make a recommendation, and name one limitation.</x:v>
      </x:c>
      <x:c r="J2" s="6" t="str">
        <x:v>Independent evidence: build formulas in blue cells, make a recommendation, and name one limitation.</x:v>
      </x:c>
    </x:row>
    <x:row r="4">
      <x:c r="A4" s="9" t="str">
        <x:v>Decision 1 - Staffing Under Fixed Coverage</x:v>
      </x:c>
      <x:c r="B4" s="9" t="str">
        <x:v>Decision 1 - Staffing Under Fixed Coverage</x:v>
      </x:c>
      <x:c r="C4" s="9" t="str">
        <x:v>Decision 1 - Staffing Under Fixed Coverage</x:v>
      </x:c>
      <x:c r="D4" s="9" t="str">
        <x:v>Decision 1 - Staffing Under Fixed Coverage</x:v>
      </x:c>
      <x:c r="E4" s="9" t="str">
        <x:v>Decision 1 - Staffing Under Fixed Coverage</x:v>
      </x:c>
      <x:c r="F4" s="9" t="str">
        <x:v>Decision 1 - Staffing Under Fixed Coverage</x:v>
      </x:c>
      <x:c r="G4" s="9" t="str">
        <x:v>Decision 1 - Staffing Under Fixed Coverage</x:v>
      </x:c>
      <x:c r="H4" s="9" t="str">
        <x:v>Decision 1 - Staffing Under Fixed Coverage</x:v>
      </x:c>
      <x:c r="I4" s="9" t="str">
        <x:v>Decision 1 - Staffing Under Fixed Coverage</x:v>
      </x:c>
      <x:c r="J4" s="9" t="str">
        <x:v>Decision 1 - Staffing Under Fixed Coverage</x:v>
      </x:c>
    </x:row>
    <x:row r="6">
      <x:c r="A6" s="14" t="str">
        <x:v>Input</x:v>
      </x:c>
      <x:c r="B6" s="14" t="str">
        <x:v>Value</x:v>
      </x:c>
      <x:c r="C6" s="14" t="str">
        <x:v>Why it stays visible</x:v>
      </x:c>
      <x:c r="D6" s="14"/>
    </x:row>
    <x:row r="7">
      <x:c r="A7" s="18" t="str">
        <x:v>Required weekly service hours</x:v>
      </x:c>
      <x:c r="B7" s="23" t="n">
        <x:v>387</x:v>
      </x:c>
      <x:c r="C7" s="18" t="str">
        <x:v>Both options must provide the same coverage</x:v>
      </x:c>
      <x:c r="D7" s="18"/>
    </x:row>
    <x:row r="8">
      <x:c r="A8" s="18" t="str">
        <x:v>Hourly wage</x:v>
      </x:c>
      <x:c r="B8" s="31" t="n">
        <x:v>44</x:v>
      </x:c>
      <x:c r="C8" s="18" t="str">
        <x:v>Use the same wage in both options</x:v>
      </x:c>
      <x:c r="D8" s="18"/>
    </x:row>
    <x:row r="9">
      <x:c r="A9" s="18" t="str">
        <x:v>Overtime multiplier</x:v>
      </x:c>
      <x:c r="B9" s="23" t="n">
        <x:v>1.5</x:v>
      </x:c>
      <x:c r="C9" s="18" t="str">
        <x:v>Premium begins above 40 hours per nurse</x:v>
      </x:c>
      <x:c r="D9" s="18"/>
    </x:row>
    <x:row r="10">
      <x:c r="A10" s="18" t="str">
        <x:v>Current / alternative team</x:v>
      </x:c>
      <x:c r="B10" s="23" t="str">
        <x:v>9 / 10</x:v>
      </x:c>
      <x:c r="C10" s="18" t="str">
        <x:v>Compare two team sizes without changing required hours</x:v>
      </x:c>
      <x:c r="D10" s="18"/>
    </x:row>
    <x:row r="12">
      <x:c r="A12" s="14" t="str">
        <x:v>Option</x:v>
      </x:c>
      <x:c r="B12" s="14" t="str">
        <x:v>Team size</x:v>
      </x:c>
      <x:c r="C12" s="14" t="str">
        <x:v>Average hours / nurse</x:v>
      </x:c>
      <x:c r="D12" s="14" t="str">
        <x:v>Overtime hours</x:v>
      </x:c>
      <x:c r="E12" s="14" t="str">
        <x:v>Weekly wages</x:v>
      </x:c>
      <x:c r="F12" s="14" t="str">
        <x:v>Annualized wages</x:v>
      </x:c>
    </x:row>
    <x:row r="13">
      <x:c r="A13" s="18" t="str">
        <x:v>Current team</x:v>
      </x:c>
      <x:c r="B13" s="23" t="n">
        <x:v>9</x:v>
      </x:c>
      <x:c r="C13" s="28"/>
      <x:c r="D13" s="28"/>
      <x:c r="E13" s="37"/>
      <x:c r="F13" s="37"/>
    </x:row>
    <x:row r="14">
      <x:c r="A14" s="18" t="str">
        <x:v>Alternative team</x:v>
      </x:c>
      <x:c r="B14" s="23" t="n">
        <x:v>10</x:v>
      </x:c>
      <x:c r="C14" s="28"/>
      <x:c r="D14" s="28"/>
      <x:c r="E14" s="37"/>
      <x:c r="F14" s="37"/>
    </x:row>
    <x:row r="16">
      <x:c r="A16" s="9" t="str">
        <x:v>Staffing recommendation</x:v>
      </x:c>
      <x:c r="B16" s="9" t="str">
        <x:v>Staffing recommendation</x:v>
      </x:c>
      <x:c r="C16" s="9" t="str">
        <x:v>Staffing recommendation</x:v>
      </x:c>
      <x:c r="D16" s="9" t="str">
        <x:v>Staffing recommendation</x:v>
      </x:c>
      <x:c r="E16" s="9" t="str">
        <x:v>Staffing recommendation</x:v>
      </x:c>
      <x:c r="F16" s="9" t="str">
        <x:v>Staffing recommendation</x:v>
      </x:c>
      <x:c r="G16" s="9" t="str">
        <x:v>Staffing recommendation</x:v>
      </x:c>
      <x:c r="H16" s="9" t="str">
        <x:v>Staffing recommendation</x:v>
      </x:c>
      <x:c r="I16" s="9" t="str">
        <x:v>Staffing recommendation</x:v>
      </x:c>
      <x:c r="J16" s="9" t="str">
        <x:v>Staffing recommendation</x:v>
      </x:c>
    </x:row>
    <x:row r="17" ht="34.5" customHeight="1">
      <x:c r="A17" s="28" t="str">
        <x:v>Which option has lower wage cost while preserving 387 hours? Cite the weekly and annualized difference, then name one excluded factor that could change the recommendation.</x:v>
      </x:c>
      <x:c r="B17" s="28" t="str">
        <x:v>Which option has lower wage cost while preserving 387 hours? Cite the weekly and annualized difference, then name one excluded factor that could change the recommendation.</x:v>
      </x:c>
      <x:c r="C17" s="28" t="str">
        <x:v>Which option has lower wage cost while preserving 387 hours? Cite the weekly and annualized difference, then name one excluded factor that could change the recommendation.</x:v>
      </x:c>
      <x:c r="D17" s="28" t="str">
        <x:v>Which option has lower wage cost while preserving 387 hours? Cite the weekly and annualized difference, then name one excluded factor that could change the recommendation.</x:v>
      </x:c>
      <x:c r="E17" s="28" t="str">
        <x:v>Which option has lower wage cost while preserving 387 hours? Cite the weekly and annualized difference, then name one excluded factor that could change the recommendation.</x:v>
      </x:c>
      <x:c r="F17" s="28" t="str">
        <x:v>Which option has lower wage cost while preserving 387 hours? Cite the weekly and annualized difference, then name one excluded factor that could change the recommendation.</x:v>
      </x:c>
      <x:c r="G17" s="28" t="str">
        <x:v>Which option has lower wage cost while preserving 387 hours? Cite the weekly and annualized difference, then name one excluded factor that could change the recommendation.</x:v>
      </x:c>
      <x:c r="H17" s="28" t="str">
        <x:v>Which option has lower wage cost while preserving 387 hours? Cite the weekly and annualized difference, then name one excluded factor that could change the recommendation.</x:v>
      </x:c>
      <x:c r="I17" s="28" t="str">
        <x:v>Which option has lower wage cost while preserving 387 hours? Cite the weekly and annualized difference, then name one excluded factor that could change the recommendation.</x:v>
      </x:c>
      <x:c r="J17" s="28" t="str">
        <x:v>Which option has lower wage cost while preserving 387 hours? Cite the weekly and annualized difference, then name one excluded factor that could change the recommendation.</x:v>
      </x:c>
    </x:row>
    <x:row r="18" ht="34.5" customHeight="1">
      <x:c r="A18" s="28" t="str">
        <x:v>Which option has lower wage cost while preserving 387 hours? Cite the weekly and annualized difference, then name one excluded factor that could change the recommendation.</x:v>
      </x:c>
      <x:c r="B18" s="28" t="str">
        <x:v>Which option has lower wage cost while preserving 387 hours? Cite the weekly and annualized difference, then name one excluded factor that could change the recommendation.</x:v>
      </x:c>
      <x:c r="C18" s="28" t="str">
        <x:v>Which option has lower wage cost while preserving 387 hours? Cite the weekly and annualized difference, then name one excluded factor that could change the recommendation.</x:v>
      </x:c>
      <x:c r="D18" s="28" t="str">
        <x:v>Which option has lower wage cost while preserving 387 hours? Cite the weekly and annualized difference, then name one excluded factor that could change the recommendation.</x:v>
      </x:c>
      <x:c r="E18" s="28" t="str">
        <x:v>Which option has lower wage cost while preserving 387 hours? Cite the weekly and annualized difference, then name one excluded factor that could change the recommendation.</x:v>
      </x:c>
      <x:c r="F18" s="28" t="str">
        <x:v>Which option has lower wage cost while preserving 387 hours? Cite the weekly and annualized difference, then name one excluded factor that could change the recommendation.</x:v>
      </x:c>
      <x:c r="G18" s="28" t="str">
        <x:v>Which option has lower wage cost while preserving 387 hours? Cite the weekly and annualized difference, then name one excluded factor that could change the recommendation.</x:v>
      </x:c>
      <x:c r="H18" s="28" t="str">
        <x:v>Which option has lower wage cost while preserving 387 hours? Cite the weekly and annualized difference, then name one excluded factor that could change the recommendation.</x:v>
      </x:c>
      <x:c r="I18" s="28" t="str">
        <x:v>Which option has lower wage cost while preserving 387 hours? Cite the weekly and annualized difference, then name one excluded factor that could change the recommendation.</x:v>
      </x:c>
      <x:c r="J18" s="28" t="str">
        <x:v>Which option has lower wage cost while preserving 387 hours? Cite the weekly and annualized difference, then name one excluded factor that could change the recommendation.</x:v>
      </x:c>
    </x:row>
    <x:row r="20">
      <x:c r="A20" s="9" t="str">
        <x:v>Decision 2 - Equipment Cost and Replacement Planning</x:v>
      </x:c>
      <x:c r="B20" s="9" t="str">
        <x:v>Decision 2 - Equipment Cost and Replacement Planning</x:v>
      </x:c>
      <x:c r="C20" s="9" t="str">
        <x:v>Decision 2 - Equipment Cost and Replacement Planning</x:v>
      </x:c>
      <x:c r="D20" s="9" t="str">
        <x:v>Decision 2 - Equipment Cost and Replacement Planning</x:v>
      </x:c>
      <x:c r="E20" s="9" t="str">
        <x:v>Decision 2 - Equipment Cost and Replacement Planning</x:v>
      </x:c>
      <x:c r="F20" s="9" t="str">
        <x:v>Decision 2 - Equipment Cost and Replacement Planning</x:v>
      </x:c>
      <x:c r="G20" s="9" t="str">
        <x:v>Decision 2 - Equipment Cost and Replacement Planning</x:v>
      </x:c>
      <x:c r="H20" s="9" t="str">
        <x:v>Decision 2 - Equipment Cost and Replacement Planning</x:v>
      </x:c>
      <x:c r="I20" s="9" t="str">
        <x:v>Decision 2 - Equipment Cost and Replacement Planning</x:v>
      </x:c>
      <x:c r="J20" s="9" t="str">
        <x:v>Decision 2 - Equipment Cost and Replacement Planning</x:v>
      </x:c>
    </x:row>
    <x:row r="22">
      <x:c r="A22" s="14" t="str">
        <x:v>Input</x:v>
      </x:c>
      <x:c r="B22" s="14" t="str">
        <x:v>Base case</x:v>
      </x:c>
      <x:c r="C22" s="14" t="str">
        <x:v>Alternative case</x:v>
      </x:c>
      <x:c r="D22" s="14" t="str">
        <x:v>Direction prediction</x:v>
      </x:c>
      <x:c r="E22" s="14" t="str">
        <x:v>Base formula</x:v>
      </x:c>
      <x:c r="F22" s="14" t="str">
        <x:v>Alternative formula</x:v>
      </x:c>
    </x:row>
    <x:row r="23">
      <x:c r="A23" s="18" t="str">
        <x:v>Asset cost</x:v>
      </x:c>
      <x:c r="B23" s="31" t="n">
        <x:v>84000</x:v>
      </x:c>
      <x:c r="C23" s="31" t="n">
        <x:v>84000</x:v>
      </x:c>
      <x:c r="D23" s="18" t="str">
        <x:v>No change</x:v>
      </x:c>
      <x:c r="E23" s="28"/>
      <x:c r="F23" s="28"/>
    </x:row>
    <x:row r="24">
      <x:c r="A24" s="18" t="str">
        <x:v>Residual value</x:v>
      </x:c>
      <x:c r="B24" s="31" t="n">
        <x:v>12000</x:v>
      </x:c>
      <x:c r="C24" s="31" t="n">
        <x:v>12000</x:v>
      </x:c>
      <x:c r="D24" s="18" t="str">
        <x:v>No change</x:v>
      </x:c>
      <x:c r="E24" s="28"/>
      <x:c r="F24" s="28"/>
    </x:row>
    <x:row r="25">
      <x:c r="A25" s="18" t="str">
        <x:v>Useful life</x:v>
      </x:c>
      <x:c r="B25" s="23" t="n">
        <x:v>6</x:v>
      </x:c>
      <x:c r="C25" s="23" t="n">
        <x:v>8</x:v>
      </x:c>
      <x:c r="D25" s="18" t="str">
        <x:v>Longer life should lower annual depreciation</x:v>
      </x:c>
      <x:c r="E25" s="28"/>
      <x:c r="F25" s="28"/>
    </x:row>
    <x:row r="27">
      <x:c r="A27" s="14" t="str">
        <x:v>Year</x:v>
      </x:c>
      <x:c r="B27" s="14" t="str">
        <x:v>Depreciation expense</x:v>
      </x:c>
      <x:c r="C27" s="14" t="str">
        <x:v>Accumulated depreciation</x:v>
      </x:c>
      <x:c r="D27" s="14" t="str">
        <x:v>Book value</x:v>
      </x:c>
      <x:c r="F27" s="9" t="str">
        <x:v>Equipment explanation</x:v>
      </x:c>
      <x:c r="G27" s="9" t="str">
        <x:v>Equipment explanation</x:v>
      </x:c>
      <x:c r="H27" s="9" t="str">
        <x:v>Equipment explanation</x:v>
      </x:c>
      <x:c r="I27" s="9" t="str">
        <x:v>Equipment explanation</x:v>
      </x:c>
      <x:c r="J27" s="9" t="str">
        <x:v>Equipment explanation</x:v>
      </x:c>
    </x:row>
    <x:row r="28" ht="31.5" customHeight="1">
      <x:c r="A28" s="18" t="n">
        <x:v>1</x:v>
      </x:c>
      <x:c r="B28" s="37"/>
      <x:c r="C28" s="37"/>
      <x:c r="D28" s="37"/>
      <x:c r="F28" s="28" t="str">
        <x:v>Build the complete six-year base-case schedule. Then compare annual depreciation under the six-year and eight-year assumptions. Explain why book value helps with planning but cannot determine replacement timing by itself.</x:v>
      </x:c>
      <x:c r="G28" s="28" t="str">
        <x:v>Build the complete six-year base-case schedule. Then compare annual depreciation under the six-year and eight-year assumptions. Explain why book value helps with planning but cannot determine replacement timing by itself.</x:v>
      </x:c>
      <x:c r="H28" s="28" t="str">
        <x:v>Build the complete six-year base-case schedule. Then compare annual depreciation under the six-year and eight-year assumptions. Explain why book value helps with planning but cannot determine replacement timing by itself.</x:v>
      </x:c>
      <x:c r="I28" s="28" t="str">
        <x:v>Build the complete six-year base-case schedule. Then compare annual depreciation under the six-year and eight-year assumptions. Explain why book value helps with planning but cannot determine replacement timing by itself.</x:v>
      </x:c>
      <x:c r="J28" s="28" t="str">
        <x:v>Build the complete six-year base-case schedule. Then compare annual depreciation under the six-year and eight-year assumptions. Explain why book value helps with planning but cannot determine replacement timing by itself.</x:v>
      </x:c>
    </x:row>
    <x:row r="29" ht="31.5" customHeight="1">
      <x:c r="A29" s="18" t="n">
        <x:v>2</x:v>
      </x:c>
      <x:c r="B29" s="37"/>
      <x:c r="C29" s="37"/>
      <x:c r="D29" s="37"/>
      <x:c r="F29" s="28" t="str">
        <x:v>Build the complete six-year base-case schedule. Then compare annual depreciation under the six-year and eight-year assumptions. Explain why book value helps with planning but cannot determine replacement timing by itself.</x:v>
      </x:c>
      <x:c r="G29" s="28" t="str">
        <x:v>Build the complete six-year base-case schedule. Then compare annual depreciation under the six-year and eight-year assumptions. Explain why book value helps with planning but cannot determine replacement timing by itself.</x:v>
      </x:c>
      <x:c r="H29" s="28" t="str">
        <x:v>Build the complete six-year base-case schedule. Then compare annual depreciation under the six-year and eight-year assumptions. Explain why book value helps with planning but cannot determine replacement timing by itself.</x:v>
      </x:c>
      <x:c r="I29" s="28" t="str">
        <x:v>Build the complete six-year base-case schedule. Then compare annual depreciation under the six-year and eight-year assumptions. Explain why book value helps with planning but cannot determine replacement timing by itself.</x:v>
      </x:c>
      <x:c r="J29" s="28" t="str">
        <x:v>Build the complete six-year base-case schedule. Then compare annual depreciation under the six-year and eight-year assumptions. Explain why book value helps with planning but cannot determine replacement timing by itself.</x:v>
      </x:c>
    </x:row>
    <x:row r="30" ht="31.5" customHeight="1">
      <x:c r="A30" s="18" t="n">
        <x:v>3</x:v>
      </x:c>
      <x:c r="B30" s="37"/>
      <x:c r="C30" s="37"/>
      <x:c r="D30" s="37"/>
      <x:c r="F30" s="28" t="str">
        <x:v>Build the complete six-year base-case schedule. Then compare annual depreciation under the six-year and eight-year assumptions. Explain why book value helps with planning but cannot determine replacement timing by itself.</x:v>
      </x:c>
      <x:c r="G30" s="28" t="str">
        <x:v>Build the complete six-year base-case schedule. Then compare annual depreciation under the six-year and eight-year assumptions. Explain why book value helps with planning but cannot determine replacement timing by itself.</x:v>
      </x:c>
      <x:c r="H30" s="28" t="str">
        <x:v>Build the complete six-year base-case schedule. Then compare annual depreciation under the six-year and eight-year assumptions. Explain why book value helps with planning but cannot determine replacement timing by itself.</x:v>
      </x:c>
      <x:c r="I30" s="28" t="str">
        <x:v>Build the complete six-year base-case schedule. Then compare annual depreciation under the six-year and eight-year assumptions. Explain why book value helps with planning but cannot determine replacement timing by itself.</x:v>
      </x:c>
      <x:c r="J30" s="28" t="str">
        <x:v>Build the complete six-year base-case schedule. Then compare annual depreciation under the six-year and eight-year assumptions. Explain why book value helps with planning but cannot determine replacement timing by itself.</x:v>
      </x:c>
    </x:row>
    <x:row r="31" ht="31.5" customHeight="1">
      <x:c r="A31" s="18" t="n">
        <x:v>4</x:v>
      </x:c>
      <x:c r="B31" s="37"/>
      <x:c r="C31" s="37"/>
      <x:c r="D31" s="37"/>
      <x:c r="F31" s="28" t="str">
        <x:v>Build the complete six-year base-case schedule. Then compare annual depreciation under the six-year and eight-year assumptions. Explain why book value helps with planning but cannot determine replacement timing by itself.</x:v>
      </x:c>
      <x:c r="G31" s="28" t="str">
        <x:v>Build the complete six-year base-case schedule. Then compare annual depreciation under the six-year and eight-year assumptions. Explain why book value helps with planning but cannot determine replacement timing by itself.</x:v>
      </x:c>
      <x:c r="H31" s="28" t="str">
        <x:v>Build the complete six-year base-case schedule. Then compare annual depreciation under the six-year and eight-year assumptions. Explain why book value helps with planning but cannot determine replacement timing by itself.</x:v>
      </x:c>
      <x:c r="I31" s="28" t="str">
        <x:v>Build the complete six-year base-case schedule. Then compare annual depreciation under the six-year and eight-year assumptions. Explain why book value helps with planning but cannot determine replacement timing by itself.</x:v>
      </x:c>
      <x:c r="J31" s="28" t="str">
        <x:v>Build the complete six-year base-case schedule. Then compare annual depreciation under the six-year and eight-year assumptions. Explain why book value helps with planning but cannot determine replacement timing by itself.</x:v>
      </x:c>
    </x:row>
    <x:row r="32" ht="31.5" customHeight="1">
      <x:c r="A32" s="18" t="n">
        <x:v>5</x:v>
      </x:c>
      <x:c r="B32" s="37"/>
      <x:c r="C32" s="37"/>
      <x:c r="D32" s="37"/>
      <x:c r="F32" s="28" t="str">
        <x:v>Build the complete six-year base-case schedule. Then compare annual depreciation under the six-year and eight-year assumptions. Explain why book value helps with planning but cannot determine replacement timing by itself.</x:v>
      </x:c>
      <x:c r="G32" s="28" t="str">
        <x:v>Build the complete six-year base-case schedule. Then compare annual depreciation under the six-year and eight-year assumptions. Explain why book value helps with planning but cannot determine replacement timing by itself.</x:v>
      </x:c>
      <x:c r="H32" s="28" t="str">
        <x:v>Build the complete six-year base-case schedule. Then compare annual depreciation under the six-year and eight-year assumptions. Explain why book value helps with planning but cannot determine replacement timing by itself.</x:v>
      </x:c>
      <x:c r="I32" s="28" t="str">
        <x:v>Build the complete six-year base-case schedule. Then compare annual depreciation under the six-year and eight-year assumptions. Explain why book value helps with planning but cannot determine replacement timing by itself.</x:v>
      </x:c>
      <x:c r="J32" s="28" t="str">
        <x:v>Build the complete six-year base-case schedule. Then compare annual depreciation under the six-year and eight-year assumptions. Explain why book value helps with planning but cannot determine replacement timing by itself.</x:v>
      </x:c>
    </x:row>
    <x:row r="33" ht="31.5" customHeight="1">
      <x:c r="A33" s="18" t="n">
        <x:v>6</x:v>
      </x:c>
      <x:c r="B33" s="37"/>
      <x:c r="C33" s="37"/>
      <x:c r="D33" s="37"/>
      <x:c r="F33" s="28" t="str">
        <x:v>Build the complete six-year base-case schedule. Then compare annual depreciation under the six-year and eight-year assumptions. Explain why book value helps with planning but cannot determine replacement timing by itself.</x:v>
      </x:c>
      <x:c r="G33" s="28" t="str">
        <x:v>Build the complete six-year base-case schedule. Then compare annual depreciation under the six-year and eight-year assumptions. Explain why book value helps with planning but cannot determine replacement timing by itself.</x:v>
      </x:c>
      <x:c r="H33" s="28" t="str">
        <x:v>Build the complete six-year base-case schedule. Then compare annual depreciation under the six-year and eight-year assumptions. Explain why book value helps with planning but cannot determine replacement timing by itself.</x:v>
      </x:c>
      <x:c r="I33" s="28" t="str">
        <x:v>Build the complete six-year base-case schedule. Then compare annual depreciation under the six-year and eight-year assumptions. Explain why book value helps with planning but cannot determine replacement timing by itself.</x:v>
      </x:c>
      <x:c r="J33" s="28" t="str">
        <x:v>Build the complete six-year base-case schedule. Then compare annual depreciation under the six-year and eight-year assumptions. Explain why book value helps with planning but cannot determine replacement timing by itself.</x:v>
      </x:c>
    </x:row>
    <x:row r="35">
      <x:c r="A35" s="9" t="str">
        <x:v>Submission Evidence</x:v>
      </x:c>
      <x:c r="B35" s="9" t="str">
        <x:v>Submission Evidence</x:v>
      </x:c>
      <x:c r="C35" s="9" t="str">
        <x:v>Submission Evidence</x:v>
      </x:c>
      <x:c r="D35" s="9" t="str">
        <x:v>Submission Evidence</x:v>
      </x:c>
      <x:c r="E35" s="9" t="str">
        <x:v>Submission Evidence</x:v>
      </x:c>
      <x:c r="F35" s="9" t="str">
        <x:v>Submission Evidence</x:v>
      </x:c>
      <x:c r="G35" s="9" t="str">
        <x:v>Submission Evidence</x:v>
      </x:c>
      <x:c r="H35" s="9" t="str">
        <x:v>Submission Evidence</x:v>
      </x:c>
      <x:c r="I35" s="9" t="str">
        <x:v>Submission Evidence</x:v>
      </x:c>
      <x:c r="J35" s="9" t="str">
        <x:v>Submission Evidence</x:v>
      </x:c>
    </x:row>
    <x:row r="37">
      <x:c r="A37" s="14" t="str">
        <x:v>Required item</x:v>
      </x:c>
      <x:c r="B37" s="14" t="str">
        <x:v>What to submit</x:v>
      </x:c>
    </x:row>
    <x:row r="38">
      <x:c r="A38" s="18" t="str">
        <x:v>Staffing</x:v>
      </x:c>
      <x:c r="B38" s="18" t="str">
        <x:v>Formula comparison + recommendation + one missing factor</x:v>
      </x:c>
    </x:row>
    <x:row r="39">
      <x:c r="A39" s="18" t="str">
        <x:v>Equipment</x:v>
      </x:c>
      <x:c r="B39" s="18" t="str">
        <x:v>Six-year schedule + direction comparison + one replacement limitation</x:v>
      </x:c>
    </x:row>
    <x:row r="40">
      <x:c r="A40" s="18" t="str">
        <x:v>Quality check</x:v>
      </x:c>
      <x:c r="B40" s="18" t="str">
        <x:v>Both staffing options preserve required hours; ending book value equals residual value</x:v>
      </x:c>
    </x:row>
  </x:sheetData>
  <x:mergeCells>
    <x:mergeCell ref="A1:J1"/>
    <x:mergeCell ref="A2:J2"/>
    <x:mergeCell ref="A4:J4"/>
    <x:mergeCell ref="A16:J16"/>
    <x:mergeCell ref="A17:J18"/>
    <x:mergeCell ref="A20:J20"/>
    <x:mergeCell ref="F27:J27"/>
    <x:mergeCell ref="F28:J33"/>
    <x:mergeCell ref="A35:J35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46.66999816894531" hidden="0" customWidth="1"/>
    <x:col min="3" max="3" width="38.88999938964844" hidden="0" customWidth="1"/>
    <x:col min="4" max="4" width="38.88999938964844" hidden="0" customWidth="1"/>
  </x:cols>
  <x:sheetData>
    <x:row r="1">
      <x:c r="A1" s="3" t="str">
        <x:v>Formula Reference Card</x:v>
      </x:c>
      <x:c r="B1" s="3" t="str">
        <x:v>Formula Reference Card</x:v>
      </x:c>
      <x:c r="C1" s="3" t="str">
        <x:v>Formula Reference Card</x:v>
      </x:c>
      <x:c r="D1" s="3" t="str">
        <x:v>Formula Reference Card</x:v>
      </x:c>
    </x:row>
    <x:row r="2">
      <x:c r="A2" s="6" t="str">
        <x:v>Use only after deciding which business relationship fits the question.</x:v>
      </x:c>
      <x:c r="B2" s="6" t="str">
        <x:v>Use only after deciding which business relationship fits the question.</x:v>
      </x:c>
      <x:c r="C2" s="6" t="str">
        <x:v>Use only after deciding which business relationship fits the question.</x:v>
      </x:c>
      <x:c r="D2" s="6" t="str">
        <x:v>Use only after deciding which business relationship fits the question.</x:v>
      </x:c>
    </x:row>
    <x:row r="4">
      <x:c r="A4" s="14" t="str">
        <x:v>Concept</x:v>
      </x:c>
      <x:c r="B4" s="14" t="str">
        <x:v>Excel pattern</x:v>
      </x:c>
      <x:c r="C4" s="14" t="str">
        <x:v>Plain-English meaning</x:v>
      </x:c>
      <x:c r="D4" s="14" t="str">
        <x:v>Watch out for</x:v>
      </x:c>
    </x:row>
    <x:row r="5" ht="36" customHeight="1">
      <x:c r="A5" s="18" t="str">
        <x:v>Salary per period</x:v>
      </x:c>
      <x:c r="B5" s="25" t="str">
        <x:v>=AnnualSalary/PayPeriods</x:v>
      </x:c>
      <x:c r="C5" s="18" t="str">
        <x:v>Converts an annual salary into one check.</x:v>
      </x:c>
      <x:c r="D5" s="18" t="str">
        <x:v>Biweekly is 26; semimonthly is 24.</x:v>
      </x:c>
    </x:row>
    <x:row r="6" ht="36" customHeight="1">
      <x:c r="A6" s="18" t="str">
        <x:v>Regular pay</x:v>
      </x:c>
      <x:c r="B6" s="25" t="str">
        <x:v>=MIN(Hours,40)*Rate</x:v>
      </x:c>
      <x:c r="C6" s="18" t="str">
        <x:v>Caps regular hours at the threshold.</x:v>
      </x:c>
      <x:c r="D6" s="18" t="str">
        <x:v>Do not pay overtime hours twice.</x:v>
      </x:c>
    </x:row>
    <x:row r="7" ht="36" customHeight="1">
      <x:c r="A7" s="18" t="str">
        <x:v>Gross hourly pay</x:v>
      </x:c>
      <x:c r="B7" s="25" t="str">
        <x:v>=MIN(Hours,40)*Rate+MAX(Hours-40,0)*Rate*OTMultiplier</x:v>
      </x:c>
      <x:c r="C7" s="18" t="str">
        <x:v>Adds regular and overtime pay.</x:v>
      </x:c>
      <x:c r="D7" s="18" t="str">
        <x:v>Gross pay is not take-home pay.</x:v>
      </x:c>
    </x:row>
    <x:row r="8" ht="36" customHeight="1">
      <x:c r="A8" s="18" t="str">
        <x:v>Average hours</x:v>
      </x:c>
      <x:c r="B8" s="25" t="str">
        <x:v>=RequiredHours/TeamSize</x:v>
      </x:c>
      <x:c r="C8" s="18" t="str">
        <x:v>Spreads fixed service hours across a team.</x:v>
      </x:c>
      <x:c r="D8" s="18" t="str">
        <x:v>Hold required hours constant when comparing teams.</x:v>
      </x:c>
    </x:row>
    <x:row r="9" ht="36" customHeight="1">
      <x:c r="A9" s="18" t="str">
        <x:v>Regular team hours</x:v>
      </x:c>
      <x:c r="B9" s="25" t="str">
        <x:v>=MIN(RequiredHours,TeamSize*40)</x:v>
      </x:c>
      <x:c r="C9" s="18" t="str">
        <x:v>Finds hours paid at the regular rate.</x:v>
      </x:c>
      <x:c r="D9" s="18" t="str">
        <x:v>The team cap changes with team size.</x:v>
      </x:c>
    </x:row>
    <x:row r="10" ht="36" customHeight="1">
      <x:c r="A10" s="18" t="str">
        <x:v>Overtime team hours</x:v>
      </x:c>
      <x:c r="B10" s="25" t="str">
        <x:v>=MAX(RequiredHours-TeamSize*40,0)</x:v>
      </x:c>
      <x:c r="C10" s="18" t="str">
        <x:v>Finds hours above total regular capacity.</x:v>
      </x:c>
      <x:c r="D10" s="18" t="str">
        <x:v>MAX prevents negative overtime.</x:v>
      </x:c>
    </x:row>
    <x:row r="11" ht="36" customHeight="1">
      <x:c r="A11" s="18" t="str">
        <x:v>Team wages</x:v>
      </x:c>
      <x:c r="B11" s="25" t="str">
        <x:v>=RegularHours*Rate+OvertimeHours*Rate*OTMultiplier</x:v>
      </x:c>
      <x:c r="C11" s="18" t="str">
        <x:v>Calculates wage cost for fixed coverage.</x:v>
      </x:c>
      <x:c r="D11" s="18" t="str">
        <x:v>Benefits and hiring costs are outside this formula.</x:v>
      </x:c>
    </x:row>
    <x:row r="12" ht="36" customHeight="1">
      <x:c r="A12" s="18" t="str">
        <x:v>Annual depreciation</x:v>
      </x:c>
      <x:c r="B12" s="25" t="str">
        <x:v>=(Cost-ResidualValue)/UsefulLife</x:v>
      </x:c>
      <x:c r="C12" s="18" t="str">
        <x:v>Spreads depreciable cost evenly.</x:v>
      </x:c>
      <x:c r="D12" s="18" t="str">
        <x:v>Subtract residual value before dividing.</x:v>
      </x:c>
    </x:row>
    <x:row r="13" ht="36" customHeight="1">
      <x:c r="A13" s="18" t="str">
        <x:v>Accumulated depreciation</x:v>
      </x:c>
      <x:c r="B13" s="25" t="str">
        <x:v>=AnnualDepreciation*Year</x:v>
      </x:c>
      <x:c r="C13" s="18" t="str">
        <x:v>Builds the running total through a selected year.</x:v>
      </x:c>
      <x:c r="D13" s="18" t="str">
        <x:v>This is not one year's expense.</x:v>
      </x:c>
    </x:row>
    <x:row r="14" ht="36" customHeight="1">
      <x:c r="A14" s="18" t="str">
        <x:v>Book value</x:v>
      </x:c>
      <x:c r="B14" s="25" t="str">
        <x:v>=Cost-AccumulatedDepreciation</x:v>
      </x:c>
      <x:c r="C14" s="18" t="str">
        <x:v>Calculates remaining recorded value.</x:v>
      </x:c>
      <x:c r="D14" s="18" t="str">
        <x:v>Book value ends at residual and may differ from market value.</x:v>
      </x:c>
    </x:row>
  </x:sheetData>
  <x:mergeCells>
    <x:mergeCell ref="A1:D1"/>
    <x:mergeCell ref="A2:D2"/>
  </x:mergeCells>
  <x:pageMargins left="0.7" right="0.7" top="0.75" bottom="0.75" header="0.3" footer="0.3"/>
</x:worksheet>
</file>