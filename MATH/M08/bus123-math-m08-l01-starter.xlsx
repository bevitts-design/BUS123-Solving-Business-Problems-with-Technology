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894b93940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438c1992a184234"/>
    <x:sheet xmlns:r="http://schemas.openxmlformats.org/officeDocument/2006/relationships" name="Live You Try It" sheetId="2" r:id="R9522befc8067471c"/>
    <x:sheet xmlns:r="http://schemas.openxmlformats.org/officeDocument/2006/relationships" name="Class Challenge" sheetId="3" r:id="Rd4910f2964d84b26"/>
    <x:sheet xmlns:r="http://schemas.openxmlformats.org/officeDocument/2006/relationships" name="FormulaReferenceCard" sheetId="4" r:id="R6bcd7bbd5519440a"/>
  </x:sheets>
</x:workbook>
</file>

<file path=xl/sharedStrings.xml><?xml version="1.0" encoding="utf-8"?>
<x:sst xmlns:x="http://schemas.openxmlformats.org/spreadsheetml/2006/main">
  <x:si>
    <x:t xml:space="preserve">BUS123 · MATH-M08-L01 · Simple Interest, Discounting &amp; Present Value</x:t>
  </x:si>
  <x:si>
    <x:t xml:space="preserve">Meridian Advisory Group — retrieval, Excel practice, decision, and independent transfer</x:t>
  </x:si>
  <x:si>
    <x:t xml:space="preserve">How This Workbook Fits the 75-Minute Lesson</x:t>
  </x:si>
  <x:si>
    <x:t xml:space="preserve">Keep this workbook open during the deck. Use the exact tab and cell ranges named on each activity slide.</x:t>
  </x:si>
  <x:si>
    <x:t xml:space="preserve">Live You Try It is self-graded practice. Build formulas in yellow cells from the blue inputs and read the feedback text.</x:t>
  </x:si>
  <x:si>
    <x:t xml:space="preserve">Class Challenge is pair work: complete the round-trip audit, discount each future payment with one compound-periodic model, and reconcile the total.</x:t>
  </x:si>
  <x:si>
    <x:t xml:space="preserve">Your decision is incomplete until you choose an offer, write a two-sentence defense, and state the model and rate assumption.</x:t>
  </x:si>
  <x:si>
    <x:t xml:space="preserve">FormulaReferenceCard is a syntax reference. It is not a substitute for deciding which model answers the business question.</x:t>
  </x:si>
  <x:si>
    <x:t xml:space="preserve">Tabs and Required Deliverables</x:t>
  </x:si>
  <x:si>
    <x:t xml:space="preserve">Tab</x:t>
  </x:si>
  <x:si>
    <x:t xml:space="preserve">Purpose</x:t>
  </x:si>
  <x:si>
    <x:t xml:space="preserve">Live You Try It</x:t>
  </x:si>
  <x:si>
    <x:t xml:space="preserve">Class Challenge</x:t>
  </x:si>
  <x:si>
    <x:t xml:space="preserve">Build E6 and E12:E18; choose in B19; defend in B20:E21; disclose the model in B22:E23.</x:t>
  </x:si>
  <x:si>
    <x:t xml:space="preserve">FormulaReferenceCard</x:t>
  </x:si>
  <x:si>
    <x:t xml:space="preserve">Selected syntax and model-boundary reminders for time, simple interest, manual PV, and Excel PV/FV.</x:t>
  </x:si>
  <x:si>
    <x:t xml:space="preserve">Color and Evidence Key</x:t>
  </x:si>
  <x:si>
    <x:t xml:space="preserve">Blue cells</x:t>
  </x:si>
  <x:si>
    <x:t xml:space="preserve">Given inputs. Reference these cells rather than typing numbers inside formulas.</x:t>
  </x:si>
  <x:si>
    <x:t xml:space="preserve">Yellow cells</x:t>
  </x:si>
  <x:si>
    <x:t xml:space="preserve">Student formula or response cells.</x:t>
  </x:si>
  <x:si>
    <x:t xml:space="preserve">Green feedback</x:t>
  </x:si>
  <x:si>
    <x:t xml:space="preserve">Correct-value feedback. Also inspect the formula bar to confirm cell references.</x:t>
  </x:si>
  <x:si>
    <x:t xml:space="preserve">Text evidence</x:t>
  </x:si>
  <x:si>
    <x:t xml:space="preserve">Feedback words, formula precedents, reconciliation, and written reasoning carry the meaning; color is secondary.</x:t>
  </x:si>
  <x:si>
    <x:t xml:space="preserve">Live You Try It · Build, Read Feedback, Explain</x:t>
  </x:si>
  <x:si>
    <x:t xml:space="preserve">Blue cells contain transfer inputs. Build formulas in yellow cells; feedback uses words as well as color.</x:t>
  </x:si>
  <x:si>
    <x:t xml:space="preserve">Pause</x:t>
  </x:si>
  <x:si>
    <x:t xml:space="preserve">Slide</x:t>
  </x:si>
  <x:si>
    <x:t xml:space="preserve">What to model</x:t>
  </x:si>
  <x:si>
    <x:t xml:space="preserve">Your formula / result</x:t>
  </x:si>
  <x:si>
    <x:t xml:space="preserve">Feedback</x:t>
  </x:si>
  <x:si>
    <x:t xml:space="preserve">Hint</x:t>
  </x:si>
  <x:si>
    <x:t xml:space="preserve">A1</x:t>
  </x:si>
  <x:si>
    <x:t xml:space="preserve">Exact-interest time in years</x:t>
  </x:si>
  <x:si>
    <x:t xml:space="preserve">Use the specified 365-day basis.</x:t>
  </x:si>
  <x:si>
    <x:t xml:space="preserve">A2</x:t>
  </x:si>
  <x:si>
    <x:t xml:space="preserve">Exact interest on the Meridian note</x:t>
  </x:si>
  <x:si>
    <x:t xml:space="preserve">Reference A1's time result.</x:t>
  </x:si>
  <x:si>
    <x:t xml:space="preserve">A3</x:t>
  </x:si>
  <x:si>
    <x:t xml:space="preserve">Ordinary-interest time in years</x:t>
  </x:si>
  <x:si>
    <x:t xml:space="preserve">Use the specified 360-day basis.</x:t>
  </x:si>
  <x:si>
    <x:t xml:space="preserve">A4</x:t>
  </x:si>
  <x:si>
    <x:t xml:space="preserve">Ordinary interest on the same note</x:t>
  </x:si>
  <x:si>
    <x:t xml:space="preserve">Reference A3's time result.</x:t>
  </x:si>
  <x:si>
    <x:t xml:space="preserve">A5</x:t>
  </x:si>
  <x:si>
    <x:t xml:space="preserve">Extra interest from the 360-day basis</x:t>
  </x:si>
  <x:si>
    <x:t xml:space="preserve">Ordinary interest minus exact interest.</x:t>
  </x:si>
  <x:si>
    <x:t xml:space="preserve">Pause B · Simple Interest Transfer</x:t>
  </x:si>
  <x:si>
    <x:t xml:space="preserve">B1</x:t>
  </x:si>
  <x:si>
    <x:t xml:space="preserve">Convert the 8-month term to years</x:t>
  </x:si>
  <x:si>
    <x:t xml:space="preserve">Months divided by 12.</x:t>
  </x:si>
  <x:si>
    <x:t xml:space="preserve">B2</x:t>
  </x:si>
  <x:si>
    <x:t xml:space="preserve">Calculate simple interest</x:t>
  </x:si>
  <x:si>
    <x:t xml:space="preserve">Principal × rate × B1 time.</x:t>
  </x:si>
  <x:si>
    <x:t xml:space="preserve">B3</x:t>
  </x:si>
  <x:si>
    <x:t xml:space="preserve">Calculate simple future value</x:t>
  </x:si>
  <x:si>
    <x:t xml:space="preserve">Optional Transfer · Manual PV vs Excel PV</x:t>
  </x:si>
  <x:si>
    <x:t xml:space="preserve">C1</x:t>
  </x:si>
  <x:si>
    <x:t xml:space="preserve">C2</x:t>
  </x:si>
  <x:si>
    <x:t xml:space="preserve">C3</x:t>
  </x:si>
  <x:si>
    <x:t xml:space="preserve">Round trip the Excel PV result with FV</x:t>
  </x:si>
  <x:si>
    <x:t xml:space="preserve">Class Challenge · Discount, Reconcile, Recommend</x:t>
  </x:si>
  <x:si>
    <x:t xml:space="preserve">Pair deliverable: one compound-periodic model, a reconciled offer comparison, and a written defense.</x:t>
  </x:si>
  <x:si>
    <x:t xml:space="preserve">Model Audit Before the Decision</x:t>
  </x:si>
  <x:si>
    <x:t xml:space="preserve">#</x:t>
  </x:si>
  <x:si>
    <x:t xml:space="preserve">Skill</x:t>
  </x:si>
  <x:si>
    <x:t xml:space="preserve">Scenario</x:t>
  </x:si>
  <x:si>
    <x:t xml:space="preserve">Input A</x:t>
  </x:si>
  <x:si>
    <x:t xml:space="preserve">Formula / Answer</x:t>
  </x:si>
  <x:si>
    <x:t xml:space="preserve">Input B</x:t>
  </x:si>
  <x:si>
    <x:t xml:space="preserve">Input C</x:t>
  </x:si>
  <x:si>
    <x:t xml:space="preserve">Build Hint</x:t>
  </x:si>
  <x:si>
    <x:t xml:space="preserve">C9</x:t>
  </x:si>
  <x:si>
    <x:t xml:space="preserve">Round trip</x:t>
  </x:si>
  <x:si>
    <x:t xml:space="preserve">Use FV() to audit a compound-periodic PV result</x:t>
  </x:si>
  <x:si>
    <x:t xml:space="preserve">The result should reproduce a $31,000 future value.</x:t>
  </x:si>
  <x:si>
    <x:t xml:space="preserve">Meridian Offer Decision Inputs</x:t>
  </x:si>
  <x:si>
    <x:t xml:space="preserve">Cash offer today</x:t>
  </x:si>
  <x:si>
    <x:t xml:space="preserve">Annual discount rate</x:t>
  </x:si>
  <x:si>
    <x:t xml:space="preserve">Model</x:t>
  </x:si>
  <x:si>
    <x:t xml:space="preserve">Compound-periodic annual PV</x:t>
  </x:si>
  <x:si>
    <x:t xml:space="preserve">Valuation date</x:t>
  </x:si>
  <x:si>
    <x:t xml:space="preserve">Today</x:t>
  </x:si>
  <x:si>
    <x:t xml:space="preserve">Year</x:t>
  </x:si>
  <x:si>
    <x:t xml:space="preserve">Future payment</x:t>
  </x:si>
  <x:si>
    <x:t xml:space="preserve">Rate per period</x:t>
  </x:si>
  <x:si>
    <x:t xml:space="preserve">Evidence</x:t>
  </x:si>
  <x:si>
    <x:t xml:space="preserve">C10</x:t>
  </x:si>
  <x:si>
    <x:t xml:space="preserve">Use one rate cell</x:t>
  </x:si>
  <x:si>
    <x:t xml:space="preserve">Compound-periodic PV</x:t>
  </x:si>
  <x:si>
    <x:t xml:space="preserve">=-PV(rate, year, 0, future payment)</x:t>
  </x:si>
  <x:si>
    <x:t xml:space="preserve">C11</x:t>
  </x:si>
  <x:si>
    <x:t xml:space="preserve">C12</x:t>
  </x:si>
  <x:si>
    <x:t xml:space="preserve">C13</x:t>
  </x:si>
  <x:si>
    <x:t xml:space="preserve">C14</x:t>
  </x:si>
  <x:si>
    <x:t xml:space="preserve">C15</x:t>
  </x:si>
  <x:si>
    <x:t xml:space="preserve">Reconcile to five rows</x:t>
  </x:si>
  <x:si>
    <x:t xml:space="preserve">Total PV</x:t>
  </x:si>
  <x:si>
    <x:t xml:space="preserve">Sum E12:E16</x:t>
  </x:si>
  <x:si>
    <x:t xml:space="preserve">C16</x:t>
  </x:si>
  <x:si>
    <x:t xml:space="preserve">Positive favors stream</x:t>
  </x:si>
  <x:si>
    <x:t xml:space="preserve">Spread vs cash offer</x:t>
  </x:si>
  <x:si>
    <x:t xml:space="preserve">Total PV minus B9</x:t>
  </x:si>
  <x:si>
    <x:t xml:space="preserve">C17 · Choose</x:t>
  </x:si>
  <x:si>
    <x:t xml:space="preserve">Select: Payment stream or Cash offer</x:t>
  </x:si>
  <x:si>
    <x:t xml:space="preserve">Use the sign of C16, then consider the model assumption.</x:t>
  </x:si>
  <x:si>
    <x:t xml:space="preserve">C18 · Defend</x:t>
  </x:si>
  <x:si>
    <x:t xml:space="preserve">Write two sentences: recommend an offer and cite total PV plus the dollar spread.</x:t>
  </x:si>
  <x:si>
    <x:t xml:space="preserve">A number without a recommendation is incomplete.</x:t>
  </x:si>
  <x:si>
    <x:t xml:space="preserve">C19 · Disclose</x:t>
  </x:si>
  <x:si>
    <x:t xml:space="preserve">State the compound-periodic model, 6% annual rate, annual periods, today's valuation date, and one condition that could reverse the decision.</x:t>
  </x:si>
  <x:si>
    <x:t xml:space="preserve">The recommendation is conditional on the model and rate assumptions.</x:t>
  </x:si>
  <x:si>
    <x:t xml:space="preserve">FormulaReferenceCard · MATH-M08-L01</x:t>
  </x:si>
  <x:si>
    <x:t xml:space="preserve">Use after you identify the business question and model. Rate and period units must match.</x:t>
  </x:si>
  <x:si>
    <x:t xml:space="preserve">Concept</x:t>
  </x:si>
  <x:si>
    <x:t xml:space="preserve">Excel Pattern</x:t>
  </x:si>
  <x:si>
    <x:t xml:space="preserve">Plain-English Meaning</x:t>
  </x:si>
  <x:si>
    <x:t xml:space="preserve">Watch Out For</x:t>
  </x:si>
  <x:si>
    <x:t xml:space="preserve">Months to years</x:t>
  </x:si>
  <x:si>
    <x:t xml:space="preserve">=Months/12</x:t>
  </x:si>
  <x:si>
    <x:t xml:space="preserve">Converts months to a year fraction for an annual rate.</x:t>
  </x:si>
  <x:si>
    <x:t xml:space="preserve">Do not use months directly as T.</x:t>
  </x:si>
  <x:si>
    <x:t xml:space="preserve">Exact-interest days</x:t>
  </x:si>
  <x:si>
    <x:t xml:space="preserve">=Days/365</x:t>
  </x:si>
  <x:si>
    <x:t xml:space="preserve">Uses the stated 365-day basis.</x:t>
  </x:si>
  <x:si>
    <x:t xml:space="preserve">Use only when the problem or contract specifies it.</x:t>
  </x:si>
  <x:si>
    <x:t xml:space="preserve">Ordinary-interest days</x:t>
  </x:si>
  <x:si>
    <x:t xml:space="preserve">=Days/360</x:t>
  </x:si>
  <x:si>
    <x:t xml:space="preserve">Uses the stated 360-day basis.</x:t>
  </x:si>
  <x:si>
    <x:t xml:space="preserve">The smaller denominator creates more interest for positive inputs.</x:t>
  </x:si>
  <x:si>
    <x:t xml:space="preserve">Simple interest</x:t>
  </x:si>
  <x:si>
    <x:t xml:space="preserve">=Principal*Rate*Time</x:t>
  </x:si>
  <x:si>
    <x:t xml:space="preserve">Calculates interest only on original principal.</x:t>
  </x:si>
  <x:si>
    <x:t xml:space="preserve">Time must already be in years.</x:t>
  </x:si>
  <x:si>
    <x:t xml:space="preserve">Simple future value</x:t>
  </x:si>
  <x:si>
    <x:t xml:space="preserve">=Principal*(1+Rate*Time)</x:t>
  </x:si>
  <x:si>
    <x:t xml:space="preserve">Moves one principal forward with simple interest.</x:t>
  </x:si>
  <x:si>
    <x:t xml:space="preserve">Do not substitute FV() for this simple model.</x:t>
  </x:si>
  <x:si>
    <x:t xml:space="preserve">Solve for principal</x:t>
  </x:si>
  <x:si>
    <x:t xml:space="preserve">=Interest/(Rate*Time)</x:t>
  </x:si>
  <x:si>
    <x:t xml:space="preserve">Back-solves the original amount.</x:t>
  </x:si>
  <x:si>
    <x:t xml:space="preserve">Identify the unknown before rearranging.</x:t>
  </x:si>
  <x:si>
    <x:t xml:space="preserve">Manual simple PV</x:t>
  </x:si>
  <x:si>
    <x:t xml:space="preserve">=FV/(1+Rate*Time)</x:t>
  </x:si>
  <x:si>
    <x:t xml:space="preserve">Reverses a simple-interest promise.</x:t>
  </x:si>
  <x:si>
    <x:t xml:space="preserve">Do not label it compound-periodic PV.</x:t>
  </x:si>
  <x:si>
    <x:t xml:space="preserve">Excel PV raw sign</x:t>
  </x:si>
  <x:si>
    <x:t xml:space="preserve">=PV(Rate,Nper,0,FV)</x:t>
  </x:si>
  <x:si>
    <x:t xml:space="preserve">Discounts one future lump sum with a compound-periodic model.</x:t>
  </x:si>
  <x:si>
    <x:t xml:space="preserve">Rate is per period; a positive FV returns a negative PV.</x:t>
  </x:si>
  <x:si>
    <x:t xml:space="preserve">Positive PV for comparison</x:t>
  </x:si>
  <x:si>
    <x:t xml:space="preserve">=-PV(Rate,Nper,0,FV)</x:t>
  </x:si>
  <x:si>
    <x:t xml:space="preserve">Returns the positive magnitude for an offer table.</x:t>
  </x:si>
  <x:si>
    <x:t xml:space="preserve">Keep sign logic explicit rather than hiding it.</x:t>
  </x:si>
  <x:si>
    <x:t xml:space="preserve">Excel FV round trip</x:t>
  </x:si>
  <x:si>
    <x:t xml:space="preserve">=FV(Rate,Nper,0,PV_Result)</x:t>
  </x:si>
  <x:si>
    <x:t xml:space="preserve">Checks that the compound PV grows back to the original FV.</x:t>
  </x:si>
  <x:si>
    <x:t xml:space="preserve">Use the negative raw PV result.</x:t>
  </x:si>
  <x:si>
    <x:t xml:space="preserve">Payment-stream total</x:t>
  </x:si>
  <x:si>
    <x:t xml:space="preserve">=SUM(PV_Range)</x:t>
  </x:si>
  <x:si>
    <x:t xml:space="preserve">Adds present values already moved to the same date.</x:t>
  </x:si>
  <x:si>
    <x:t xml:space="preserve">Discount each payment before summing.</x:t>
  </x:si>
</x:sst>
</file>

<file path=xl/styles.xml><?xml version="1.0" encoding="utf-8"?>
<x:styleSheet xmlns:x="http://schemas.openxmlformats.org/spreadsheetml/2006/main">
  <x:numFmts count="3">
    <x:numFmt numFmtId="164" formatCode="\$#,##0.00"/>
    <x:numFmt numFmtId="165" formatCode="0.0%"/>
    <x:numFmt numFmtId="166" formatCode="0.000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A5567"/>
      <x:name val="Carlito"/>
    </x:font>
    <x:font>
      <x:sz val="10"/>
      <x:color rgb="FF1A1F2C"/>
      <x:name val="Carlito"/>
    </x:font>
    <x:font>
      <x:b/>
      <x:sz val="10"/>
      <x:color rgb="FFFFFFFF"/>
      <x:name val="Carlito"/>
    </x:font>
    <x:font>
      <x:b/>
      <x:sz val="10"/>
      <x:color rgb="FF355773"/>
      <x:name val="Carlito"/>
    </x:font>
    <x:font>
      <x:b/>
      <x:sz val="18"/>
      <x:color rgb="FFFFFFFF"/>
      <x:name val="Carlito"/>
    </x:font>
    <x:font>
      <x:sz val="18"/>
      <x:name val="Carlito"/>
    </x:font>
    <x:font>
      <x:i/>
      <x:sz val="18"/>
      <x:color rgb="FF4A5567"/>
      <x:name val="Carlito"/>
    </x:font>
    <x:font>
      <x:b/>
      <x:sz val="18"/>
      <x:color rgb="FF1A1F2C"/>
      <x:name val="Carlito"/>
    </x:font>
    <x:font>
      <x:sz val="18"/>
      <x:color rgb="FF1A1F2C"/>
      <x:name val="Carlito"/>
    </x:font>
    <x:font>
      <x:sz val="18"/>
      <x:color rgb="FF355773"/>
      <x:name val="Carlito"/>
    </x:font>
    <x:font>
      <x:sz val="18"/>
      <x:color rgb="FF0000FF"/>
      <x:name val="Carlito"/>
    </x:font>
    <x:font>
      <x:sz val="18"/>
      <x:color rgb="FF4A5567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FAF8F3"/>
      </x:patternFill>
    </x:fill>
    <x:fill>
      <x:patternFill patternType="solid">
        <x:fgColor rgb="FFF2EEE5"/>
      </x:patternFill>
    </x:fill>
    <x:fill>
      <x:patternFill patternType="solid">
        <x:fgColor rgb="FFFFFFFF"/>
      </x:patternFill>
    </x:fill>
    <x:fill>
      <x:patternFill patternType="solid">
        <x:fgColor rgb="FF35577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4A7C5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4A7C5E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 style="medium">
        <x:color rgb="FF4A7C5E"/>
      </x:left>
      <x:right/>
      <x:top style="thin">
        <x:color rgb="FFE5E1D6"/>
      </x:top>
      <x:bottom style="thin">
        <x:color rgb="FFE5E1D6"/>
      </x:bottom>
      <x:diagonal/>
    </x:border>
    <x:border>
      <x:left/>
      <x:right style="thin">
        <x:color rgb="FFE5E1D6"/>
      </x:right>
      <x:top style="thin">
        <x:color rgb="FFE5E1D6"/>
      </x:top>
      <x:bottom style="thin">
        <x:color rgb="FFE5E1D6"/>
      </x:bottom>
      <x:diagonal/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  <x:diagonal/>
    </x:border>
    <x:border>
      <x:left/>
      <x:right/>
      <x:top style="thin">
        <x:color rgb="FFE5E1D6"/>
      </x:top>
      <x:bottom style="thin">
        <x:color rgb="FFE5E1D6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3" fillId="5" borderId="3" xfId="0" applyFont="1" applyFill="1" applyBorder="1" applyAlignment="1">
      <x:alignment vertical="center" wrapText="1"/>
    </x:xf>
    <x:xf numFmtId="0" fontId="4" fillId="6" borderId="3" xfId="0" applyFont="1" applyFill="1" applyBorder="1" applyAlignment="1">
      <x:alignment horizontal="center" vertical="center" wrapText="1"/>
    </x:xf>
    <x:xf numFmtId="0" fontId="5" fillId="9" borderId="3" xfId="0" applyFont="1" applyFill="1" applyBorder="1" applyAlignment="1">
      <x:alignment vertical="center" wrapText="1"/>
    </x:xf>
    <x:xf numFmtId="0" fontId="7" fillId="0" borderId="0" xfId="0" applyFont="1"/>
    <x:xf numFmtId="0" fontId="10" fillId="5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vertical="center" wrapText="1"/>
    </x:xf>
    <x:xf numFmtId="0" fontId="6" fillId="6" borderId="3" xfId="0" applyFont="1" applyFill="1" applyBorder="1" applyAlignment="1">
      <x:alignment horizontal="center" vertical="center" wrapText="1"/>
    </x:xf>
    <x:xf numFmtId="0" fontId="10" fillId="7" borderId="3" xfId="0" applyFont="1" applyFill="1" applyBorder="1" applyAlignment="1">
      <x:alignment vertical="center" wrapText="1"/>
    </x:xf>
    <x:xf numFmtId="0" fontId="10" fillId="8" borderId="3" xfId="0" applyFont="1" applyFill="1" applyBorder="1" applyAlignment="1">
      <x:alignment vertical="center" wrapText="1"/>
    </x:xf>
    <x:xf numFmtId="0" fontId="10" fillId="9" borderId="3" xfId="0" applyFont="1" applyFill="1" applyBorder="1" applyAlignment="1">
      <x:alignment vertical="center" wrapText="1"/>
    </x:xf>
    <x:xf numFmtId="0" fontId="11" fillId="7" borderId="3" xfId="0" applyFont="1" applyFill="1" applyBorder="1" applyAlignment="1">
      <x:alignment horizontal="right" vertical="center" wrapText="1"/>
    </x:xf>
    <x:xf numFmtId="166" fontId="12" fillId="8" borderId="3" xfId="0" applyNumberFormat="1" applyFont="1" applyFill="1" applyBorder="1" applyAlignment="1">
      <x:alignment horizontal="right" vertical="center" wrapText="1"/>
    </x:xf>
    <x:xf numFmtId="0" fontId="13" fillId="4" borderId="3" xfId="0" applyFont="1" applyFill="1" applyBorder="1" applyAlignment="1">
      <x:alignment vertical="center" wrapText="1"/>
    </x:xf>
    <x:xf numFmtId="164" fontId="11" fillId="7" borderId="3" xfId="0" applyNumberFormat="1" applyFont="1" applyFill="1" applyBorder="1" applyAlignment="1">
      <x:alignment horizontal="right" vertical="center" wrapText="1"/>
    </x:xf>
    <x:xf numFmtId="165" fontId="11" fillId="7" borderId="3" xfId="0" applyNumberFormat="1" applyFont="1" applyFill="1" applyBorder="1" applyAlignment="1">
      <x:alignment horizontal="right" vertical="center" wrapText="1"/>
    </x:xf>
    <x:xf numFmtId="164" fontId="12" fillId="8" borderId="3" xfId="0" applyNumberFormat="1" applyFont="1" applyFill="1" applyBorder="1" applyAlignment="1">
      <x:alignment horizontal="right" vertical="center" wrapText="1"/>
    </x:xf>
    <x:xf numFmtId="0" fontId="9" fillId="4" borderId="3" xfId="0" applyFont="1" applyFill="1" applyBorder="1" applyAlignment="1">
      <x:alignment vertical="center" wrapText="1"/>
    </x:xf>
    <x:xf numFmtId="2" fontId="11" fillId="7" borderId="3" xfId="0" applyNumberFormat="1" applyFont="1" applyFill="1" applyBorder="1" applyAlignment="1">
      <x:alignment horizontal="right" vertical="center" wrapText="1"/>
    </x:xf>
    <x:xf numFmtId="164" fontId="10" fillId="5" borderId="3" xfId="0" applyNumberFormat="1" applyFont="1" applyFill="1" applyBorder="1" applyAlignment="1">
      <x:alignment vertical="center" wrapText="1"/>
    </x:xf>
    <x:xf numFmtId="0" fontId="6" fillId="2" borderId="0" xfId="0" applyFont="1" applyFill="1"/>
    <x:xf numFmtId="0" fontId="8" fillId="3" borderId="0" xfId="0" applyFont="1" applyFill="1" applyAlignment="1">
      <x:alignment wrapText="1"/>
    </x:xf>
    <x:xf numFmtId="0" fontId="9" fillId="4" borderId="1" xfId="0" applyFont="1" applyFill="1" applyBorder="1"/>
    <x:xf numFmtId="0" fontId="9" fillId="4" borderId="4" xfId="0" applyFont="1" applyFill="1" applyBorder="1"/>
    <x:xf numFmtId="0" fontId="9" fillId="4" borderId="2" xfId="0" applyFont="1" applyFill="1" applyBorder="1"/>
    <x:xf numFmtId="0" fontId="10" fillId="5" borderId="3" xfId="0" applyFont="1" applyFill="1" applyBorder="1" applyAlignment="1">
      <x:alignment vertical="center" wrapText="1"/>
    </x:xf>
    <x:xf numFmtId="0" fontId="12" fillId="8" borderId="3" xfId="0" applyFont="1" applyFill="1" applyBorder="1" applyAlignment="1">
      <x:alignment horizontal="right" vertical="center" wrapText="1"/>
    </x:xf>
    <x:xf numFmtId="0" fontId="13" fillId="4" borderId="3" xfId="0" applyFont="1" applyFill="1" applyBorder="1" applyAlignment="1">
      <x:alignment vertical="center" wrapText="1"/>
    </x:xf>
    <x:xf numFmtId="0" fontId="1" fillId="2" borderId="0" xfId="0" applyFont="1" applyFill="1"/>
    <x:xf numFmtId="0" fontId="2" fillId="3" borderId="0" xfId="0" applyFont="1" applyFill="1" applyAlignment="1">
      <x:alignment wrapText="1"/>
    </x:xf>
    <x:xf numFmtId="166" fontId="11" fillId="7" borderId="3" xfId="0" applyNumberFormat="1" applyFont="1" applyFill="1" applyBorder="1" applyAlignment="1">
      <x:alignment horizontal="right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166" fontId="11" fillId="10" borderId="3" xfId="0" applyNumberFormat="1" applyFont="1" applyFill="1" applyBorder="1" applyAlignment="1">
      <x:alignment horizontal="right" vertical="center" wrapText="1"/>
    </x:xf>
    <x:xf numFmtId="165" fontId="11" fillId="10" borderId="3" xfId="0" applyNumberFormat="1" applyFont="1" applyFill="1" applyBorder="1" applyAlignment="1">
      <x:alignment horizontal="right" vertical="center" wrapText="1"/>
    </x:xf>
    <x:xf numFmtId="0" fontId="11" fillId="10" borderId="3" xfId="0" applyNumberFormat="1" applyFont="1" applyFill="1" applyBorder="1" applyAlignment="1">
      <x:alignment horizontal="right" vertical="center" wrapText="1"/>
    </x:xf>
    <x:xf numFmtId="166" fontId="11" fillId="11" borderId="3" xfId="0" applyNumberFormat="1" applyFont="1" applyFill="1" applyBorder="1" applyAlignment="1">
      <x:alignment horizontal="right" vertical="center" wrapText="1"/>
    </x:xf>
    <x:xf numFmtId="0" fontId="7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top" wrapText="1"/>
    </x:xf>
    <x:xf numFmtId="166" fontId="11" fillId="14" borderId="3" xfId="0" applyNumberFormat="1" applyFont="1" applyFill="1" applyBorder="1" applyAlignment="1">
      <x:alignment horizontal="right" vertical="center" wrapText="1"/>
    </x:xf>
    <x:xf numFmtId="165" fontId="11" fillId="14" borderId="3" xfId="0" applyNumberFormat="1" applyFont="1" applyFill="1" applyBorder="1" applyAlignment="1">
      <x:alignment horizontal="right" vertical="center" wrapText="1"/>
    </x:xf>
    <x:xf numFmtId="0" fontId="11" fillId="14" borderId="3" xfId="0" applyNumberFormat="1" applyFont="1" applyFill="1" applyBorder="1" applyAlignment="1">
      <x:alignment horizontal="right" vertical="center" wrapText="1"/>
    </x:xf>
    <x:xf numFmtId="166" fontId="11" fillId="15" borderId="3" xfId="0" applyNumberFormat="1" applyFont="1" applyFill="1" applyBorder="1" applyAlignment="1">
      <x:alignment horizontal="right" vertical="center" wrapText="1"/>
    </x:xf>
    <x:xf numFmtId="0" fontId="6" fillId="16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4A2B"/>
      </x:font>
      <x:fill>
        <x:patternFill>
          <x:bgColor rgb="FFFCE8E3"/>
        </x:patternFill>
      </x:fill>
    </x:dxf>
    <x:dxf>
      <x:font>
        <x:b/>
        <x:color rgb="FF9C4A2B"/>
      </x:font>
      <x:fill>
        <x:patternFill>
          <x:bgColor rgb="FFF9EEDC"/>
        </x:patternFill>
      </x:fill>
    </x:dxf>
    <x:dxf>
      <x:font>
        <x:b/>
        <x:color rgb="FF4A7C5E"/>
      </x:font>
      <x:fill>
        <x:patternFill>
          <x:bgColor rgb="FFEA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dc934ba854070" /><Relationship Type="http://schemas.openxmlformats.org/officeDocument/2006/relationships/theme" Target="/xl/theme/theme1.xml" Id="Ra14805cf01f042fa" /><Relationship Type="http://schemas.openxmlformats.org/officeDocument/2006/relationships/sharedStrings" Target="/xl/sharedStrings.xml" Id="Rb5b473a259044cb3" /><Relationship Type="http://schemas.openxmlformats.org/officeDocument/2006/relationships/worksheet" Target="/xl/worksheets/sheet1.xml" Id="R4438c1992a184234" /><Relationship Type="http://schemas.openxmlformats.org/officeDocument/2006/relationships/worksheet" Target="/xl/worksheets/sheet2.xml" Id="R9522befc8067471c" /><Relationship Type="http://schemas.openxmlformats.org/officeDocument/2006/relationships/worksheet" Target="/xl/worksheets/sheet3.xml" Id="Rd4910f2964d84b26" /><Relationship Type="http://schemas.openxmlformats.org/officeDocument/2006/relationships/worksheet" Target="/xl/worksheets/sheet4.xml" Id="R6bcd7bbd5519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10" defaultColWidth="8.83203125" defaultRowHeight="23"/>
  <x:cols>
    <x:col min="1" max="1" width="22.83203125" style="4" customWidth="1"/>
    <x:col min="2" max="2" width="189.6640625" style="4" customWidth="1"/>
    <x:col min="3" max="16384" width="8.83203125" style="4" customWidth="0"/>
  </x:cols>
  <x:sheetData>
    <x:row r="1" ht="24" customHeight="1">
      <x:c r="A1" s="20" t="s">
        <x:v>0</x:v>
      </x:c>
      <x:c r="B1" s="20" t="s">
        <x:v>0</x:v>
      </x:c>
    </x:row>
    <x:row r="2" ht="34" customHeight="1">
      <x:c r="A2" s="21" t="s">
        <x:v>1</x:v>
      </x:c>
      <x:c r="B2" s="21" t="s">
        <x:v>1</x:v>
      </x:c>
    </x:row>
    <x:row r="3" ht="24" customHeight="1"/>
    <x:row r="4" ht="24" customHeight="1"/>
    <x:row r="5" ht="24" customHeight="1">
      <x:c r="A5" s="22" t="s">
        <x:v>2</x:v>
      </x:c>
      <x:c r="B5" s="24" t="s">
        <x:v>2</x:v>
      </x:c>
    </x:row>
    <x:row r="6" ht="24" customHeight="1"/>
    <x:row r="7" ht="42" customHeight="1">
      <x:c r="A7" s="5">
        <x:v>1</x:v>
      </x:c>
      <x:c r="B7" s="6" t="s">
        <x:v>3</x:v>
      </x:c>
    </x:row>
    <x:row r="8" ht="42" customHeight="1">
      <x:c r="A8" s="5">
        <x:v>2</x:v>
      </x:c>
      <x:c r="B8" s="6" t="s">
        <x:v>4</x:v>
      </x:c>
    </x:row>
    <x:row r="9" ht="42" customHeight="1">
      <x:c r="A9" s="5">
        <x:v>3</x:v>
      </x:c>
      <x:c r="B9" s="6" t="s">
        <x:v>5</x:v>
      </x:c>
    </x:row>
    <x:row r="10" ht="42" customHeight="1">
      <x:c r="A10" s="5">
        <x:v>4</x:v>
      </x:c>
      <x:c r="B10" s="6" t="s">
        <x:v>6</x:v>
      </x:c>
    </x:row>
    <x:row r="11" ht="42" customHeight="1">
      <x:c r="A11" s="5">
        <x:v>5</x:v>
      </x:c>
      <x:c r="B11" s="6" t="s">
        <x:v>7</x:v>
      </x:c>
    </x:row>
    <x:row r="12" ht="24" customHeight="1"/>
    <x:row r="13" ht="24" customHeight="1"/>
    <x:row r="14" ht="24" customHeight="1">
      <x:c r="A14" s="22" t="s">
        <x:v>8</x:v>
      </x:c>
      <x:c r="B14" s="24" t="s">
        <x:v>8</x:v>
      </x:c>
    </x:row>
    <x:row r="15" ht="24" customHeight="1"/>
    <x:row r="16" ht="24" customHeight="1">
      <x:c r="A16" s="7" t="s">
        <x:v>9</x:v>
      </x:c>
      <x:c r="B16" s="7" t="s">
        <x:v>10</x:v>
      </x:c>
    </x:row>
    <x:row r="17" ht="48" customHeight="1">
      <x:c r="A17" s="6" t="s">
        <x:v>11</x:v>
      </x:c>
      <x:c r="B17" s="6" t="str">
        <x:v>Checkpoint B (Canva 16–17): G12:G14. A (19–20): G6:G10. C (25–26): G16:G18. Record explanations at B31, B26, and B36.</x:v>
      </x:c>
    </x:row>
    <x:row r="18" ht="48" customHeight="1">
      <x:c r="A18" s="6" t="s">
        <x:v>12</x:v>
      </x:c>
      <x:c r="B18" s="6" t="s">
        <x:v>13</x:v>
      </x:c>
    </x:row>
    <x:row r="19" ht="48" customHeight="1">
      <x:c r="A19" s="6" t="s">
        <x:v>14</x:v>
      </x:c>
      <x:c r="B19" s="6" t="s">
        <x:v>15</x:v>
      </x:c>
    </x:row>
    <x:row r="20" ht="24" customHeight="1"/>
    <x:row r="21" ht="24" customHeight="1"/>
    <x:row r="22" ht="24" customHeight="1">
      <x:c r="A22" s="22" t="s">
        <x:v>16</x:v>
      </x:c>
      <x:c r="B22" s="24" t="s">
        <x:v>16</x:v>
      </x:c>
    </x:row>
    <x:row r="23" ht="24" customHeight="1"/>
    <x:row r="24" ht="38" customHeight="1">
      <x:c r="A24" s="8" t="s">
        <x:v>17</x:v>
      </x:c>
      <x:c r="B24" s="6" t="s">
        <x:v>18</x:v>
      </x:c>
    </x:row>
    <x:row r="25" ht="38" customHeight="1">
      <x:c r="A25" s="9" t="s">
        <x:v>19</x:v>
      </x:c>
      <x:c r="B25" s="6" t="s">
        <x:v>20</x:v>
      </x:c>
    </x:row>
    <x:row r="26" ht="38" customHeight="1">
      <x:c r="A26" s="10" t="s">
        <x:v>21</x:v>
      </x:c>
      <x:c r="B26" s="6" t="s">
        <x:v>22</x:v>
      </x:c>
    </x:row>
    <x:row r="27" ht="38" customHeight="1">
      <x:c r="A27" s="6" t="s">
        <x:v>23</x:v>
      </x:c>
      <x:c r="B27" s="6" t="s">
        <x:v>24</x:v>
      </x:c>
    </x:row>
  </x:sheetData>
  <x:mergeCells>
    <x:mergeCell ref="A1:B1"/>
    <x:mergeCell ref="A2:B2"/>
    <x:mergeCell ref="A5:B5"/>
    <x:mergeCell ref="A14:B14"/>
    <x:mergeCell ref="A22:B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23"/>
  <x:cols>
    <x:col min="1" max="1" width="14" style="4" customWidth="1"/>
    <x:col min="2" max="2" width="13.5" style="4" customWidth="1"/>
    <x:col min="3" max="3" width="26.1640625" style="4" customWidth="1"/>
    <x:col min="4" max="4" width="15.1640625" style="4" customWidth="1"/>
    <x:col min="5" max="6" width="11.33203125" style="4" customWidth="1"/>
    <x:col min="7" max="7" width="31.33203125" style="4" customWidth="1"/>
    <x:col min="8" max="8" width="47.1640625" style="4" customWidth="1"/>
    <x:col min="9" max="9" width="65" style="4" customWidth="1"/>
    <x:col min="10" max="16384" width="8.83203125" style="4" customWidth="0"/>
  </x:cols>
  <x:sheetData>
    <x:row r="1" ht="30" customHeight="1">
      <x:c r="A1" s="20" t="str">
        <x:v>Live You Try It · Checkpoints B → A → C</x:v>
      </x:c>
      <x:c r="B1" s="20" t="s">
        <x:v>25</x:v>
      </x:c>
      <x:c r="C1" s="20" t="s">
        <x:v>25</x:v>
      </x:c>
      <x:c r="D1" s="20" t="s">
        <x:v>25</x:v>
      </x:c>
      <x:c r="E1" s="20" t="s">
        <x:v>25</x:v>
      </x:c>
      <x:c r="F1" s="20" t="s">
        <x:v>25</x:v>
      </x:c>
      <x:c r="G1" s="20" t="s">
        <x:v>25</x:v>
      </x:c>
      <x:c r="H1" s="20" t="s">
        <x:v>25</x:v>
      </x:c>
      <x:c r="I1" s="20" t="s">
        <x:v>25</x:v>
      </x:c>
    </x:row>
    <x:row r="2" ht="34" customHeight="1">
      <x:c r="A2" s="21" t="str">
        <x:v>Use current Canva page positions: B 16–17; A 19–20; C 25–26. Build the yellow cells, then explain below.</x:v>
      </x:c>
      <x:c r="B2" s="21" t="s">
        <x:v>26</x:v>
      </x:c>
      <x:c r="C2" s="21" t="s">
        <x:v>26</x:v>
      </x:c>
      <x:c r="D2" s="21" t="s">
        <x:v>26</x:v>
      </x:c>
      <x:c r="E2" s="21" t="s">
        <x:v>26</x:v>
      </x:c>
      <x:c r="F2" s="21" t="s">
        <x:v>26</x:v>
      </x:c>
      <x:c r="G2" s="21" t="s">
        <x:v>26</x:v>
      </x:c>
      <x:c r="H2" s="21" t="s">
        <x:v>26</x:v>
      </x:c>
      <x:c r="I2" s="21" t="s">
        <x:v>26</x:v>
      </x:c>
    </x:row>
    <x:row r="3" ht="30" customHeight="1"/>
    <x:row r="4" ht="30" customHeight="1"/>
    <x:row r="5" ht="68" customHeight="1">
      <x:c r="A5" s="7" t="s">
        <x:v>27</x:v>
      </x:c>
      <x:c r="B5" s="7" t="s">
        <x:v>28</x:v>
      </x:c>
      <x:c r="C5" s="7" t="s">
        <x:v>29</x:v>
      </x:c>
      <x:c r="D5" s="31" t="str">
        <x:v>Days / amount</x:v>
      </x:c>
      <x:c r="E5" s="31" t="str">
        <x:v>Year basis / rate</x:v>
      </x:c>
      <x:c r="F5" s="31" t="str">
        <x:v>Years / linked value</x:v>
      </x:c>
      <x:c r="G5" s="7" t="s">
        <x:v>30</x:v>
      </x:c>
      <x:c r="H5" s="7" t="s">
        <x:v>31</x:v>
      </x:c>
      <x:c r="I5" s="7" t="s">
        <x:v>32</x:v>
      </x:c>
    </x:row>
    <x:row r="6" ht="44" customHeight="1">
      <x:c r="A6" s="6" t="s">
        <x:v>33</x:v>
      </x:c>
      <x:c r="B6" s="6" t="n">
        <x:v>19</x:v>
      </x:c>
      <x:c r="C6" s="6" t="s">
        <x:v>34</x:v>
      </x:c>
      <x:c r="D6" s="11">
        <x:v>75</x:v>
      </x:c>
      <x:c r="E6" s="11">
        <x:v>365</x:v>
      </x:c>
      <x:c r="F6" s="11"/>
      <x:c r="G6" s="12"/>
      <x:c r="H6" s="10" t="str">
        <x:f>IF(G6="","Enter a formula using cell references",IF(ABS(G6-(D6/E6))&lt;0.0001,"Correct value - confirm formula bar uses references","Try again - check the time basis"))</x:f>
        <x:v>Enter a formula using cell references</x:v>
      </x:c>
      <x:c r="I6" s="13" t="s">
        <x:v>35</x:v>
      </x:c>
    </x:row>
    <x:row r="7" ht="44" customHeight="1">
      <x:c r="A7" s="6" t="s">
        <x:v>36</x:v>
      </x:c>
      <x:c r="B7" s="6" t="n">
        <x:v>19</x:v>
      </x:c>
      <x:c r="C7" s="6" t="s">
        <x:v>37</x:v>
      </x:c>
      <x:c r="D7" s="14">
        <x:v>42000</x:v>
      </x:c>
      <x:c r="E7" s="15">
        <x:v>4.8000000000000001E-2</x:v>
      </x:c>
      <x:c r="F7" s="30" t="str">
        <x:f>IF(G6="","",G6)</x:f>
      </x:c>
      <x:c r="G7" s="16"/>
      <x:c r="H7" s="10" t="str">
        <x:f>IF(G7="","Enter a formula using cell references",IF(ABS(G7-(D7*E7*F7))&lt;0.05,"Correct value - confirm formula bar uses references","Try again - reference the exact-time result"))</x:f>
        <x:v>Enter a formula using cell references</x:v>
      </x:c>
      <x:c r="I7" s="13" t="s">
        <x:v>38</x:v>
      </x:c>
    </x:row>
    <x:row r="8" ht="44" customHeight="1">
      <x:c r="A8" s="6" t="s">
        <x:v>39</x:v>
      </x:c>
      <x:c r="B8" s="6" t="n">
        <x:v>19</x:v>
      </x:c>
      <x:c r="C8" s="6" t="s">
        <x:v>40</x:v>
      </x:c>
      <x:c r="D8" s="11">
        <x:v>75</x:v>
      </x:c>
      <x:c r="E8" s="11">
        <x:v>360</x:v>
      </x:c>
      <x:c r="F8" s="11"/>
      <x:c r="G8" s="12"/>
      <x:c r="H8" s="10" t="str">
        <x:f>IF(G8="","Enter a formula using cell references",IF(ABS(G8-(D8/E8))&lt;0.0001,"Correct value - confirm formula bar uses references","Try again - check the time basis"))</x:f>
        <x:v>Enter a formula using cell references</x:v>
      </x:c>
      <x:c r="I8" s="13" t="s">
        <x:v>41</x:v>
      </x:c>
    </x:row>
    <x:row r="9" ht="44" customHeight="1">
      <x:c r="A9" s="6" t="s">
        <x:v>42</x:v>
      </x:c>
      <x:c r="B9" s="6" t="n">
        <x:v>19</x:v>
      </x:c>
      <x:c r="C9" s="6" t="s">
        <x:v>43</x:v>
      </x:c>
      <x:c r="D9" s="14">
        <x:v>42000</x:v>
      </x:c>
      <x:c r="E9" s="15">
        <x:v>4.8000000000000001E-2</x:v>
      </x:c>
      <x:c r="F9" s="45" t="str">
        <x:f>IF(G8="","",G8)</x:f>
      </x:c>
      <x:c r="G9" s="16"/>
      <x:c r="H9" s="10" t="str">
        <x:f>IF(G9="","Enter a formula using cell references",IF(ABS(G9-(D9*E9*F9))&lt;0.05,"Correct value - confirm formula bar uses references","Try again - reference the ordinary-time result"))</x:f>
        <x:v>Enter a formula using cell references</x:v>
      </x:c>
      <x:c r="I9" s="13" t="s">
        <x:v>44</x:v>
      </x:c>
    </x:row>
    <x:row r="10" ht="44" customHeight="1">
      <x:c r="A10" s="6" t="s">
        <x:v>45</x:v>
      </x:c>
      <x:c r="B10" s="6" t="n">
        <x:v>19</x:v>
      </x:c>
      <x:c r="C10" s="6" t="s">
        <x:v>46</x:v>
      </x:c>
      <x:c r="D10" s="14" t="str">
        <x:f>IF(G7="","",G7)</x:f>
      </x:c>
      <x:c r="E10" s="14" t="str">
        <x:f>IF(G9="","",G9)</x:f>
      </x:c>
      <x:c r="F10" s="11"/>
      <x:c r="G10" s="16"/>
      <x:c r="H10" s="10" t="str">
        <x:f>IF(G10="","Enter a formula using cell references",IF(ABS(G10-(E10-D10))&lt;0.05,"Correct value - explain the denominator difference","Try again - ordinary interest minus exact interest"))</x:f>
        <x:v>Enter a formula using cell references</x:v>
      </x:c>
      <x:c r="I10" s="13" t="s">
        <x:v>47</x:v>
      </x:c>
    </x:row>
    <x:row r="11" ht="44" customHeight="1">
      <x:c r="A11" s="22" t="str">
        <x:v>Checkpoint B · $18,500 loan · 6.2% annual simple interest · 8 months</x:v>
      </x:c>
      <x:c r="B11" s="23" t="s">
        <x:v>48</x:v>
      </x:c>
      <x:c r="C11" s="23" t="s">
        <x:v>48</x:v>
      </x:c>
      <x:c r="D11" s="23" t="s">
        <x:v>48</x:v>
      </x:c>
      <x:c r="E11" s="23" t="s">
        <x:v>48</x:v>
      </x:c>
      <x:c r="F11" s="23" t="s">
        <x:v>48</x:v>
      </x:c>
      <x:c r="G11" s="23" t="s">
        <x:v>48</x:v>
      </x:c>
      <x:c r="H11" s="23" t="s">
        <x:v>48</x:v>
      </x:c>
      <x:c r="I11" s="24" t="s">
        <x:v>48</x:v>
      </x:c>
    </x:row>
    <x:row r="12" ht="44" customHeight="1">
      <x:c r="A12" s="6" t="s">
        <x:v>49</x:v>
      </x:c>
      <x:c r="B12" s="6" t="n">
        <x:v>16</x:v>
      </x:c>
      <x:c r="C12" s="6" t="s">
        <x:v>50</x:v>
      </x:c>
      <x:c r="D12" s="11">
        <x:v>8</x:v>
      </x:c>
      <x:c r="E12" s="11">
        <x:v>12</x:v>
      </x:c>
      <x:c r="F12" s="11"/>
      <x:c r="G12" s="12"/>
      <x:c r="H12" s="10" t="str">
        <x:f>IF(G12="","Enter a formula using cell references",IF(ABS(G12-(D12/E12))&lt;0.0001,"Correct value - confirm formula bar uses references","Try again - months divided by 12"))</x:f>
        <x:v>Enter a formula using cell references</x:v>
      </x:c>
      <x:c r="I12" s="13" t="s">
        <x:v>51</x:v>
      </x:c>
    </x:row>
    <x:row r="13" ht="44" customHeight="1">
      <x:c r="A13" s="6" t="s">
        <x:v>52</x:v>
      </x:c>
      <x:c r="B13" s="6" t="n">
        <x:v>16</x:v>
      </x:c>
      <x:c r="C13" s="6" t="s">
        <x:v>53</x:v>
      </x:c>
      <x:c r="D13" s="14">
        <x:v>18500</x:v>
      </x:c>
      <x:c r="E13" s="15">
        <x:v>6.2E-2</x:v>
      </x:c>
      <x:c r="F13" s="30" t="str">
        <x:f>IF(G12="","",G12)</x:f>
      </x:c>
      <x:c r="G13" s="16"/>
      <x:c r="H13" s="10" t="str">
        <x:f>IF(G13="","Enter a formula using cell references",IF(ABS(G13-(D13*E13*F13))&lt;0.05,"Correct value - confirm formula bar uses references","Try again - trace principal, rate, and time"))</x:f>
        <x:v>Enter a formula using cell references</x:v>
      </x:c>
      <x:c r="I13" s="13" t="s">
        <x:v>54</x:v>
      </x:c>
    </x:row>
    <x:row r="14" ht="44" customHeight="1">
      <x:c r="A14" s="6" t="s">
        <x:v>55</x:v>
      </x:c>
      <x:c r="B14" s="6" t="n">
        <x:v>16</x:v>
      </x:c>
      <x:c r="C14" s="6" t="s">
        <x:v>56</x:v>
      </x:c>
      <x:c r="D14" s="14">
        <x:v>18500</x:v>
      </x:c>
      <x:c r="E14" s="15" t="str">
        <x:f>IF(G13="","",G13)</x:f>
      </x:c>
      <x:c r="F14" s="42"/>
      <x:c r="G14" s="16"/>
      <x:c r="H14" s="10" t="str">
        <x:f>IF(G14="","Enter a formula using cell references",IF(ABS(G14-(D14+E14))&lt;0.05,"Correct value - principal plus interest","Try again - include the original principal"))</x:f>
        <x:v>Enter a formula using cell references</x:v>
      </x:c>
      <x:c r="I14" s="13" t="str">
        <x:v>Original principal plus the linked interest amount.</x:v>
      </x:c>
    </x:row>
    <x:row r="15" ht="44" customHeight="1">
      <x:c r="A15" s="22" t="str">
        <x:v>Checkpoint C · $30,000 future receipt · 6.5% annual compounding · 2 years</x:v>
      </x:c>
      <x:c r="B15" s="23" t="s">
        <x:v>57</x:v>
      </x:c>
      <x:c r="C15" s="23" t="s">
        <x:v>57</x:v>
      </x:c>
      <x:c r="D15" s="23" t="s">
        <x:v>57</x:v>
      </x:c>
      <x:c r="E15" s="23" t="s">
        <x:v>57</x:v>
      </x:c>
      <x:c r="F15" s="23" t="s">
        <x:v>57</x:v>
      </x:c>
      <x:c r="G15" s="23" t="s">
        <x:v>57</x:v>
      </x:c>
      <x:c r="H15" s="23" t="s">
        <x:v>57</x:v>
      </x:c>
      <x:c r="I15" s="24" t="s">
        <x:v>57</x:v>
      </x:c>
    </x:row>
    <x:row r="16" ht="44" customHeight="1">
      <x:c r="A16" s="6" t="s">
        <x:v>58</x:v>
      </x:c>
      <x:c r="B16" s="6" t="n">
        <x:v>25</x:v>
      </x:c>
      <x:c r="C16" s="6" t="str">
        <x:v>Signed present outflow</x:v>
      </x:c>
      <x:c r="D16" s="14">
        <x:v>30000</x:v>
      </x:c>
      <x:c r="E16" s="15">
        <x:v>6.5000000000000002E-2</x:v>
      </x:c>
      <x:c r="F16" s="11" t="n">
        <x:v>2</x:v>
      </x:c>
      <x:c r="G16" s="16"/>
      <x:c r="H16" s="10" t="str">
        <x:f>IF(G16="","Enter a formula using cell references",IF(ABS(G16-PV(E16,F16,0,D16))&lt;0.05,"Correct signed compound PV","Try again - check the rate, years, and sign"))</x:f>
        <x:v>Enter a formula using cell references</x:v>
      </x:c>
      <x:c r="I16" s="13" t="str">
        <x:v>Use PV with the positive future receipt.</x:v>
      </x:c>
    </x:row>
    <x:row r="17" ht="56" customHeight="1">
      <x:c r="A17" s="6" t="s">
        <x:v>59</x:v>
      </x:c>
      <x:c r="B17" s="6" t="n">
        <x:v>25</x:v>
      </x:c>
      <x:c r="C17" s="6" t="str">
        <x:v>Positive present-value magnitude</x:v>
      </x:c>
      <x:c r="D17" s="14" t="str">
        <x:f>IF(G16="","",G16)</x:f>
      </x:c>
      <x:c r="E17" s="43"/>
      <x:c r="F17" s="44"/>
      <x:c r="G17" s="16"/>
      <x:c r="H17" s="10" t="str">
        <x:f>IF(G17="","Enter a formula using cell references",IF(ABS(G17-(-D17))&lt;0.05,"Correct positive PV magnitude","Try again - reverse the raw PV sign"))</x:f>
        <x:v>Enter a formula using cell references</x:v>
      </x:c>
      <x:c r="I17" s="13" t="str">
        <x:v>Reverse the sign of the linked raw PV.</x:v>
      </x:c>
    </x:row>
    <x:row r="18" ht="56" customHeight="1">
      <x:c r="A18" s="6" t="s">
        <x:v>60</x:v>
      </x:c>
      <x:c r="B18" s="6" t="n">
        <x:v>25</x:v>
      </x:c>
      <x:c r="C18" s="6" t="s">
        <x:v>61</x:v>
      </x:c>
      <x:c r="D18" s="14" t="str">
        <x:f>IF(G16="","",G16)</x:f>
      </x:c>
      <x:c r="E18" s="15">
        <x:v>6.5000000000000002E-2</x:v>
      </x:c>
      <x:c r="F18" s="11" t="n">
        <x:v>2</x:v>
      </x:c>
      <x:c r="G18" s="16"/>
      <x:c r="H18" s="10" t="str">
        <x:f>IF(G18="","Enter a formula using cell references",IF(ABS(G18-FV(E18,F18,0,D18))&lt;0.05,"Correct round trip","Try again - use the signed PV result"))</x:f>
        <x:v>Enter a formula using cell references</x:v>
      </x:c>
      <x:c r="I18" s="13" t="str">
        <x:v>Use the signed PV linked in D18.</x:v>
      </x:c>
    </x:row>
    <x:row r="19" ht="30" customHeight="1"/>
    <x:row r="20" ht="70" customHeight="1">
      <x:c r="A20" s="17" t="str">
        <x:v>Progress</x:v>
      </x:c>
      <x:c r="B20" s="13" t="str">
        <x:f>COUNTIF(H6:H18,"Correct*")&amp;" of 11 complete"</x:f>
        <x:v>0 of 11 complete</x:v>
      </x:c>
    </x:row>
    <x:row r="25" ht="34" customHeight="1">
      <x:c r="B25" s="46" t="str">
        <x:v>A | Why does ordinary interest exceed exact interest?</x:v>
      </x:c>
      <x:c r="C25" s="46"/>
      <x:c r="D25" s="46"/>
      <x:c r="E25" s="46"/>
      <x:c r="F25" s="46"/>
      <x:c r="G25" s="46"/>
    </x:row>
    <x:row r="26" ht="28" customHeight="1">
      <x:c r="B26" s="47"/>
      <x:c r="C26" s="47"/>
      <x:c r="D26" s="47"/>
      <x:c r="E26" s="47"/>
      <x:c r="F26" s="47"/>
      <x:c r="G26" s="47"/>
    </x:row>
    <x:row r="27" ht="28" customHeight="1">
      <x:c r="B27" s="47"/>
      <x:c r="C27" s="47"/>
      <x:c r="D27" s="47"/>
      <x:c r="E27" s="47"/>
      <x:c r="F27" s="47"/>
      <x:c r="G27" s="47"/>
    </x:row>
    <x:row r="28" ht="28" customHeight="1">
      <x:c r="B28" s="47"/>
      <x:c r="C28" s="47"/>
      <x:c r="D28" s="47"/>
      <x:c r="E28" s="47"/>
      <x:c r="F28" s="47"/>
      <x:c r="G28" s="47"/>
    </x:row>
    <x:row r="30" ht="34" customHeight="1">
      <x:c r="B30" s="46" t="str">
        <x:v>B | Distinguish principal, interest, and total repayment.</x:v>
      </x:c>
      <x:c r="C30" s="46"/>
      <x:c r="D30" s="46"/>
      <x:c r="E30" s="46"/>
      <x:c r="F30" s="46"/>
      <x:c r="G30" s="46"/>
    </x:row>
    <x:row r="31" ht="28" customHeight="1">
      <x:c r="B31" s="47"/>
      <x:c r="C31" s="47"/>
      <x:c r="D31" s="47"/>
      <x:c r="E31" s="47"/>
      <x:c r="F31" s="47"/>
      <x:c r="G31" s="47"/>
    </x:row>
    <x:row r="32" ht="28" customHeight="1">
      <x:c r="B32" s="47"/>
      <x:c r="C32" s="47"/>
      <x:c r="D32" s="47"/>
      <x:c r="E32" s="47"/>
      <x:c r="F32" s="47"/>
      <x:c r="G32" s="47"/>
    </x:row>
    <x:row r="33" ht="28" customHeight="1">
      <x:c r="B33" s="47"/>
      <x:c r="C33" s="47"/>
      <x:c r="D33" s="47"/>
      <x:c r="E33" s="47"/>
      <x:c r="F33" s="47"/>
      <x:c r="G33" s="47"/>
    </x:row>
    <x:row r="35" ht="34" customHeight="1">
      <x:c r="B35" s="46" t="str">
        <x:v>C | Explain the negative PV and the FV verification.</x:v>
      </x:c>
      <x:c r="C35" s="46"/>
      <x:c r="D35" s="46"/>
      <x:c r="E35" s="46"/>
      <x:c r="F35" s="46"/>
      <x:c r="G35" s="46"/>
    </x:row>
    <x:row r="36" ht="28" customHeight="1">
      <x:c r="B36" s="47"/>
      <x:c r="C36" s="47"/>
      <x:c r="D36" s="47"/>
      <x:c r="E36" s="47"/>
      <x:c r="F36" s="47"/>
      <x:c r="G36" s="47"/>
    </x:row>
    <x:row r="37" ht="28" customHeight="1">
      <x:c r="B37" s="47"/>
      <x:c r="C37" s="47"/>
      <x:c r="D37" s="47"/>
      <x:c r="E37" s="47"/>
      <x:c r="F37" s="47"/>
      <x:c r="G37" s="47"/>
    </x:row>
    <x:row r="38" ht="28" customHeight="1">
      <x:c r="B38" s="47"/>
      <x:c r="C38" s="47"/>
      <x:c r="D38" s="47"/>
      <x:c r="E38" s="47"/>
      <x:c r="F38" s="47"/>
      <x:c r="G38" s="47"/>
    </x:row>
  </x:sheetData>
  <x:mergeCells>
    <x:mergeCell ref="A1:I1"/>
    <x:mergeCell ref="A2:I2"/>
    <x:mergeCell ref="A11:I11"/>
    <x:mergeCell ref="A15:I15"/>
    <x:mergeCell ref="B25:G25"/>
    <x:mergeCell ref="B26:G28"/>
    <x:mergeCell ref="B30:G30"/>
    <x:mergeCell ref="B31:G33"/>
    <x:mergeCell ref="B35:G35"/>
    <x:mergeCell ref="B36:G38"/>
  </x:mergeCells>
  <x:conditionalFormatting sqref="H6:H18">
    <x:cfRule type="containsText" dxfId="2" priority="1" operator="containsText" text="Correct"/>
    <x:cfRule type="containsText" dxfId="1" priority="2" operator="containsText" text="Try again"/>
    <x:cfRule type="containsText" dxfId="0" priority="3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baseColWidth="10" defaultColWidth="8.83203125" defaultRowHeight="23"/>
  <x:cols>
    <x:col min="1" max="1" width="8.83203125" style="4" customWidth="1"/>
    <x:col min="2" max="2" width="16.6640625" style="4" customWidth="1"/>
    <x:col min="3" max="3" width="46.83203125" style="4" customWidth="1"/>
    <x:col min="4" max="4" width="27" style="4" customWidth="1"/>
    <x:col min="5" max="5" width="28" style="4" customWidth="1"/>
    <x:col min="6" max="6" width="37.33203125" style="4" customWidth="1"/>
    <x:col min="7" max="7" width="36.6640625" style="4" customWidth="1"/>
    <x:col min="8" max="8" width="51" style="4" customWidth="1"/>
    <x:col min="9" max="16384" width="8.83203125" style="4" customWidth="0"/>
  </x:cols>
  <x:sheetData>
    <x:row r="1" ht="30" customHeight="1">
      <x:c r="A1" s="20" t="s">
        <x:v>62</x:v>
      </x:c>
      <x:c r="B1" s="20" t="s">
        <x:v>62</x:v>
      </x:c>
      <x:c r="C1" s="20" t="s">
        <x:v>62</x:v>
      </x:c>
      <x:c r="D1" s="20" t="s">
        <x:v>62</x:v>
      </x:c>
      <x:c r="E1" s="20" t="s">
        <x:v>62</x:v>
      </x:c>
      <x:c r="F1" s="20" t="s">
        <x:v>62</x:v>
      </x:c>
      <x:c r="G1" s="20" t="s">
        <x:v>62</x:v>
      </x:c>
      <x:c r="H1" s="20" t="s">
        <x:v>62</x:v>
      </x:c>
    </x:row>
    <x:row r="2" ht="34" customHeight="1">
      <x:c r="A2" s="21" t="s">
        <x:v>63</x:v>
      </x:c>
      <x:c r="B2" s="21" t="s">
        <x:v>63</x:v>
      </x:c>
      <x:c r="C2" s="21" t="s">
        <x:v>63</x:v>
      </x:c>
      <x:c r="D2" s="21" t="s">
        <x:v>63</x:v>
      </x:c>
      <x:c r="E2" s="21" t="s">
        <x:v>63</x:v>
      </x:c>
      <x:c r="F2" s="21" t="s">
        <x:v>63</x:v>
      </x:c>
      <x:c r="G2" s="21" t="s">
        <x:v>63</x:v>
      </x:c>
      <x:c r="H2" s="21" t="s">
        <x:v>63</x:v>
      </x:c>
    </x:row>
    <x:row r="3" ht="30" customHeight="1"/>
    <x:row r="4" ht="30" customHeight="1">
      <x:c r="A4" s="22" t="s">
        <x:v>64</x:v>
      </x:c>
      <x:c r="B4" s="23" t="s">
        <x:v>64</x:v>
      </x:c>
      <x:c r="C4" s="23" t="s">
        <x:v>64</x:v>
      </x:c>
      <x:c r="D4" s="23" t="s">
        <x:v>64</x:v>
      </x:c>
      <x:c r="E4" s="23" t="s">
        <x:v>64</x:v>
      </x:c>
      <x:c r="F4" s="23" t="s">
        <x:v>64</x:v>
      </x:c>
      <x:c r="G4" s="23" t="s">
        <x:v>64</x:v>
      </x:c>
      <x:c r="H4" s="24" t="s">
        <x:v>64</x:v>
      </x:c>
    </x:row>
    <x:row r="5" ht="30" customHeight="1">
      <x:c r="A5" s="7" t="s">
        <x:v>65</x:v>
      </x:c>
      <x:c r="B5" s="7" t="s">
        <x:v>66</x:v>
      </x:c>
      <x:c r="C5" s="7" t="s">
        <x:v>67</x:v>
      </x:c>
      <x:c r="D5" s="7" t="s">
        <x:v>68</x:v>
      </x:c>
      <x:c r="E5" s="7" t="s">
        <x:v>69</x:v>
      </x:c>
      <x:c r="F5" s="7" t="s">
        <x:v>70</x:v>
      </x:c>
      <x:c r="G5" s="7" t="s">
        <x:v>71</x:v>
      </x:c>
      <x:c r="H5" s="7" t="s">
        <x:v>72</x:v>
      </x:c>
    </x:row>
    <x:row r="6" ht="48">
      <x:c r="A6" s="6" t="s">
        <x:v>73</x:v>
      </x:c>
      <x:c r="B6" s="6" t="s">
        <x:v>74</x:v>
      </x:c>
      <x:c r="C6" s="6" t="s">
        <x:v>75</x:v>
      </x:c>
      <x:c r="D6" s="14">
        <x:v>-27306.68</x:v>
      </x:c>
      <x:c r="E6" s="16" t="n">
        <x:f>FV(F6,G6,0,D6)</x:f>
        <x:v>30999.99710615989</x:v>
      </x:c>
      <x:c r="F6" s="15">
        <x:v>5.8000000000000003E-2</x:v>
      </x:c>
      <x:c r="G6" s="18">
        <x:v>2.25</x:v>
      </x:c>
      <x:c r="H6" s="13" t="s">
        <x:v>76</x:v>
      </x:c>
    </x:row>
    <x:row r="7" ht="30" customHeight="1"/>
    <x:row r="8" ht="30" customHeight="1">
      <x:c r="A8" s="22" t="s">
        <x:v>77</x:v>
      </x:c>
      <x:c r="B8" s="23" t="s">
        <x:v>77</x:v>
      </x:c>
      <x:c r="C8" s="23" t="s">
        <x:v>77</x:v>
      </x:c>
      <x:c r="D8" s="23" t="s">
        <x:v>77</x:v>
      </x:c>
      <x:c r="E8" s="23" t="s">
        <x:v>77</x:v>
      </x:c>
      <x:c r="F8" s="23" t="s">
        <x:v>77</x:v>
      </x:c>
      <x:c r="G8" s="23" t="s">
        <x:v>77</x:v>
      </x:c>
      <x:c r="H8" s="24" t="s">
        <x:v>77</x:v>
      </x:c>
    </x:row>
    <x:row r="9" ht="58" customHeight="1">
      <x:c r="A9" s="6" t="s">
        <x:v>78</x:v>
      </x:c>
      <x:c r="B9" s="14">
        <x:v>75000</x:v>
      </x:c>
      <x:c r="C9" s="6" t="s">
        <x:v>79</x:v>
      </x:c>
      <x:c r="D9" s="15">
        <x:v>0.06</x:v>
      </x:c>
      <x:c r="E9" s="6" t="s">
        <x:v>80</x:v>
      </x:c>
      <x:c r="F9" s="11" t="s">
        <x:v>81</x:v>
      </x:c>
      <x:c r="G9" s="6" t="s">
        <x:v>82</x:v>
      </x:c>
      <x:c r="H9" s="11" t="s">
        <x:v>83</x:v>
      </x:c>
    </x:row>
    <x:row r="10" ht="30" customHeight="1"/>
    <x:row r="11" ht="30" customHeight="1">
      <x:c r="A11" s="7" t="s">
        <x:v>65</x:v>
      </x:c>
      <x:c r="B11" s="7" t="s">
        <x:v>84</x:v>
      </x:c>
      <x:c r="C11" s="7" t="s">
        <x:v>85</x:v>
      </x:c>
      <x:c r="D11" s="7" t="s">
        <x:v>86</x:v>
      </x:c>
      <x:c r="E11" s="7" t="s">
        <x:v>69</x:v>
      </x:c>
      <x:c r="F11" s="7" t="s">
        <x:v>87</x:v>
      </x:c>
      <x:c r="G11" s="7" t="s">
        <x:v>80</x:v>
      </x:c>
      <x:c r="H11" s="7" t="s">
        <x:v>72</x:v>
      </x:c>
    </x:row>
    <x:row r="12" ht="42" customHeight="1">
      <x:c r="A12" s="6" t="s">
        <x:v>88</x:v>
      </x:c>
      <x:c r="B12" s="6">
        <x:v>1</x:v>
      </x:c>
      <x:c r="C12" s="19">
        <x:v>18000</x:v>
      </x:c>
      <x:c r="D12" s="15" t="n">
        <x:f>$D$9</x:f>
        <x:v>0.06</x:v>
      </x:c>
      <x:c r="E12" s="16"/>
      <x:c r="F12" s="13" t="s">
        <x:v>89</x:v>
      </x:c>
      <x:c r="G12" s="13" t="s">
        <x:v>90</x:v>
      </x:c>
      <x:c r="H12" s="13" t="s">
        <x:v>91</x:v>
      </x:c>
    </x:row>
    <x:row r="13" ht="42" customHeight="1">
      <x:c r="A13" s="6" t="s">
        <x:v>92</x:v>
      </x:c>
      <x:c r="B13" s="6">
        <x:v>2</x:v>
      </x:c>
      <x:c r="C13" s="19">
        <x:v>22000</x:v>
      </x:c>
      <x:c r="D13" s="15" t="n">
        <x:f>$D$9</x:f>
        <x:v>0.06</x:v>
      </x:c>
      <x:c r="E13" s="16"/>
      <x:c r="F13" s="13" t="s">
        <x:v>89</x:v>
      </x:c>
      <x:c r="G13" s="13" t="s">
        <x:v>90</x:v>
      </x:c>
      <x:c r="H13" s="13" t="s">
        <x:v>91</x:v>
      </x:c>
    </x:row>
    <x:row r="14" ht="42" customHeight="1">
      <x:c r="A14" s="6" t="s">
        <x:v>93</x:v>
      </x:c>
      <x:c r="B14" s="6">
        <x:v>3</x:v>
      </x:c>
      <x:c r="C14" s="19">
        <x:v>25000</x:v>
      </x:c>
      <x:c r="D14" s="15" t="n">
        <x:f>$D$9</x:f>
        <x:v>0.06</x:v>
      </x:c>
      <x:c r="E14" s="16"/>
      <x:c r="F14" s="13" t="s">
        <x:v>89</x:v>
      </x:c>
      <x:c r="G14" s="13" t="s">
        <x:v>90</x:v>
      </x:c>
      <x:c r="H14" s="13" t="s">
        <x:v>91</x:v>
      </x:c>
    </x:row>
    <x:row r="15" ht="42" customHeight="1">
      <x:c r="A15" s="6" t="s">
        <x:v>94</x:v>
      </x:c>
      <x:c r="B15" s="6">
        <x:v>4</x:v>
      </x:c>
      <x:c r="C15" s="19">
        <x:v>20000</x:v>
      </x:c>
      <x:c r="D15" s="15" t="n">
        <x:f>$D$9</x:f>
        <x:v>0.06</x:v>
      </x:c>
      <x:c r="E15" s="16"/>
      <x:c r="F15" s="13" t="s">
        <x:v>89</x:v>
      </x:c>
      <x:c r="G15" s="13" t="s">
        <x:v>90</x:v>
      </x:c>
      <x:c r="H15" s="13" t="s">
        <x:v>91</x:v>
      </x:c>
    </x:row>
    <x:row r="16" ht="42" customHeight="1">
      <x:c r="A16" s="6" t="s">
        <x:v>95</x:v>
      </x:c>
      <x:c r="B16" s="6">
        <x:v>5</x:v>
      </x:c>
      <x:c r="C16" s="19">
        <x:v>15000</x:v>
      </x:c>
      <x:c r="D16" s="15" t="n">
        <x:f>$D$9</x:f>
        <x:v>0.06</x:v>
      </x:c>
      <x:c r="E16" s="16"/>
      <x:c r="F16" s="13" t="s">
        <x:v>89</x:v>
      </x:c>
      <x:c r="G16" s="13" t="s">
        <x:v>90</x:v>
      </x:c>
      <x:c r="H16" s="13" t="s">
        <x:v>91</x:v>
      </x:c>
    </x:row>
    <x:row r="17" ht="42" customHeight="1">
      <x:c r="A17" s="6" t="s">
        <x:v>96</x:v>
      </x:c>
      <x:c r="B17" s="6"/>
      <x:c r="C17" s="6"/>
      <x:c r="D17" s="6"/>
      <x:c r="E17" s="16"/>
      <x:c r="F17" s="13" t="s">
        <x:v>97</x:v>
      </x:c>
      <x:c r="G17" s="13" t="s">
        <x:v>98</x:v>
      </x:c>
      <x:c r="H17" s="13" t="s">
        <x:v>99</x:v>
      </x:c>
    </x:row>
    <x:row r="18" ht="42" customHeight="1">
      <x:c r="A18" s="6" t="s">
        <x:v>100</x:v>
      </x:c>
      <x:c r="B18" s="6"/>
      <x:c r="C18" s="6"/>
      <x:c r="D18" s="6"/>
      <x:c r="E18" s="16"/>
      <x:c r="F18" s="13" t="s">
        <x:v>101</x:v>
      </x:c>
      <x:c r="G18" s="13" t="s">
        <x:v>102</x:v>
      </x:c>
      <x:c r="H18" s="13" t="s">
        <x:v>103</x:v>
      </x:c>
    </x:row>
    <x:row r="19" ht="44" customHeight="1">
      <x:c r="A19" s="6" t="s">
        <x:v>104</x:v>
      </x:c>
      <x:c r="B19" s="26" t="s">
        <x:v>105</x:v>
      </x:c>
      <x:c r="C19" s="26" t="s">
        <x:v>105</x:v>
      </x:c>
      <x:c r="D19" s="26" t="s">
        <x:v>105</x:v>
      </x:c>
      <x:c r="E19" s="26" t="s">
        <x:v>105</x:v>
      </x:c>
      <x:c r="F19" s="27" t="s">
        <x:v>106</x:v>
      </x:c>
      <x:c r="G19" s="27" t="s">
        <x:v>106</x:v>
      </x:c>
      <x:c r="H19" s="27" t="s">
        <x:v>106</x:v>
      </x:c>
    </x:row>
    <x:row r="20" ht="44" customHeight="1">
      <x:c r="A20" s="25" t="s">
        <x:v>107</x:v>
      </x:c>
      <x:c r="B20" s="26" t="s">
        <x:v>108</x:v>
      </x:c>
      <x:c r="C20" s="26" t="s">
        <x:v>108</x:v>
      </x:c>
      <x:c r="D20" s="26" t="s">
        <x:v>108</x:v>
      </x:c>
      <x:c r="E20" s="26" t="s">
        <x:v>108</x:v>
      </x:c>
      <x:c r="F20" s="27" t="s">
        <x:v>109</x:v>
      </x:c>
      <x:c r="G20" s="27" t="s">
        <x:v>109</x:v>
      </x:c>
      <x:c r="H20" s="27" t="s">
        <x:v>109</x:v>
      </x:c>
    </x:row>
    <x:row r="21" ht="44" customHeight="1">
      <x:c r="A21" s="25" t="s">
        <x:v>107</x:v>
      </x:c>
      <x:c r="B21" s="26" t="s">
        <x:v>108</x:v>
      </x:c>
      <x:c r="C21" s="26" t="s">
        <x:v>108</x:v>
      </x:c>
      <x:c r="D21" s="26" t="s">
        <x:v>108</x:v>
      </x:c>
      <x:c r="E21" s="26" t="s">
        <x:v>108</x:v>
      </x:c>
      <x:c r="F21" s="27" t="s">
        <x:v>109</x:v>
      </x:c>
      <x:c r="G21" s="27" t="s">
        <x:v>109</x:v>
      </x:c>
      <x:c r="H21" s="27" t="s">
        <x:v>109</x:v>
      </x:c>
    </x:row>
    <x:row r="22" ht="44" customHeight="1">
      <x:c r="A22" s="25" t="s">
        <x:v>110</x:v>
      </x:c>
      <x:c r="B22" s="26" t="s">
        <x:v>111</x:v>
      </x:c>
      <x:c r="C22" s="26" t="s">
        <x:v>111</x:v>
      </x:c>
      <x:c r="D22" s="26" t="s">
        <x:v>111</x:v>
      </x:c>
      <x:c r="E22" s="26" t="s">
        <x:v>111</x:v>
      </x:c>
      <x:c r="F22" s="27" t="s">
        <x:v>112</x:v>
      </x:c>
      <x:c r="G22" s="27" t="s">
        <x:v>112</x:v>
      </x:c>
      <x:c r="H22" s="27" t="s">
        <x:v>112</x:v>
      </x:c>
    </x:row>
    <x:row r="23" ht="44" customHeight="1">
      <x:c r="A23" s="25" t="s">
        <x:v>110</x:v>
      </x:c>
      <x:c r="B23" s="26" t="s">
        <x:v>111</x:v>
      </x:c>
      <x:c r="C23" s="26" t="s">
        <x:v>111</x:v>
      </x:c>
      <x:c r="D23" s="26" t="s">
        <x:v>111</x:v>
      </x:c>
      <x:c r="E23" s="26" t="s">
        <x:v>111</x:v>
      </x:c>
      <x:c r="F23" s="27" t="s">
        <x:v>112</x:v>
      </x:c>
      <x:c r="G23" s="27" t="s">
        <x:v>112</x:v>
      </x:c>
      <x:c r="H23" s="27" t="s">
        <x:v>112</x:v>
      </x:c>
    </x:row>
  </x:sheetData>
  <x:mergeCells>
    <x:mergeCell ref="A1:H1"/>
    <x:mergeCell ref="A2:H2"/>
    <x:mergeCell ref="A4:H4"/>
    <x:mergeCell ref="A8:H8"/>
    <x:mergeCell ref="B19:E19"/>
    <x:mergeCell ref="F19:H19"/>
    <x:mergeCell ref="A20:A21"/>
    <x:mergeCell ref="B20:E21"/>
    <x:mergeCell ref="F20:H21"/>
    <x:mergeCell ref="A22:A23"/>
    <x:mergeCell ref="B22:E23"/>
    <x:mergeCell ref="F22:H23"/>
  </x:mergeCells>
  <x:dataValidations count="1">
    <x:dataValidation type="list" sqref="B19:E19">
      <x:formula1>"Payment stream,Cash offer"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25.5" customWidth="1"/>
    <x:col min="2" max="2" width="35.5" customWidth="1"/>
    <x:col min="3" max="3" width="54.5" customWidth="1"/>
    <x:col min="4" max="4" width="53.33203125" customWidth="1"/>
  </x:cols>
  <x:sheetData>
    <x:row r="1" ht="34" customHeight="1">
      <x:c r="A1" s="28" t="s">
        <x:v>113</x:v>
      </x:c>
      <x:c r="B1" s="28" t="s">
        <x:v>113</x:v>
      </x:c>
      <x:c r="C1" s="28" t="s">
        <x:v>113</x:v>
      </x:c>
      <x:c r="D1" s="28" t="s">
        <x:v>113</x:v>
      </x:c>
    </x:row>
    <x:row r="2" ht="36" customHeight="1">
      <x:c r="A2" s="29" t="s">
        <x:v>114</x:v>
      </x:c>
      <x:c r="B2" s="29" t="s">
        <x:v>114</x:v>
      </x:c>
      <x:c r="C2" s="29" t="s">
        <x:v>114</x:v>
      </x:c>
      <x:c r="D2" s="29" t="s">
        <x:v>114</x:v>
      </x:c>
    </x:row>
    <x:row r="3" ht="34" customHeight="1"/>
    <x:row r="4" ht="34" customHeight="1"/>
    <x:row r="5" ht="34" customHeight="1">
      <x:c r="A5" s="2" t="s">
        <x:v>115</x:v>
      </x:c>
      <x:c r="B5" s="2" t="s">
        <x:v>116</x:v>
      </x:c>
      <x:c r="C5" s="2" t="s">
        <x:v>117</x:v>
      </x:c>
      <x:c r="D5" s="2" t="s">
        <x:v>118</x:v>
      </x:c>
    </x:row>
    <x:row r="6" ht="52" customHeight="1">
      <x:c r="A6" s="1" t="s">
        <x:v>119</x:v>
      </x:c>
      <x:c r="B6" s="3" t="s">
        <x:v>120</x:v>
      </x:c>
      <x:c r="C6" s="1" t="s">
        <x:v>121</x:v>
      </x:c>
      <x:c r="D6" s="1" t="s">
        <x:v>122</x:v>
      </x:c>
    </x:row>
    <x:row r="7" ht="52" customHeight="1">
      <x:c r="A7" s="1" t="s">
        <x:v>123</x:v>
      </x:c>
      <x:c r="B7" s="3" t="s">
        <x:v>124</x:v>
      </x:c>
      <x:c r="C7" s="1" t="s">
        <x:v>125</x:v>
      </x:c>
      <x:c r="D7" s="1" t="s">
        <x:v>126</x:v>
      </x:c>
    </x:row>
    <x:row r="8" ht="52" customHeight="1">
      <x:c r="A8" s="1" t="s">
        <x:v>127</x:v>
      </x:c>
      <x:c r="B8" s="3" t="s">
        <x:v>128</x:v>
      </x:c>
      <x:c r="C8" s="1" t="s">
        <x:v>129</x:v>
      </x:c>
      <x:c r="D8" s="1" t="s">
        <x:v>130</x:v>
      </x:c>
    </x:row>
    <x:row r="9" ht="52" customHeight="1">
      <x:c r="A9" s="1" t="s">
        <x:v>131</x:v>
      </x:c>
      <x:c r="B9" s="3" t="s">
        <x:v>132</x:v>
      </x:c>
      <x:c r="C9" s="1" t="s">
        <x:v>133</x:v>
      </x:c>
      <x:c r="D9" s="1" t="s">
        <x:v>134</x:v>
      </x:c>
    </x:row>
    <x:row r="10" ht="52" customHeight="1">
      <x:c r="A10" s="1" t="s">
        <x:v>135</x:v>
      </x:c>
      <x:c r="B10" s="3" t="s">
        <x:v>136</x:v>
      </x:c>
      <x:c r="C10" s="1" t="s">
        <x:v>137</x:v>
      </x:c>
      <x:c r="D10" s="1" t="s">
        <x:v>138</x:v>
      </x:c>
    </x:row>
    <x:row r="11" ht="52" customHeight="1">
      <x:c r="A11" s="1" t="s">
        <x:v>139</x:v>
      </x:c>
      <x:c r="B11" s="3" t="s">
        <x:v>140</x:v>
      </x:c>
      <x:c r="C11" s="1" t="s">
        <x:v>141</x:v>
      </x:c>
      <x:c r="D11" s="1" t="s">
        <x:v>142</x:v>
      </x:c>
    </x:row>
    <x:row r="12" ht="52" customHeight="1">
      <x:c r="A12" s="1" t="s">
        <x:v>143</x:v>
      </x:c>
      <x:c r="B12" s="3" t="s">
        <x:v>144</x:v>
      </x:c>
      <x:c r="C12" s="1" t="s">
        <x:v>145</x:v>
      </x:c>
      <x:c r="D12" s="1" t="s">
        <x:v>146</x:v>
      </x:c>
    </x:row>
    <x:row r="13" ht="52" customHeight="1">
      <x:c r="A13" s="1" t="s">
        <x:v>147</x:v>
      </x:c>
      <x:c r="B13" s="3" t="s">
        <x:v>148</x:v>
      </x:c>
      <x:c r="C13" s="1" t="s">
        <x:v>149</x:v>
      </x:c>
      <x:c r="D13" s="1" t="s">
        <x:v>150</x:v>
      </x:c>
    </x:row>
    <x:row r="14" ht="52" customHeight="1">
      <x:c r="A14" s="1" t="s">
        <x:v>151</x:v>
      </x:c>
      <x:c r="B14" s="3" t="s">
        <x:v>152</x:v>
      </x:c>
      <x:c r="C14" s="1" t="s">
        <x:v>153</x:v>
      </x:c>
      <x:c r="D14" s="1" t="s">
        <x:v>154</x:v>
      </x:c>
    </x:row>
    <x:row r="15" ht="52" customHeight="1">
      <x:c r="A15" s="1" t="s">
        <x:v>155</x:v>
      </x:c>
      <x:c r="B15" s="3" t="s">
        <x:v>156</x:v>
      </x:c>
      <x:c r="C15" s="1" t="s">
        <x:v>157</x:v>
      </x:c>
      <x:c r="D15" s="1" t="s">
        <x:v>158</x:v>
      </x:c>
    </x:row>
    <x:row r="16" ht="52" customHeight="1">
      <x:c r="A16" s="1" t="s">
        <x:v>159</x:v>
      </x:c>
      <x:c r="B16" s="3" t="s">
        <x:v>160</x:v>
      </x:c>
      <x:c r="C16" s="1" t="s">
        <x:v>161</x:v>
      </x:c>
      <x:c r="D16" s="1" t="s">
        <x:v>162</x:v>
      </x:c>
    </x:row>
  </x:sheetData>
  <x:mergeCells>
    <x:mergeCell ref="A1:D1"/>
    <x:mergeCell ref="A2:D2"/>
  </x:mergeCells>
  <x:pageMargins left="0.7" right="0.7" top="0.75" bottom="0.75" header="0.3" footer="0.3"/>
</x:worksheet>
</file>