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af8c4c5c1548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6e098c3d8f34e3d"/>
    <x:sheet xmlns:r="http://schemas.openxmlformats.org/officeDocument/2006/relationships" name="Live You Try It" sheetId="2" r:id="R03f6d0b62ea54059"/>
    <x:sheet xmlns:r="http://schemas.openxmlformats.org/officeDocument/2006/relationships" name="Class Challenge" sheetId="3" r:id="Rf8122bb45fe1478f"/>
    <x:sheet xmlns:r="http://schemas.openxmlformats.org/officeDocument/2006/relationships" name="FormulaReferenceCard" sheetId="4" r:id="R06e34f0b90f04e27"/>
    <x:sheet xmlns:r="http://schemas.openxmlformats.org/officeDocument/2006/relationships" name="Vendor Quotes" sheetId="5" r:id="R3e583bb9c5c74344"/>
  </x:sheets>
</x:workbook>
</file>

<file path=xl/sharedStrings.xml><?xml version="1.0" encoding="utf-8"?>
<x:sst xmlns:x="http://schemas.openxmlformats.org/spreadsheetml/2006/main">
  <x:si>
    <x:t xml:space="preserve">BUS123 · MATH M03 · L01</x:t>
  </x:si>
  <x:si>
    <x:t xml:space="preserve">Discounts: Trade and Cash | Tidal Goods Co. slide-to-Excel workbook</x:t>
  </x:si>
  <x:si>
    <x:t xml:space="preserve">Learning Objectives</x:t>
  </x:si>
  <x:si>
    <x:t xml:space="preserve">1</x:t>
  </x:si>
  <x:si>
    <x:t xml:space="preserve">Calculate a net price from a list price and a single trade discount.</x:t>
  </x:si>
  <x:si>
    <x:t xml:space="preserve">2</x:t>
  </x:si>
  <x:si>
    <x:t xml:space="preserve">Apply successive trade discounts in sequence instead of adding rates.</x:t>
  </x:si>
  <x:si>
    <x:t xml:space="preserve">3</x:t>
  </x:si>
  <x:si>
    <x:t xml:space="preserve">Interpret cash discount terms and calculate the qualifying early payment.</x:t>
  </x:si>
  <x:si>
    <x:t xml:space="preserve">4</x:t>
  </x:si>
  <x:si>
    <x:t xml:space="preserve">Build a linked vendor comparison model and recommend the best qualifying quote.</x:t>
  </x:si>
  <x:si>
    <x:t xml:space="preserve">How to Use This Workbook</x:t>
  </x:si>
  <x:si>
    <x:t xml:space="preserve">During the deck, use Live You Try It for short self-checking Excel pauses.</x:t>
  </x:si>
  <x:si>
    <x:t xml:space="preserve">Start the Vendor Quote Comparison in class and finish the Class Challenge for homework.</x:t>
  </x:si>
  <x:si>
    <x:t xml:space="preserve">Begin on Vendor Quotes, then link the blue source data into the yellow Class Challenge cells.</x:t>
  </x:si>
  <x:si>
    <x:t xml:space="preserve">Use formulas and cell references instead of hardcoding calculated answers.</x:t>
  </x:si>
  <x:si>
    <x:t xml:space="preserve">5</x:t>
  </x:si>
  <x:si>
    <x:t xml:space="preserve">Only the Class Challenge is graded; Live You Try It remains practice and revision.</x:t>
  </x:si>
  <x:si>
    <x:t xml:space="preserve">Color Key</x:t>
  </x:si>
  <x:si>
    <x:t xml:space="preserve">Blue cells</x:t>
  </x:si>
  <x:si>
    <x:t xml:space="preserve">Given quote data and purchase requirements.</x:t>
  </x:si>
  <x:si>
    <x:t xml:space="preserve">Yellow cells</x:t>
  </x:si>
  <x:si>
    <x:t xml:space="preserve">Your required formula, choice, or recommendation input.</x:t>
  </x:si>
  <x:si>
    <x:t xml:space="preserve">Green feedback</x:t>
  </x:si>
  <x:si>
    <x:t xml:space="preserve">M03 · L01 — Live You Try It</x:t>
  </x:si>
  <x:si>
    <x:t xml:space="preserve">Self-check score</x:t>
  </x:si>
  <x:si>
    <x:t xml:space="preserve">M03 · L01 — Class Challenge</x:t>
  </x:si>
  <x:si>
    <x:t xml:space="preserve">Vendor Quote Comparison: build the linked model in class, then finish the purchasing recommendation for homework.</x:t>
  </x:si>
  <x:si>
    <x:t xml:space="preserve">HOW: use formulas and cell references  ·  TIME: 15 minutes in class + finish for homework  ·  DELIVERABLE: completed model, quote choice, and 2-sentence recommendation</x:t>
  </x:si>
  <x:si>
    <x:t xml:space="preserve">Required Units</x:t>
  </x:si>
  <x:si>
    <x:t xml:space="preserve">Planned Payment Day</x:t>
  </x:si>
  <x:si>
    <x:t xml:space="preserve">STEP 1 — Link each quote input from Vendor Quotes. Do not retype the source numbers.</x:t>
  </x:si>
  <x:si>
    <x:t xml:space="preserve">Quote #</x:t>
  </x:si>
  <x:si>
    <x:t xml:space="preserve">Vendor</x:t>
  </x:si>
  <x:si>
    <x:t xml:space="preserve">Available Qty</x:t>
  </x:si>
  <x:si>
    <x:t xml:space="preserve">List Price / Unit</x:t>
  </x:si>
  <x:si>
    <x:t xml:space="preserve">Trade Disc 1</x:t>
  </x:si>
  <x:si>
    <x:t xml:space="preserve">Trade Disc 2</x:t>
  </x:si>
  <x:si>
    <x:t xml:space="preserve">Trade Disc 3</x:t>
  </x:si>
  <x:si>
    <x:t xml:space="preserve">Cash Discount</x:t>
  </x:si>
  <x:si>
    <x:t xml:space="preserve">Discount Days</x:t>
  </x:si>
  <x:si>
    <x:t xml:space="preserve">Net Days</x:t>
  </x:si>
  <x:si>
    <x:t xml:space="preserve">STEP 2 — Compare only qualifying quotes and apply the cash discount only when payment day is inside the discount window.</x:t>
  </x:si>
  <x:si>
    <x:t xml:space="preserve">Qty Ordered</x:t>
  </x:si>
  <x:si>
    <x:t xml:space="preserve">Qty Qualifies?</x:t>
  </x:si>
  <x:si>
    <x:t xml:space="preserve">Net Unit Price</x:t>
  </x:si>
  <x:si>
    <x:t xml:space="preserve">List-Price Total</x:t>
  </x:si>
  <x:si>
    <x:t xml:space="preserve">After-Trade Total</x:t>
  </x:si>
  <x:si>
    <x:t xml:space="preserve">Cash Eligible?</x:t>
  </x:si>
  <x:si>
    <x:t xml:space="preserve">Final Order Cost</x:t>
  </x:si>
  <x:si>
    <x:t xml:space="preserve">Total Savings</x:t>
  </x:si>
  <x:si>
    <x:t xml:space="preserve">Control Difference</x:t>
  </x:si>
  <x:si>
    <x:t xml:space="preserve">Qualifying Cost</x:t>
  </x:si>
  <x:si>
    <x:t xml:space="preserve">STEP 3 — Recommend the best qualifying quote and show the numerical basis.</x:t>
  </x:si>
  <x:si>
    <x:t xml:space="preserve">Best Qualifying Cost</x:t>
  </x:si>
  <x:si>
    <x:t xml:space="preserve">Recommended Quote #</x:t>
  </x:si>
  <x:si>
    <x:t xml:space="preserve">Cost Basis for Recommendation</x:t>
  </x:si>
  <x:si>
    <x:t xml:space="preserve">Control Total — All Final Costs</x:t>
  </x:si>
  <x:si>
    <x:t xml:space="preserve">Recommendation Explanation</x:t>
  </x:si>
  <x:si>
    <x:t xml:space="preserve">Formula Reference Card — Vendor Quote Comparison</x:t>
  </x:si>
  <x:si>
    <x:t xml:space="preserve">Use these patterns as syntax reminders. Your Class Challenge formulas should point to worksheet cells.</x:t>
  </x:si>
  <x:si>
    <x:t xml:space="preserve">Concept</x:t>
  </x:si>
  <x:si>
    <x:t xml:space="preserve">Excel Pattern</x:t>
  </x:si>
  <x:si>
    <x:t xml:space="preserve">Plain-English Meaning</x:t>
  </x:si>
  <x:si>
    <x:t xml:space="preserve">Watch Out For</x:t>
  </x:si>
  <x:si>
    <x:t xml:space="preserve">Cross-sheet link</x:t>
  </x:si>
  <x:si>
    <x:t xml:space="preserve">='Vendor Quotes'!D9</x:t>
  </x:si>
  <x:si>
    <x:t xml:space="preserve">Pulls a source value into the comparison model.</x:t>
  </x:si>
  <x:si>
    <x:t xml:space="preserve">Link the cell; do not retype the number.</x:t>
  </x:si>
  <x:si>
    <x:t xml:space="preserve">Trade complement</x:t>
  </x:si>
  <x:si>
    <x:t xml:space="preserve">=1-discount_rate</x:t>
  </x:si>
  <x:si>
    <x:t xml:space="preserve">Finds the percent the buyer still pays.</x:t>
  </x:si>
  <x:si>
    <x:t xml:space="preserve">Use one complement for each discount.</x:t>
  </x:si>
  <x:si>
    <x:t xml:space="preserve">Net unit price</x:t>
  </x:si>
  <x:si>
    <x:t xml:space="preserve">=list_price*(1-d1)*(1-d2)*(1-d3)</x:t>
  </x:si>
  <x:si>
    <x:t xml:space="preserve">Applies successive trade discounts to one unit.</x:t>
  </x:si>
  <x:si>
    <x:t xml:space="preserve">Do not add chained rates.</x:t>
  </x:si>
  <x:si>
    <x:t xml:space="preserve">List-price total</x:t>
  </x:si>
  <x:si>
    <x:t xml:space="preserve">=quantity*list_price</x:t>
  </x:si>
  <x:si>
    <x:t xml:space="preserve">Finds the order value before discounts.</x:t>
  </x:si>
  <x:si>
    <x:t xml:space="preserve">Use the required order quantity.</x:t>
  </x:si>
  <x:si>
    <x:t xml:space="preserve">After-trade total</x:t>
  </x:si>
  <x:si>
    <x:t xml:space="preserve">=quantity*net_unit_price</x:t>
  </x:si>
  <x:si>
    <x:t xml:space="preserve">Extends the net unit price to the full order.</x:t>
  </x:si>
  <x:si>
    <x:t xml:space="preserve">Link to your net unit result.</x:t>
  </x:si>
  <x:si>
    <x:t xml:space="preserve">Quantity qualification</x:t>
  </x:si>
  <x:si>
    <x:t xml:space="preserve">=IF(available_qty&gt;=required_qty,"Yes","No")</x:t>
  </x:si>
  <x:si>
    <x:t xml:space="preserve">Checks whether the supplier can fill the order.</x:t>
  </x:si>
  <x:si>
    <x:t xml:space="preserve">Lowest price does not win if quantity is short.</x:t>
  </x:si>
  <x:si>
    <x:t xml:space="preserve">Cash eligibility</x:t>
  </x:si>
  <x:si>
    <x:t xml:space="preserve">=IF(payment_day&lt;=discount_days,"Yes","No")</x:t>
  </x:si>
  <x:si>
    <x:t xml:space="preserve">Checks whether the early-pay discount applies.</x:t>
  </x:si>
  <x:si>
    <x:t xml:space="preserve">Read the discount window correctly.</x:t>
  </x:si>
  <x:si>
    <x:t xml:space="preserve">Final order cost</x:t>
  </x:si>
  <x:si>
    <x:t xml:space="preserve">=IF(cash_eligible="Yes",after_trade*(1-cash_rate),after_trade)</x:t>
  </x:si>
  <x:si>
    <x:t xml:space="preserve">Applies cash savings only when earned.</x:t>
  </x:si>
  <x:si>
    <x:t xml:space="preserve">Cash discount follows trade discounts.</x:t>
  </x:si>
  <x:si>
    <x:t xml:space="preserve">Total savings</x:t>
  </x:si>
  <x:si>
    <x:t xml:space="preserve">=list_price_total-final_order_cost</x:t>
  </x:si>
  <x:si>
    <x:t xml:space="preserve">Measures savings against list price.</x:t>
  </x:si>
  <x:si>
    <x:t xml:space="preserve">Savings is not the payment.</x:t>
  </x:si>
  <x:si>
    <x:t xml:space="preserve">Control difference</x:t>
  </x:si>
  <x:si>
    <x:t xml:space="preserve">=list_price_total-final_order_cost-total_savings</x:t>
  </x:si>
  <x:si>
    <x:t xml:space="preserve">Should equal zero when the row ties out.</x:t>
  </x:si>
  <x:si>
    <x:t xml:space="preserve">A nonzero result signals a model error.</x:t>
  </x:si>
  <x:si>
    <x:t xml:space="preserve">Best qualifying cost</x:t>
  </x:si>
  <x:si>
    <x:t xml:space="preserve">=MIN(qualifying_cost_range)</x:t>
  </x:si>
  <x:si>
    <x:t xml:space="preserve">Finds the lowest eligible total.</x:t>
  </x:si>
  <x:si>
    <x:t xml:space="preserve">Exclude quotes that cannot supply the order.</x:t>
  </x:si>
  <x:si>
    <x:t xml:space="preserve">M03 · L01 — Vendor Quotes</x:t>
  </x:si>
  <x:si>
    <x:t xml:space="preserve">Given supplier offers for Tidal Goods Co. Use these blue cells as the source for your linked comparison model.</x:t>
  </x:si>
  <x:si>
    <x:t xml:space="preserve">PURCHASE REQUIREMENTS</x:t>
  </x:si>
  <x:si>
    <x:t xml:space="preserve">Required units</x:t>
  </x:si>
  <x:si>
    <x:t xml:space="preserve">Planned payment day</x:t>
  </x:si>
  <x:si>
    <x:t xml:space="preserve">Qualifying rule</x:t>
  </x:si>
  <x:si>
    <x:t xml:space="preserve">A supplier must have at least 50 units available.</x:t>
  </x:si>
  <x:si>
    <x:t xml:space="preserve">Cash Terms</x:t>
  </x:si>
  <x:si>
    <x:t xml:space="preserve">Atlantic Outfitters</x:t>
  </x:si>
  <x:si>
    <x:t xml:space="preserve">2/10 net 30</x:t>
  </x:si>
  <x:si>
    <x:t xml:space="preserve">Coastal Pro Supply</x:t>
  </x:si>
  <x:si>
    <x:t xml:space="preserve">Harbor Wholesale</x:t>
  </x:si>
  <x:si>
    <x:t xml:space="preserve">3/15 net 45</x:t>
  </x:si>
  <x:si>
    <x:t xml:space="preserve">Shoreline Distribution</x:t>
  </x:si>
  <x:si>
    <x:t xml:space="preserve">3/5 net 30</x:t>
  </x:si>
  <x:si>
    <x:t xml:space="preserve">BlueCurrent Goods</x:t>
  </x:si>
  <x:si>
    <x:t xml:space="preserve">1/10 net 30</x:t>
  </x:si>
  <x:si>
    <x:t xml:space="preserve">Read the terms exactly as written. A cash discount applies only when the planned payment day is inside that supplier's discount window.</x:t>
  </x:si>
</x:sst>
</file>

<file path=xl/styles.xml><?xml version="1.0" encoding="utf-8"?>
<x:styleSheet xmlns:x="http://schemas.openxmlformats.org/spreadsheetml/2006/main">
  <x:numFmts count="5">
    <x:numFmt numFmtId="164" formatCode="\$#,##0.00"/>
    <x:numFmt numFmtId="165" formatCode="0.0%"/>
    <x:numFmt numFmtId="200" formatCode="$#,##0.00"/>
    <x:numFmt numFmtId="201" formatCode="0%"/>
    <x:numFmt numFmtId="202" formatCode="0"/>
  </x:numFmts>
  <x:fonts count="21">
    <x:font>
      <x:sz val="11"/>
      <x:color theme="1"/>
      <x:name val="Calibri"/>
    </x:font>
    <x:font>
      <x:b/>
      <x:sz val="18"/>
      <x:color rgb="FFFFFFFF"/>
      <x:name val="Aptos Display"/>
    </x:font>
    <x:font>
      <x:i/>
      <x:sz val="12"/>
      <x:color rgb="FF355773"/>
      <x:name val="Aptos"/>
    </x:font>
    <x:font>
      <x:b/>
      <x:sz val="11"/>
      <x:color rgb="FFFFFFFF"/>
      <x:name val="Aptos"/>
    </x:font>
    <x:font>
      <x:sz val="11"/>
      <x:color rgb="FF1A1F2C"/>
      <x:name val="Calibri"/>
    </x:font>
    <x:font>
      <x:b/>
      <x:sz val="11"/>
      <x:color rgb="FF355773"/>
      <x:name val="Calibri"/>
    </x:font>
    <x:font>
      <x:b/>
      <x:sz val="20"/>
      <x:color rgb="FFFFFFFF"/>
      <x:name val="Calibri"/>
    </x:font>
    <x:font>
      <x:i/>
      <x:sz val="12"/>
      <x:color rgb="FF355773"/>
      <x:name val="Calibri"/>
    </x:font>
    <x:font>
      <x:b/>
      <x:sz val="11"/>
      <x:color rgb="FF0E1116"/>
      <x:name val="Calibri"/>
    </x:font>
    <x:font>
      <x:b/>
      <x:sz val="11"/>
      <x:color rgb="FFFFFFFF"/>
      <x:name val="Calibri"/>
    </x:font>
    <x:font>
      <x:i/>
      <x:sz val="11"/>
      <x:color rgb="FF4A5567"/>
      <x:name val="Calibri"/>
    </x:font>
    <x:font>
      <x:b/>
      <x:sz val="11"/>
      <x:color rgb="FF9C4A2B"/>
      <x:name val="Calibri"/>
    </x:font>
    <x:font>
      <x:b/>
      <x:sz val="22"/>
      <x:color rgb="FFFFFFFF"/>
      <x:name val="Calibri"/>
    </x:font>
    <x:font>
      <x:sz val="22"/>
      <x:color theme="1"/>
      <x:name val="Calibri"/>
    </x:font>
    <x:font>
      <x:i/>
      <x:sz val="22"/>
      <x:color rgb="FF355773"/>
      <x:name val="Calibri"/>
    </x:font>
    <x:font>
      <x:b/>
      <x:sz val="22"/>
      <x:color rgb="FF0E1116"/>
      <x:name val="Calibri"/>
    </x:font>
    <x:font>
      <x:sz val="22"/>
      <x:color rgb="FF1A1F2C"/>
      <x:name val="Calibri"/>
    </x:font>
    <x:font>
      <x:sz val="14"/>
      <x:color theme="1"/>
      <x:name val="Calibri"/>
    </x:font>
    <x:font>
      <x:i/>
      <x:sz val="14"/>
      <x:color rgb="FF1A1F2C"/>
      <x:name val="Aptos"/>
    </x:font>
    <x:font>
      <x:sz val="14"/>
      <x:color rgb="FF355773"/>
      <x:name val="Calibri"/>
    </x:font>
    <x:font>
      <x:sz val="14"/>
      <x:color rgb="FF1A1F2C"/>
      <x:name val="Calibri"/>
    </x:font>
  </x:fonts>
  <x:fills count="2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FFFFFF"/>
      </x:patternFill>
    </x:fill>
    <x:fill>
      <x:patternFill patternType="solid">
        <x:fgColor rgb="FFF2EEE5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55773"/>
      </x:patternFill>
    </x:fill>
    <x:fill>
      <x:patternFill patternType="solid">
        <x:fgColor rgb="FF355773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</x:fills>
  <x:borders count="5">
    <x:border/>
    <x:border>
      <x:left style="thin">
        <x:color rgb="FFD9E2D9"/>
      </x:left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top style="thin">
        <x:color rgb="FFD9E2D9"/>
      </x:top>
      <x:bottom style="thin">
        <x:color rgb="FFD9E2D9"/>
      </x:bottom>
    </x:border>
    <x:border>
      <x:right style="thin">
        <x:color rgb="FFD9E2D9"/>
      </x:right>
      <x:top style="thin">
        <x:color rgb="FFD9E2D9"/>
      </x:top>
      <x:bottom style="thin">
        <x:color rgb="FFD9E2D9"/>
      </x:bottom>
    </x:border>
    <x:border>
      <x:left style="thin">
        <x:color rgb="FFD9E1E5"/>
      </x:left>
      <x:right style="thin">
        <x:color rgb="FFD9E1E5"/>
      </x:right>
      <x:top style="thin">
        <x:color rgb="FFD9E1E5"/>
      </x:top>
      <x:bottom style="thin">
        <x:color rgb="FFD9E1E5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Border="1" applyAlignment="1">
      <x:alignment vertical="top" wrapText="1"/>
    </x:xf>
    <x:xf numFmtId="0" fontId="3" fillId="5" borderId="1" xfId="0" applyFont="1" applyFill="1" applyBorder="1" applyAlignment="1">
      <x:alignment vertical="top" wrapText="1"/>
    </x:xf>
    <x:xf numFmtId="0" fontId="4" fillId="9" borderId="4" xfId="0" applyFont="1" applyFill="1" applyBorder="1" applyAlignment="1">
      <x:alignment vertical="center"/>
    </x:xf>
    <x:xf numFmtId="0" fontId="4" fillId="11" borderId="4" xfId="0" applyFont="1" applyFill="1" applyBorder="1" applyAlignment="1">
      <x:alignment vertical="center"/>
    </x:xf>
    <x:xf numFmtId="0" fontId="4" fillId="12" borderId="4" xfId="0" applyFont="1" applyFill="1" applyBorder="1" applyAlignment="1">
      <x:alignment vertical="center"/>
    </x:xf>
    <x:xf numFmtId="0" fontId="4" fillId="9" borderId="4" xfId="0" applyFont="1" applyFill="1" applyBorder="1" applyAlignment="1">
      <x:alignment vertical="center" wrapText="1"/>
    </x:xf>
    <x:xf numFmtId="0" fontId="5" fillId="11" borderId="4" xfId="0" applyFont="1" applyFill="1" applyBorder="1" applyAlignment="1">
      <x:alignment vertical="center"/>
    </x:xf>
    <x:xf numFmtId="0" fontId="9" fillId="14" borderId="4" xfId="0" applyFont="1" applyFill="1" applyBorder="1" applyAlignment="1">
      <x:alignment vertical="center" wrapText="1"/>
    </x:xf>
    <x:xf numFmtId="164" fontId="4" fillId="11" borderId="4" xfId="0" applyNumberFormat="1" applyFont="1" applyFill="1" applyBorder="1" applyAlignment="1">
      <x:alignment vertical="center"/>
    </x:xf>
    <x:xf numFmtId="165" fontId="4" fillId="11" borderId="4" xfId="0" applyNumberFormat="1" applyFont="1" applyFill="1" applyBorder="1" applyAlignment="1">
      <x:alignment vertical="center"/>
    </x:xf>
    <x:xf numFmtId="1" fontId="4" fillId="11" borderId="4" xfId="0" applyNumberFormat="1" applyFont="1" applyFill="1" applyBorder="1" applyAlignment="1">
      <x:alignment vertical="center"/>
    </x:xf>
    <x:xf numFmtId="0" fontId="8" fillId="9" borderId="4" xfId="0" applyFont="1" applyFill="1" applyBorder="1" applyAlignment="1">
      <x:alignment vertical="center"/>
    </x:xf>
    <x:xf numFmtId="0" fontId="5" fillId="12" borderId="4" xfId="0" applyFont="1" applyFill="1" applyBorder="1" applyAlignment="1">
      <x:alignment vertical="center"/>
    </x:xf>
    <x:xf numFmtId="164" fontId="4" fillId="12" borderId="4" xfId="0" applyNumberFormat="1" applyFont="1" applyFill="1" applyBorder="1" applyAlignment="1">
      <x:alignment vertical="center"/>
    </x:xf>
    <x:xf numFmtId="165" fontId="4" fillId="12" borderId="4" xfId="0" applyNumberFormat="1" applyFont="1" applyFill="1" applyBorder="1" applyAlignment="1">
      <x:alignment vertical="center"/>
    </x:xf>
    <x:xf numFmtId="1" fontId="4" fillId="12" borderId="4" xfId="0" applyNumberFormat="1" applyFont="1" applyFill="1" applyBorder="1" applyAlignment="1">
      <x:alignment vertical="center"/>
    </x:xf>
    <x:xf numFmtId="0" fontId="8" fillId="10" borderId="4" xfId="0" applyFont="1" applyFill="1" applyBorder="1" applyAlignment="1">
      <x:alignment wrapText="1"/>
    </x:xf>
    <x:xf numFmtId="164" fontId="5" fillId="12" borderId="4" xfId="0" applyNumberFormat="1" applyFont="1" applyFill="1" applyBorder="1"/>
    <x:xf numFmtId="1" fontId="5" fillId="12" borderId="4" xfId="0" applyNumberFormat="1" applyFont="1" applyFill="1" applyBorder="1"/>
    <x:xf numFmtId="0" fontId="5" fillId="8" borderId="4" xfId="0" applyFont="1" applyFill="1" applyBorder="1" applyAlignment="1">
      <x:alignment vertical="center" wrapText="1"/>
    </x:xf>
    <x:xf numFmtId="0" fontId="4" fillId="10" borderId="4" xfId="0" applyFont="1" applyFill="1" applyBorder="1" applyAlignment="1">
      <x:alignment vertical="center" wrapText="1"/>
    </x:xf>
    <x:xf numFmtId="0" fontId="3" fillId="15" borderId="1" xfId="0" applyFont="1" applyFill="1" applyBorder="1" applyAlignment="1">
      <x:alignment vertical="center" wrapText="1"/>
    </x:xf>
    <x:xf numFmtId="0" fontId="6" fillId="7" borderId="0" xfId="0" applyFont="1" applyFill="1" applyAlignment="1">
      <x:alignment vertical="center"/>
    </x:xf>
    <x:xf numFmtId="0" fontId="7" fillId="8" borderId="0" xfId="0" applyFont="1" applyFill="1" applyAlignment="1">
      <x:alignment vertical="center" wrapText="1"/>
    </x:xf>
    <x:xf numFmtId="0" fontId="2" fillId="3" borderId="0" xfId="0" applyFont="1" applyFill="1" applyAlignment="1">
      <x:alignment vertical="center" wrapText="1"/>
    </x:xf>
    <x:xf numFmtId="0" fontId="0" fillId="0" borderId="0" xfId="0"/>
    <x:xf numFmtId="0" fontId="0" fillId="0" borderId="1" xfId="0" applyBorder="1" applyAlignment="1">
      <x:alignment vertical="top" wrapText="1"/>
    </x:xf>
    <x:xf numFmtId="0" fontId="0" fillId="0" borderId="2" xfId="0" applyBorder="1"/>
    <x:xf numFmtId="0" fontId="0" fillId="0" borderId="3" xfId="0" applyBorder="1"/>
    <x:xf numFmtId="0" fontId="1" fillId="2" borderId="0" xfId="0" applyFont="1" applyFill="1" applyAlignment="1">
      <x:alignment vertical="center"/>
    </x:xf>
    <x:xf numFmtId="0" fontId="11" fillId="10" borderId="0" xfId="0" applyFont="1" applyFill="1" applyAlignment="1">
      <x:alignment wrapText="1"/>
    </x:xf>
    <x:xf numFmtId="0" fontId="5" fillId="8" borderId="0" xfId="0" applyFont="1" applyFill="1"/>
    <x:xf numFmtId="0" fontId="8" fillId="10" borderId="0" xfId="0" applyFont="1" applyFill="1"/>
    <x:xf numFmtId="0" fontId="4" fillId="12" borderId="4" xfId="0" applyFont="1" applyFill="1" applyBorder="1" applyAlignment="1">
      <x:alignment vertical="top" wrapText="1"/>
    </x:xf>
    <x:xf numFmtId="0" fontId="10" fillId="10" borderId="0" xfId="0" applyFont="1" applyFill="1" applyAlignment="1">
      <x:alignment wrapText="1"/>
    </x:xf>
    <x:xf numFmtId="0" fontId="12" fillId="7" borderId="0" xfId="0" applyFont="1" applyFill="1" applyAlignment="1">
      <x:alignment vertical="center"/>
    </x:xf>
    <x:xf numFmtId="0" fontId="13" fillId="0" borderId="0" xfId="0" applyFont="1"/>
    <x:xf numFmtId="0" fontId="14" fillId="8" borderId="0" xfId="0" applyFont="1" applyFill="1" applyAlignment="1">
      <x:alignment vertical="center" wrapText="1"/>
    </x:xf>
    <x:xf numFmtId="0" fontId="15" fillId="10" borderId="4" xfId="0" applyFont="1" applyFill="1" applyBorder="1" applyAlignment="1">
      <x:alignment vertical="center"/>
    </x:xf>
    <x:xf numFmtId="0" fontId="15" fillId="10" borderId="4" xfId="0" applyFont="1" applyFill="1" applyBorder="1" applyAlignment="1">
      <x:alignment vertical="center" wrapText="1"/>
    </x:xf>
    <x:xf numFmtId="0" fontId="13" fillId="0" borderId="2" xfId="0" applyFont="1" applyBorder="1"/>
    <x:xf numFmtId="0" fontId="13" fillId="0" borderId="3" xfId="0" applyFont="1" applyBorder="1"/>
    <x:xf numFmtId="0" fontId="16" fillId="9" borderId="4" xfId="0" applyFont="1" applyFill="1" applyBorder="1" applyAlignment="1">
      <x:alignment vertical="center"/>
    </x:xf>
    <x:xf numFmtId="0" fontId="16" fillId="9" borderId="4" xfId="0" applyFont="1" applyFill="1" applyBorder="1" applyAlignment="1">
      <x:alignment vertical="center" wrapText="1"/>
    </x:xf>
    <x:xf numFmtId="0" fontId="16" fillId="11" borderId="4" xfId="0" applyFont="1" applyFill="1" applyBorder="1" applyAlignment="1">
      <x:alignment vertical="center"/>
    </x:xf>
    <x:xf numFmtId="0" fontId="16" fillId="11" borderId="4" xfId="0" applyFont="1" applyFill="1" applyBorder="1" applyAlignment="1">
      <x:alignment vertical="center" wrapText="1"/>
    </x:xf>
    <x:xf numFmtId="0" fontId="16" fillId="12" borderId="4" xfId="0" applyFont="1" applyFill="1" applyBorder="1" applyAlignment="1">
      <x:alignment vertical="center"/>
    </x:xf>
    <x:xf numFmtId="0" fontId="16" fillId="12" borderId="4" xfId="0" applyFont="1" applyFill="1" applyBorder="1" applyAlignment="1">
      <x:alignment vertical="center" wrapText="1"/>
    </x:xf>
    <x:xf numFmtId="0" fontId="16" fillId="13" borderId="4" xfId="0" applyFont="1" applyFill="1" applyBorder="1" applyAlignment="1">
      <x:alignment vertical="center"/>
    </x:xf>
    <x:xf numFmtId="0" fontId="16" fillId="13" borderId="4" xfId="0" applyFont="1" applyFill="1" applyBorder="1" applyAlignment="1">
      <x:alignment vertical="center" wrapText="1"/>
    </x:xf>
    <x:xf numFmtId="0" fontId="17" fillId="0" borderId="1" xfId="0" applyFont="1" applyBorder="1" applyAlignment="1">
      <x:alignment vertical="top" wrapText="1"/>
    </x:xf>
    <x:xf numFmtId="164" fontId="17" fillId="0" borderId="1" xfId="0" applyNumberFormat="1" applyFont="1" applyBorder="1" applyAlignment="1">
      <x:alignment vertical="top" wrapText="1"/>
    </x:xf>
    <x:xf numFmtId="9" fontId="17" fillId="0" borderId="1" xfId="0" applyNumberFormat="1" applyFont="1" applyBorder="1" applyAlignment="1">
      <x:alignment vertical="top" wrapText="1"/>
    </x:xf>
    <x:xf numFmtId="9" fontId="17" fillId="6" borderId="1" xfId="0" applyNumberFormat="1" applyFont="1" applyFill="1" applyBorder="1" applyAlignment="1">
      <x:alignment vertical="top" wrapText="1"/>
    </x:xf>
    <x:xf numFmtId="0" fontId="18" fillId="16" borderId="1" xfId="0" applyFont="1" applyFill="1" applyBorder="1" applyAlignment="1">
      <x:alignment vertical="center" wrapText="1"/>
    </x:xf>
    <x:xf numFmtId="0" fontId="19" fillId="17" borderId="1" xfId="0" applyFont="1" applyFill="1" applyBorder="1" applyAlignment="1">
      <x:alignment vertical="center" wrapText="1"/>
    </x:xf>
    <x:xf numFmtId="164" fontId="17" fillId="6" borderId="1" xfId="0" applyNumberFormat="1" applyFont="1" applyFill="1" applyBorder="1" applyAlignment="1">
      <x:alignment vertical="top" wrapText="1"/>
    </x:xf>
    <x:xf numFmtId="0" fontId="17" fillId="4" borderId="1" xfId="0" applyFont="1" applyFill="1" applyBorder="1" applyAlignment="1">
      <x:alignment vertical="top" wrapText="1"/>
    </x:xf>
    <x:xf numFmtId="0" fontId="20" fillId="16" borderId="1" xfId="0" applyFont="1" applyFill="1" applyBorder="1" applyAlignment="1">
      <x:alignment vertical="center" wrapText="1"/>
    </x:xf>
    <x:xf numFmtId="165" fontId="17" fillId="0" borderId="1" xfId="0" applyNumberFormat="1" applyFont="1" applyBorder="1" applyAlignment="1">
      <x:alignment vertical="top" wrapText="1"/>
    </x:xf>
    <x:xf numFmtId="165" fontId="17" fillId="6" borderId="1" xfId="0" applyNumberFormat="1" applyFont="1" applyFill="1" applyBorder="1" applyAlignment="1">
      <x:alignment vertical="top" wrapText="1"/>
    </x:xf>
    <x:xf numFmtId="1" fontId="17" fillId="0" borderId="1" xfId="0" applyNumberFormat="1" applyFont="1" applyBorder="1" applyAlignment="1">
      <x:alignment vertical="top" wrapText="1"/>
    </x:xf>
    <x:xf numFmtId="1" fontId="17" fillId="6" borderId="1" xfId="0" applyNumberFormat="1" applyFont="1" applyFill="1" applyBorder="1" applyAlignment="1">
      <x:alignment vertical="top" wrapText="1"/>
    </x:xf>
    <x:xf numFmtId="0" fontId="17" fillId="0" borderId="1" xfId="0" applyNumberFormat="1" applyFont="1" applyFill="1" applyBorder="1" applyAlignment="1">
      <x:alignment vertical="top" wrapText="1"/>
    </x:xf>
    <x:xf numFmtId="0" fontId="17" fillId="4" borderId="1" xfId="0" applyNumberFormat="1" applyFont="1" applyFill="1" applyBorder="1" applyAlignment="1">
      <x:alignment vertical="top" wrapText="1"/>
    </x:xf>
    <x:xf numFmtId="0" fontId="18" fillId="4" borderId="1" xfId="0" applyNumberFormat="1" applyFont="1" applyFill="1" applyBorder="1" applyAlignment="1">
      <x:alignment vertical="center" wrapText="1"/>
    </x:xf>
    <x:xf numFmtId="0" fontId="19" fillId="3" borderId="1" xfId="0" applyNumberFormat="1" applyFont="1" applyFill="1" applyBorder="1" applyAlignment="1">
      <x:alignment vertical="center" wrapText="1"/>
    </x:xf>
    <x:xf numFmtId="0" fontId="20" fillId="4" borderId="1" xfId="0" applyNumberFormat="1" applyFont="1" applyFill="1" applyBorder="1" applyAlignment="1">
      <x:alignment vertical="center" wrapText="1"/>
    </x:xf>
    <x:xf numFmtId="0" fontId="18" fillId="18" borderId="1" xfId="0" applyNumberFormat="1" applyFont="1" applyFill="1" applyBorder="1" applyAlignment="1">
      <x:alignment vertical="center" wrapText="1"/>
    </x:xf>
    <x:xf numFmtId="0" fontId="20" fillId="18" borderId="1" xfId="0" applyNumberFormat="1" applyFont="1" applyFill="1" applyBorder="1" applyAlignment="1">
      <x:alignment vertical="center" wrapText="1"/>
    </x:xf>
    <x:xf numFmtId="0" fontId="19" fillId="19" borderId="1" xfId="0" applyNumberFormat="1" applyFont="1" applyFill="1" applyBorder="1" applyAlignment="1">
      <x:alignment vertical="center" wrapText="1"/>
    </x:xf>
    <x:xf numFmtId="200" fontId="17" fillId="0" borderId="1" xfId="0" applyNumberFormat="1" applyFont="1" applyFill="1" applyBorder="1" applyAlignment="1">
      <x:alignment vertical="top" wrapText="1"/>
    </x:xf>
    <x:xf numFmtId="201" fontId="17" fillId="0" borderId="1" xfId="0" applyNumberFormat="1" applyFont="1" applyFill="1" applyBorder="1" applyAlignment="1">
      <x:alignment vertical="top" wrapText="1"/>
    </x:xf>
    <x:xf numFmtId="202" fontId="17" fillId="0" borderId="1" xfId="0" applyNumberFormat="1" applyFont="1" applyFill="1" applyBorder="1" applyAlignment="1">
      <x:alignment vertical="top" wrapText="1"/>
    </x:xf>
    <x:xf numFmtId="202" fontId="17" fillId="6" borderId="1" xfId="0" applyNumberFormat="1" applyFont="1" applyFill="1" applyBorder="1" applyAlignment="1">
      <x:alignment vertical="top" wrapText="1"/>
    </x:xf>
    <x:xf numFmtId="200" fontId="17" fillId="6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C4A2B"/>
      </x:font>
      <x:fill>
        <x:patternFill>
          <x:bgColor rgb="FFF2EEE5"/>
        </x:patternFill>
      </x:fill>
    </x:dxf>
    <x:dxf>
      <x:font>
        <x:b/>
        <x:color rgb="FF4A7C5E"/>
      </x:font>
      <x:fill>
        <x:patternFill>
          <x:bgColor rgb="FFEAF3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27c6cd8b6540d6" /><Relationship Type="http://schemas.openxmlformats.org/officeDocument/2006/relationships/theme" Target="/xl/theme/theme1.xml" Id="Rd80dca2765ae4af8" /><Relationship Type="http://schemas.openxmlformats.org/officeDocument/2006/relationships/sharedStrings" Target="/xl/sharedStrings.xml" Id="R4e6f5d40a99949f0" /><Relationship Type="http://schemas.openxmlformats.org/officeDocument/2006/relationships/worksheet" Target="/xl/worksheets/sheet1.xml" Id="Re6e098c3d8f34e3d" /><Relationship Type="http://schemas.openxmlformats.org/officeDocument/2006/relationships/worksheet" Target="/xl/worksheets/sheet2.xml" Id="R03f6d0b62ea54059" /><Relationship Type="http://schemas.openxmlformats.org/officeDocument/2006/relationships/worksheet" Target="/xl/worksheets/sheet3.xml" Id="Rf8122bb45fe1478f" /><Relationship Type="http://schemas.openxmlformats.org/officeDocument/2006/relationships/worksheet" Target="/xl/worksheets/sheet4.xml" Id="R06e34f0b90f04e27" /><Relationship Type="http://schemas.openxmlformats.org/officeDocument/2006/relationships/worksheet" Target="/xl/worksheets/sheet5.xml" Id="R3e583bb9c5c7434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42.1640625" defaultRowHeight="29"/>
  <x:cols>
    <x:col min="1" max="1" width="42.1640625" style="37" customWidth="0"/>
    <x:col min="2" max="2" width="100.6640625" style="37" customWidth="1"/>
    <x:col min="3" max="16384" width="42.1640625" style="37" customWidth="0"/>
  </x:cols>
  <x:sheetData>
    <x:row r="1">
      <x:c r="A1" s="36" t="s">
        <x:v>0</x:v>
      </x:c>
      <x:c r="B1" s="36"/>
    </x:row>
    <x:row r="2">
      <x:c r="A2" s="38" t="s">
        <x:v>1</x:v>
      </x:c>
      <x:c r="B2" s="38"/>
    </x:row>
    <x:row r="4">
      <x:c r="A4" s="39" t="s">
        <x:v>2</x:v>
      </x:c>
      <x:c r="B4" s="40"/>
      <x:c r="C4" s="41"/>
      <x:c r="D4" s="41"/>
      <x:c r="E4" s="41"/>
      <x:c r="F4" s="41"/>
      <x:c r="G4" s="41"/>
      <x:c r="H4" s="42"/>
    </x:row>
    <x:row r="5" ht="60">
      <x:c r="A5" s="43" t="s">
        <x:v>3</x:v>
      </x:c>
      <x:c r="B5" s="44" t="s">
        <x:v>4</x:v>
      </x:c>
      <x:c r="C5" s="41"/>
      <x:c r="D5" s="41"/>
      <x:c r="E5" s="41"/>
      <x:c r="F5" s="41"/>
      <x:c r="G5" s="41"/>
      <x:c r="H5" s="42"/>
    </x:row>
    <x:row r="6" ht="60">
      <x:c r="A6" s="43" t="s">
        <x:v>5</x:v>
      </x:c>
      <x:c r="B6" s="44" t="s">
        <x:v>6</x:v>
      </x:c>
      <x:c r="C6" s="41"/>
      <x:c r="D6" s="41"/>
      <x:c r="E6" s="41"/>
      <x:c r="F6" s="41"/>
      <x:c r="G6" s="41"/>
      <x:c r="H6" s="42"/>
    </x:row>
    <x:row r="7" ht="60">
      <x:c r="A7" s="43" t="s">
        <x:v>7</x:v>
      </x:c>
      <x:c r="B7" s="44" t="s">
        <x:v>8</x:v>
      </x:c>
      <x:c r="C7" s="41"/>
      <x:c r="D7" s="41"/>
      <x:c r="E7" s="41"/>
      <x:c r="F7" s="41"/>
      <x:c r="G7" s="41"/>
      <x:c r="H7" s="42"/>
    </x:row>
    <x:row r="8" ht="60">
      <x:c r="A8" s="43" t="s">
        <x:v>9</x:v>
      </x:c>
      <x:c r="B8" s="44" t="s">
        <x:v>10</x:v>
      </x:c>
      <x:c r="C8" s="41"/>
      <x:c r="D8" s="41"/>
      <x:c r="E8" s="41"/>
      <x:c r="F8" s="41"/>
      <x:c r="G8" s="41"/>
      <x:c r="H8" s="42"/>
    </x:row>
    <x:row r="9">
      <x:c r="A9" s="39" t="s">
        <x:v>11</x:v>
      </x:c>
      <x:c r="B9" s="40"/>
      <x:c r="C9" s="41"/>
      <x:c r="D9" s="41"/>
      <x:c r="E9" s="41"/>
      <x:c r="F9" s="41"/>
      <x:c r="G9" s="41"/>
      <x:c r="H9" s="42"/>
    </x:row>
    <x:row r="10" ht="60">
      <x:c r="A10" s="43" t="s">
        <x:v>3</x:v>
      </x:c>
      <x:c r="B10" s="44" t="s">
        <x:v>12</x:v>
      </x:c>
      <x:c r="C10" s="41"/>
      <x:c r="D10" s="41"/>
      <x:c r="E10" s="41"/>
      <x:c r="F10" s="41"/>
      <x:c r="G10" s="41"/>
      <x:c r="H10" s="42"/>
    </x:row>
    <x:row r="11" ht="60">
      <x:c r="A11" s="43" t="s">
        <x:v>5</x:v>
      </x:c>
      <x:c r="B11" s="44" t="s">
        <x:v>13</x:v>
      </x:c>
      <x:c r="C11" s="41"/>
      <x:c r="D11" s="41"/>
      <x:c r="E11" s="41"/>
      <x:c r="F11" s="41"/>
      <x:c r="G11" s="41"/>
      <x:c r="H11" s="42"/>
    </x:row>
    <x:row r="12" ht="60">
      <x:c r="A12" s="43" t="s">
        <x:v>7</x:v>
      </x:c>
      <x:c r="B12" s="44" t="s">
        <x:v>14</x:v>
      </x:c>
      <x:c r="C12" s="41"/>
      <x:c r="D12" s="41"/>
      <x:c r="E12" s="41"/>
      <x:c r="F12" s="41"/>
      <x:c r="G12" s="41"/>
      <x:c r="H12" s="42"/>
    </x:row>
    <x:row r="13" ht="60">
      <x:c r="A13" s="43" t="s">
        <x:v>9</x:v>
      </x:c>
      <x:c r="B13" s="44" t="s">
        <x:v>15</x:v>
      </x:c>
      <x:c r="C13" s="41"/>
      <x:c r="D13" s="41"/>
      <x:c r="E13" s="41"/>
      <x:c r="F13" s="41"/>
      <x:c r="G13" s="41"/>
      <x:c r="H13" s="42"/>
    </x:row>
    <x:row r="14" ht="60">
      <x:c r="A14" s="43" t="s">
        <x:v>16</x:v>
      </x:c>
      <x:c r="B14" s="44" t="s">
        <x:v>17</x:v>
      </x:c>
      <x:c r="C14" s="41"/>
      <x:c r="D14" s="41"/>
      <x:c r="E14" s="41"/>
      <x:c r="F14" s="41"/>
      <x:c r="G14" s="41"/>
      <x:c r="H14" s="42"/>
    </x:row>
    <x:row r="15">
      <x:c r="A15" s="39" t="s">
        <x:v>18</x:v>
      </x:c>
      <x:c r="B15" s="40"/>
      <x:c r="C15" s="41"/>
      <x:c r="D15" s="41"/>
      <x:c r="E15" s="41"/>
      <x:c r="F15" s="41"/>
      <x:c r="G15" s="41"/>
      <x:c r="H15" s="42"/>
    </x:row>
    <x:row r="16" ht="30">
      <x:c r="A16" s="45" t="s">
        <x:v>19</x:v>
      </x:c>
      <x:c r="B16" s="46" t="s">
        <x:v>20</x:v>
      </x:c>
      <x:c r="C16" s="41"/>
      <x:c r="D16" s="41"/>
      <x:c r="E16" s="41"/>
      <x:c r="F16" s="41"/>
      <x:c r="G16" s="41"/>
      <x:c r="H16" s="42"/>
    </x:row>
    <x:row r="17" ht="30">
      <x:c r="A17" s="47" t="s">
        <x:v>21</x:v>
      </x:c>
      <x:c r="B17" s="48" t="s">
        <x:v>22</x:v>
      </x:c>
      <x:c r="C17" s="41"/>
      <x:c r="D17" s="41"/>
      <x:c r="E17" s="41"/>
      <x:c r="F17" s="41"/>
      <x:c r="G17" s="41"/>
      <x:c r="H17" s="42"/>
    </x:row>
    <x:row r="18" ht="60">
      <x:c r="A18" s="49" t="s">
        <x:v>23</x:v>
      </x:c>
      <x:c r="B18" s="50" t="str">
        <x:v>One diagnostic feedback column confirms or redirects each Live You Try It formula.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42" hidden="0" customWidth="1"/>
    <x:col min="2" max="2" width="15" hidden="0" customWidth="1"/>
    <x:col min="3" max="5" width="15" customWidth="1"/>
    <x:col min="6" max="6" width="21" hidden="0" customWidth="1"/>
    <x:col min="7" max="7" width="45" hidden="0" customWidth="1"/>
    <x:col min="8" max="8" width="46" hidden="0" customWidth="1"/>
    <x:col min="3" max="3" width="13" hidden="0" customWidth="1"/>
    <x:col min="4" max="4" width="13" hidden="0" customWidth="1"/>
    <x:col min="5" max="5" width="13" hidden="0" customWidth="1"/>
  </x:cols>
  <x:sheetData>
    <x:row r="1" ht="30" customHeight="1">
      <x:c r="A1" s="30" t="s">
        <x:v>24</x:v>
      </x:c>
      <x:c r="B1" s="26"/>
      <x:c r="C1" s="26"/>
      <x:c r="D1" s="26"/>
      <x:c r="E1" s="26"/>
      <x:c r="F1" s="26"/>
      <x:c r="G1" s="26"/>
      <x:c r="H1" s="26"/>
    </x:row>
    <x:row r="2" ht="38" customHeight="1">
      <x:c r="A2" s="25" t="str">
        <x:v>Use the inputs at the start of each pause. Enter formulas in F, then read Feedback in G.</x:v>
      </x:c>
      <x:c r="B2" s="26"/>
      <x:c r="C2" s="26"/>
      <x:c r="D2" s="26"/>
      <x:c r="E2" s="26"/>
      <x:c r="F2" s="26"/>
      <x:c r="G2" s="26"/>
      <x:c r="H2" s="26"/>
    </x:row>
    <x:row r="3" ht="29" customHeight="1"/>
    <x:row r="4" ht="26" customHeight="1">
      <x:c r="A4" s="2" t="str">
        <x:v>Task</x:v>
      </x:c>
      <x:c r="B4" s="2" t="str">
        <x:v>Input A</x:v>
      </x:c>
      <x:c r="C4" s="2" t="str">
        <x:v>Input B</x:v>
      </x:c>
      <x:c r="D4" s="2" t="str">
        <x:v>Input C</x:v>
      </x:c>
      <x:c r="E4" s="2" t="str">
        <x:v>Input D</x:v>
      </x:c>
      <x:c r="F4" s="2" t="str">
        <x:v>Your Formula / Answer</x:v>
      </x:c>
      <x:c r="G4" s="22" t="str">
        <x:v>Feedback</x:v>
      </x:c>
      <x:c r="H4" s="22" t="str">
        <x:v>Business Meaning</x:v>
      </x:c>
    </x:row>
    <x:row r="5" ht="42" customHeight="1">
      <x:c r="A5" s="64" t="str">
        <x:v>Trade percent paid · slide 8</x:v>
      </x:c>
      <x:c r="B5" s="72" t="n">
        <x:v>148.5</x:v>
      </x:c>
      <x:c r="C5" s="73" t="n">
        <x:v>0.24</x:v>
      </x:c>
      <x:c r="D5" s="53"/>
      <x:c r="E5" s="51"/>
      <x:c r="F5" s="61"/>
      <x:c r="G5" s="69" t="str">
        <x:f>IF(F5="","Enter a formula, then check.",IF(ROUND(F5,4)=ROUND(1-C5,4),"Correct - percent paid is 76%.","Try again - subtract the discount rate from 100%."))</x:f>
        <x:v>Enter a formula, then check.</x:v>
      </x:c>
      <x:c r="H5" s="71" t="str">
        <x:v>Percent of list price the buyer pays</x:v>
      </x:c>
    </x:row>
    <x:row r="6" ht="42" customHeight="1">
      <x:c r="A6" s="64" t="str">
        <x:v>Trade discount amount</x:v>
      </x:c>
      <x:c r="B6" s="51"/>
      <x:c r="C6" s="52"/>
      <x:c r="D6" s="53"/>
      <x:c r="E6" s="51"/>
      <x:c r="F6" s="76"/>
      <x:c r="G6" s="69" t="str">
        <x:f>IF(F6="","Enter a formula, then check.",IF(ROUND(F6,2)=ROUND(B5*C5,2),"Correct - discount amount is $35.64.","Try again - multiply list price by discount rate."))</x:f>
        <x:v>Enter a formula, then check.</x:v>
      </x:c>
      <x:c r="H6" s="71" t="str">
        <x:v>Dollars removed from list price</x:v>
      </x:c>
    </x:row>
    <x:row r="7" ht="42" customHeight="1">
      <x:c r="A7" s="64" t="str">
        <x:v>Trade net price</x:v>
      </x:c>
      <x:c r="B7" s="51"/>
      <x:c r="C7" s="52"/>
      <x:c r="D7" s="53"/>
      <x:c r="E7" s="51"/>
      <x:c r="F7" s="76"/>
      <x:c r="G7" s="69" t="str">
        <x:f>IF(F7="","Enter a formula, then check.",IF(ROUND(F7,2)=ROUND(B5*(1-C5),2),"Correct - net price is $112.86.","Try again - multiply list price by percent paid."))</x:f>
        <x:v>Enter a formula, then check.</x:v>
      </x:c>
      <x:c r="H7" s="71" t="str">
        <x:v>Amount Tidal Goods pays</x:v>
      </x:c>
    </x:row>
    <x:row r="8" ht="42" customHeight="1">
      <x:c r="A8" s="65"/>
      <x:c r="B8" s="58"/>
      <x:c r="C8" s="58"/>
      <x:c r="D8" s="58"/>
      <x:c r="E8" s="58"/>
      <x:c r="F8" s="58"/>
      <x:c r="G8" s="70"/>
      <x:c r="H8" s="71"/>
    </x:row>
    <x:row r="9" ht="42" customHeight="1">
      <x:c r="A9" s="64" t="str">
        <x:v>Chain net price · slide 13</x:v>
      </x:c>
      <x:c r="B9" s="72" t="n">
        <x:v>240</x:v>
      </x:c>
      <x:c r="C9" s="73" t="n">
        <x:v>0.25</x:v>
      </x:c>
      <x:c r="D9" s="73" t="n">
        <x:v>0.12</x:v>
      </x:c>
      <x:c r="E9" s="73" t="n">
        <x:v>0.05</x:v>
      </x:c>
      <x:c r="F9" s="76"/>
      <x:c r="G9" s="69" t="str">
        <x:f>IF(F9="","Enter a formula, then check.",IF(ROUND(F9,2)=ROUND(B9*(1-C9)*(1-D9)*(1-E9),2),"Correct - chain net price is $150.48.","Try again - use all three rates in C9:E9."))</x:f>
        <x:v>Enter a formula, then check.</x:v>
      </x:c>
      <x:c r="H9" s="71" t="str">
        <x:v>Final price after all three discounts</x:v>
      </x:c>
    </x:row>
    <x:row r="10" ht="42" customHeight="1">
      <x:c r="A10" s="64" t="str">
        <x:v>Single equivalent discount rate</x:v>
      </x:c>
      <x:c r="B10" s="51"/>
      <x:c r="C10" s="60"/>
      <x:c r="D10" s="51"/>
      <x:c r="E10" s="51"/>
      <x:c r="F10" s="61"/>
      <x:c r="G10" s="69" t="str">
        <x:f>IF(F10="","Enter a formula, then check.",IF(ROUND(F10,4)=ROUND(1-((1-C9)*(1-D9)*(1-E9)),4),"Correct - equivalent discount is 37.3%.","Try again - subtract net price divided by list price from 1."))</x:f>
        <x:v>Enter a formula, then check.</x:v>
      </x:c>
      <x:c r="H10" s="71" t="str">
        <x:v>One rate with the same pricing effect</x:v>
      </x:c>
    </x:row>
    <x:row r="11" customHeight="1" hidden="1">
      <x:c r="A11" s="64"/>
      <x:c r="B11" s="51"/>
      <x:c r="C11" s="60"/>
      <x:c r="D11" s="51"/>
      <x:c r="E11" s="51"/>
      <x:c r="F11" s="76"/>
      <x:c r="G11" s="69"/>
      <x:c r="H11" s="71"/>
    </x:row>
    <x:row r="12" ht="42" customHeight="1">
      <x:c r="A12" s="65"/>
      <x:c r="B12" s="58"/>
      <x:c r="C12" s="58"/>
      <x:c r="D12" s="58"/>
      <x:c r="E12" s="58"/>
      <x:c r="F12" s="58"/>
      <x:c r="G12" s="70"/>
      <x:c r="H12" s="71"/>
    </x:row>
    <x:row r="13" ht="42" customHeight="1">
      <x:c r="A13" s="64" t="str">
        <x:v>Cash discount amount · slide 18</x:v>
      </x:c>
      <x:c r="B13" s="72" t="n">
        <x:v>3750</x:v>
      </x:c>
      <x:c r="C13" s="73" t="n">
        <x:v>0.03</x:v>
      </x:c>
      <x:c r="D13" s="53" t="str">
        <x:v>3/15 net 45</x:v>
      </x:c>
      <x:c r="E13" s="51"/>
      <x:c r="F13" s="76"/>
      <x:c r="G13" s="69" t="str">
        <x:f>IF(F13="","Enter a formula, then check.",IF(ROUND(F13,2)=ROUND(B13*C13,2),"Correct - discount amount is $112.50.","Try again - find the dollars saved."))</x:f>
        <x:v>Enter a formula, then check.</x:v>
      </x:c>
      <x:c r="H13" s="71" t="str">
        <x:v>Dollars saved for paying early</x:v>
      </x:c>
    </x:row>
    <x:row r="14" ht="42" customHeight="1">
      <x:c r="A14" s="64" t="str">
        <x:v>Early payment amount</x:v>
      </x:c>
      <x:c r="B14" s="51"/>
      <x:c r="C14" s="52"/>
      <x:c r="D14" s="53"/>
      <x:c r="E14" s="51"/>
      <x:c r="F14" s="76"/>
      <x:c r="G14" s="69" t="str">
        <x:f>IF(F14="","Enter a formula, then check.",IF(ROUND(F14,2)=ROUND(B13*(1-C13),2),"Correct - early payment is $3,637.50.","Try again - multiply invoice by percent paid."))</x:f>
        <x:v>Enter a formula, then check.</x:v>
      </x:c>
      <x:c r="H14" s="71" t="str">
        <x:v>Amount sent to the supplier</x:v>
      </x:c>
    </x:row>
    <x:row r="15" ht="42" customHeight="1">
      <x:c r="A15" s="64" t="str">
        <x:v>Cash discount eligible? (1=yes, 0=no)</x:v>
      </x:c>
      <x:c r="B15" s="74" t="n">
        <x:v>12</x:v>
      </x:c>
      <x:c r="C15" s="74" t="n">
        <x:v>15</x:v>
      </x:c>
      <x:c r="D15" s="62"/>
      <x:c r="E15" s="51"/>
      <x:c r="F15" s="75"/>
      <x:c r="G15" s="69" t="str">
        <x:f>IF(F15="","Enter a formula, then check.",IF(F15=IF(B15&lt;=C15,1,0),"Correct - day 12 qualifies, so eligibility is 1.","Try again - compare planned day 12 with deadline day 15."))</x:f>
        <x:v>Enter a formula, then check.</x:v>
      </x:c>
      <x:c r="H15" s="71" t="str">
        <x:v>Timing test completed before payment</x:v>
      </x:c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2" customHeight="1">
      <x:c r="A17" s="1" t="s">
        <x:v>25</x:v>
      </x:c>
      <x:c r="B17" s="27" t="str">
        <x:f>COUNTIF(G5:G15,"Correct*")&amp;" of 8 complete"</x:f>
        <x:v>0 of 8 complete</x:v>
      </x:c>
      <x:c r="C17" s="28"/>
      <x:c r="D17" s="28"/>
      <x:c r="E17" s="28"/>
      <x:c r="F17" s="28"/>
      <x:c r="G17" s="28"/>
      <x:c r="H17" s="29"/>
    </x:row>
  </x:sheetData>
  <x:mergeCells>
    <x:mergeCell ref="A2:H2"/>
    <x:mergeCell ref="B17:H17"/>
    <x:mergeCell ref="A1:H1"/>
  </x:mergeCells>
  <x:conditionalFormatting sqref="G5:G15">
    <x:cfRule type="containsText" dxfId="1" priority="1" operator="containsText" text="Correct"/>
    <x:cfRule type="containsText" dxfId="0" priority="2" operator="containsText" text="Try again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6" customWidth="1"/>
    <x:col min="2" max="2" width="23" customWidth="1"/>
    <x:col min="3" max="3" width="13" customWidth="1"/>
    <x:col min="4" max="4" width="15" customWidth="1"/>
    <x:col min="5" max="5" width="14" customWidth="1"/>
    <x:col min="6" max="6" width="15" customWidth="1"/>
    <x:col min="7" max="7" width="16" customWidth="1"/>
    <x:col min="8" max="8" width="14" customWidth="1"/>
    <x:col min="9" max="9" width="16" customWidth="1"/>
    <x:col min="10" max="10" width="14" customWidth="1"/>
    <x:col min="11" max="11" width="15" customWidth="1"/>
    <x:col min="12" max="12" width="16" customWidth="1"/>
  </x:cols>
  <x:sheetData>
    <x:row r="1" ht="34" customHeight="1">
      <x:c r="A1" s="23" t="s">
        <x:v>26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  <x:c r="L1" s="23"/>
    </x:row>
    <x:row r="2" ht="28" customHeight="1">
      <x:c r="A2" s="24" t="s">
        <x:v>27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</x:row>
    <x:row r="3" ht="30" customHeight="1">
      <x:c r="A3" s="31" t="s">
        <x:v>28</x:v>
      </x:c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</x:row>
    <x:row r="5" ht="42" customHeight="1">
      <x:c r="A5" s="12" t="s">
        <x:v>29</x:v>
      </x:c>
      <x:c r="B5" s="13"/>
      <x:c r="C5" s="12" t="s">
        <x:v>30</x:v>
      </x:c>
      <x:c r="D5" s="3"/>
    </x:row>
    <x:row r="6" ht="42" customHeight="1">
      <x:c r="A6" s="32" t="s">
        <x:v>31</x:v>
      </x:c>
      <x:c r="B6" s="32"/>
      <x:c r="C6" s="32"/>
      <x:c r="D6" s="32"/>
      <x:c r="E6" s="32"/>
      <x:c r="F6" s="32"/>
      <x:c r="G6" s="32"/>
      <x:c r="H6" s="32"/>
      <x:c r="I6" s="32"/>
      <x:c r="J6" s="32"/>
      <x:c r="K6" s="32"/>
      <x:c r="L6" s="32"/>
    </x:row>
    <x:row r="7" ht="36" customHeight="1">
      <x:c r="A7" s="8" t="s">
        <x:v>32</x:v>
      </x:c>
      <x:c r="B7" s="8" t="s">
        <x:v>33</x:v>
      </x:c>
      <x:c r="C7" s="8" t="s">
        <x:v>34</x:v>
      </x:c>
      <x:c r="D7" s="8" t="s">
        <x:v>35</x:v>
      </x:c>
      <x:c r="E7" s="8" t="s">
        <x:v>36</x:v>
      </x:c>
      <x:c r="F7" s="8" t="s">
        <x:v>37</x:v>
      </x:c>
      <x:c r="G7" s="8" t="s">
        <x:v>38</x:v>
      </x:c>
      <x:c r="H7" s="8" t="s">
        <x:v>39</x:v>
      </x:c>
      <x:c r="I7" s="8" t="s">
        <x:v>40</x:v>
      </x:c>
      <x:c r="J7" s="8" t="s">
        <x:v>41</x:v>
      </x:c>
    </x:row>
    <x:row r="8" ht="25" customHeight="1">
      <x:c r="A8" s="16"/>
      <x:c r="B8" s="16"/>
      <x:c r="C8" s="16"/>
      <x:c r="D8" s="14"/>
      <x:c r="E8" s="15"/>
      <x:c r="F8" s="15"/>
      <x:c r="G8" s="15"/>
      <x:c r="H8" s="15"/>
      <x:c r="I8" s="16"/>
      <x:c r="J8" s="16"/>
    </x:row>
    <x:row r="9" ht="25" customHeight="1">
      <x:c r="A9" s="16"/>
      <x:c r="B9" s="16"/>
      <x:c r="C9" s="16"/>
      <x:c r="D9" s="14"/>
      <x:c r="E9" s="15"/>
      <x:c r="F9" s="15"/>
      <x:c r="G9" s="15"/>
      <x:c r="H9" s="15"/>
      <x:c r="I9" s="16"/>
      <x:c r="J9" s="16"/>
    </x:row>
    <x:row r="10" ht="25" customHeight="1">
      <x:c r="A10" s="16"/>
      <x:c r="B10" s="16"/>
      <x:c r="C10" s="16"/>
      <x:c r="D10" s="14"/>
      <x:c r="E10" s="15"/>
      <x:c r="F10" s="15"/>
      <x:c r="G10" s="15"/>
      <x:c r="H10" s="15"/>
      <x:c r="I10" s="16"/>
      <x:c r="J10" s="16"/>
    </x:row>
    <x:row r="11" ht="25" customHeight="1">
      <x:c r="A11" s="16"/>
      <x:c r="B11" s="16"/>
      <x:c r="C11" s="16"/>
      <x:c r="D11" s="14"/>
      <x:c r="E11" s="15"/>
      <x:c r="F11" s="15"/>
      <x:c r="G11" s="15"/>
      <x:c r="H11" s="15"/>
      <x:c r="I11" s="16"/>
      <x:c r="J11" s="16"/>
    </x:row>
    <x:row r="12" ht="25" customHeight="1">
      <x:c r="A12" s="16"/>
      <x:c r="B12" s="16"/>
      <x:c r="C12" s="16"/>
      <x:c r="D12" s="14"/>
      <x:c r="E12" s="15"/>
      <x:c r="F12" s="15"/>
      <x:c r="G12" s="15"/>
      <x:c r="H12" s="15"/>
      <x:c r="I12" s="16"/>
      <x:c r="J12" s="16"/>
    </x:row>
    <x:row r="13" ht="25" customHeight="1"/>
    <x:row r="14" ht="25" customHeight="1">
      <x:c r="A14" s="32" t="s">
        <x:v>42</x:v>
      </x:c>
      <x:c r="B14" s="32"/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</x:row>
    <x:row r="15" ht="25" customHeight="1"/>
    <x:row r="16" ht="40" customHeight="1">
      <x:c r="A16" s="8" t="s">
        <x:v>32</x:v>
      </x:c>
      <x:c r="B16" s="8" t="s">
        <x:v>33</x:v>
      </x:c>
      <x:c r="C16" s="8" t="s">
        <x:v>43</x:v>
      </x:c>
      <x:c r="D16" s="8" t="s">
        <x:v>44</x:v>
      </x:c>
      <x:c r="E16" s="8" t="s">
        <x:v>45</x:v>
      </x:c>
      <x:c r="F16" s="8" t="s">
        <x:v>46</x:v>
      </x:c>
      <x:c r="G16" s="8" t="s">
        <x:v>47</x:v>
      </x:c>
      <x:c r="H16" s="8" t="s">
        <x:v>48</x:v>
      </x:c>
      <x:c r="I16" s="8" t="s">
        <x:v>49</x:v>
      </x:c>
      <x:c r="J16" s="8" t="s">
        <x:v>50</x:v>
      </x:c>
      <x:c r="K16" s="8" t="s">
        <x:v>51</x:v>
      </x:c>
      <x:c r="L16" s="8" t="s">
        <x:v>52</x:v>
      </x:c>
    </x:row>
    <x:row r="17" ht="25" customHeight="1">
      <x:c r="A17" s="16"/>
      <x:c r="B17" s="16"/>
      <x:c r="C17" s="16"/>
      <x:c r="D17" s="5"/>
      <x:c r="E17" s="14"/>
      <x:c r="F17" s="14"/>
      <x:c r="G17" s="14"/>
      <x:c r="H17" s="14"/>
      <x:c r="I17" s="14"/>
      <x:c r="J17" s="14"/>
      <x:c r="K17" s="14"/>
      <x:c r="L17" s="14"/>
    </x:row>
    <x:row r="18" ht="25" customHeight="1">
      <x:c r="A18" s="16"/>
      <x:c r="B18" s="16"/>
      <x:c r="C18" s="16"/>
      <x:c r="D18" s="5"/>
      <x:c r="E18" s="14"/>
      <x:c r="F18" s="14"/>
      <x:c r="G18" s="14"/>
      <x:c r="H18" s="14"/>
      <x:c r="I18" s="14"/>
      <x:c r="J18" s="14"/>
      <x:c r="K18" s="14"/>
      <x:c r="L18" s="14"/>
    </x:row>
    <x:row r="19" ht="25" customHeight="1">
      <x:c r="A19" s="16"/>
      <x:c r="B19" s="16"/>
      <x:c r="C19" s="16"/>
      <x:c r="D19" s="5"/>
      <x:c r="E19" s="14"/>
      <x:c r="F19" s="14"/>
      <x:c r="G19" s="14"/>
      <x:c r="H19" s="14"/>
      <x:c r="I19" s="14"/>
      <x:c r="J19" s="14"/>
      <x:c r="K19" s="14"/>
      <x:c r="L19" s="14"/>
    </x:row>
    <x:row r="20" ht="25" customHeight="1">
      <x:c r="A20" s="16"/>
      <x:c r="B20" s="16"/>
      <x:c r="C20" s="16"/>
      <x:c r="D20" s="5"/>
      <x:c r="E20" s="14"/>
      <x:c r="F20" s="14"/>
      <x:c r="G20" s="14"/>
      <x:c r="H20" s="14"/>
      <x:c r="I20" s="14"/>
      <x:c r="J20" s="14"/>
      <x:c r="K20" s="14"/>
      <x:c r="L20" s="14"/>
    </x:row>
    <x:row r="21" ht="25" customHeight="1">
      <x:c r="A21" s="16"/>
      <x:c r="B21" s="16"/>
      <x:c r="C21" s="16"/>
      <x:c r="D21" s="5"/>
      <x:c r="E21" s="14"/>
      <x:c r="F21" s="14"/>
      <x:c r="G21" s="14"/>
      <x:c r="H21" s="14"/>
      <x:c r="I21" s="14"/>
      <x:c r="J21" s="14"/>
      <x:c r="K21" s="14"/>
      <x:c r="L21" s="14"/>
    </x:row>
    <x:row r="22" ht="25" customHeight="1"/>
    <x:row r="23" ht="25" customHeight="1">
      <x:c r="A23" s="33" t="s">
        <x:v>53</x:v>
      </x:c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</x:row>
    <x:row r="24" ht="25" customHeight="1"/>
    <x:row r="25" ht="34" customHeight="1">
      <x:c r="A25" s="17" t="s">
        <x:v>54</x:v>
      </x:c>
      <x:c r="B25" s="18"/>
    </x:row>
    <x:row r="26" ht="34" customHeight="1">
      <x:c r="A26" s="17" t="s">
        <x:v>55</x:v>
      </x:c>
      <x:c r="B26" s="19"/>
    </x:row>
    <x:row r="27" ht="34" customHeight="1">
      <x:c r="A27" s="17" t="s">
        <x:v>56</x:v>
      </x:c>
      <x:c r="B27" s="18"/>
    </x:row>
    <x:row r="28" ht="34" customHeight="1">
      <x:c r="A28" s="17" t="s">
        <x:v>57</x:v>
      </x:c>
      <x:c r="B28" s="18"/>
    </x:row>
    <x:row r="29" ht="58" customHeight="1">
      <x:c r="A29" s="17" t="s">
        <x:v>58</x:v>
      </x:c>
      <x:c r="B29" s="34"/>
      <x:c r="C29" s="34"/>
      <x:c r="D29" s="34"/>
      <x:c r="E29" s="34"/>
      <x:c r="F29" s="34"/>
      <x:c r="G29" s="34"/>
      <x:c r="H29" s="34"/>
      <x:c r="I29" s="34"/>
      <x:c r="J29" s="34"/>
      <x:c r="K29" s="34"/>
      <x:c r="L29" s="34"/>
    </x:row>
    <x:row r="30" ht="58" customHeight="1">
      <x:c r="B30" s="34"/>
      <x:c r="C30" s="34"/>
      <x:c r="D30" s="34"/>
      <x:c r="E30" s="34"/>
      <x:c r="F30" s="34"/>
      <x:c r="G30" s="34"/>
      <x:c r="H30" s="34"/>
      <x:c r="I30" s="34"/>
      <x:c r="J30" s="34"/>
      <x:c r="K30" s="34"/>
      <x:c r="L30" s="34"/>
    </x:row>
    <x:row r="31" ht="58" customHeight="1">
      <x:c r="B31" s="34"/>
      <x:c r="C31" s="34"/>
      <x:c r="D31" s="34"/>
      <x:c r="E31" s="34"/>
      <x:c r="F31" s="34"/>
      <x:c r="G31" s="34"/>
      <x:c r="H31" s="34"/>
      <x:c r="I31" s="34"/>
      <x:c r="J31" s="34"/>
      <x:c r="K31" s="34"/>
      <x:c r="L31" s="34"/>
    </x:row>
  </x:sheetData>
  <x:mergeCells>
    <x:mergeCell ref="A23:L23"/>
    <x:mergeCell ref="B29:L31"/>
    <x:mergeCell ref="A1:L1"/>
    <x:mergeCell ref="A2:L2"/>
    <x:mergeCell ref="A3:L3"/>
    <x:mergeCell ref="A6:L6"/>
    <x:mergeCell ref="A14:L14"/>
  </x:mergeCells>
  <x:dataValidations count="1">
    <x:dataValidation type="whole" sqref="B26">
      <x:formula1>1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5" customWidth="1"/>
    <x:col min="2" max="2" width="51" customWidth="1"/>
    <x:col min="3" max="3" width="43" customWidth="1"/>
    <x:col min="4" max="4" width="42" customWidth="1"/>
  </x:cols>
  <x:sheetData>
    <x:row r="1" ht="34" customHeight="1">
      <x:c r="A1" s="23" t="s">
        <x:v>59</x:v>
      </x:c>
      <x:c r="B1" s="23"/>
      <x:c r="C1" s="23"/>
      <x:c r="D1" s="23"/>
    </x:row>
    <x:row r="2" ht="28" customHeight="1">
      <x:c r="A2" s="24" t="s">
        <x:v>60</x:v>
      </x:c>
      <x:c r="B2" s="24"/>
      <x:c r="C2" s="24"/>
      <x:c r="D2" s="24"/>
    </x:row>
    <x:row r="3" ht="31.5" customHeight="1"/>
    <x:row r="4" ht="36" customHeight="1">
      <x:c r="A4" s="8" t="s">
        <x:v>61</x:v>
      </x:c>
      <x:c r="B4" s="8" t="s">
        <x:v>62</x:v>
      </x:c>
      <x:c r="C4" s="8" t="s">
        <x:v>63</x:v>
      </x:c>
      <x:c r="D4" s="8" t="s">
        <x:v>64</x:v>
      </x:c>
    </x:row>
    <x:row r="5" ht="36" customHeight="1">
      <x:c r="A5" s="6" t="s">
        <x:v>65</x:v>
      </x:c>
      <x:c r="B5" s="20" t="s">
        <x:v>66</x:v>
      </x:c>
      <x:c r="C5" s="6" t="s">
        <x:v>67</x:v>
      </x:c>
      <x:c r="D5" s="21" t="s">
        <x:v>68</x:v>
      </x:c>
    </x:row>
    <x:row r="6" ht="36" customHeight="1">
      <x:c r="A6" s="6" t="s">
        <x:v>69</x:v>
      </x:c>
      <x:c r="B6" s="20" t="s">
        <x:v>70</x:v>
      </x:c>
      <x:c r="C6" s="6" t="s">
        <x:v>71</x:v>
      </x:c>
      <x:c r="D6" s="21" t="s">
        <x:v>72</x:v>
      </x:c>
    </x:row>
    <x:row r="7" ht="36" customHeight="1">
      <x:c r="A7" s="6" t="s">
        <x:v>73</x:v>
      </x:c>
      <x:c r="B7" s="20" t="s">
        <x:v>74</x:v>
      </x:c>
      <x:c r="C7" s="6" t="s">
        <x:v>75</x:v>
      </x:c>
      <x:c r="D7" s="21" t="s">
        <x:v>76</x:v>
      </x:c>
    </x:row>
    <x:row r="8" ht="36" customHeight="1">
      <x:c r="A8" s="6" t="s">
        <x:v>77</x:v>
      </x:c>
      <x:c r="B8" s="20" t="s">
        <x:v>78</x:v>
      </x:c>
      <x:c r="C8" s="6" t="s">
        <x:v>79</x:v>
      </x:c>
      <x:c r="D8" s="21" t="s">
        <x:v>80</x:v>
      </x:c>
    </x:row>
    <x:row r="9" ht="36" customHeight="1">
      <x:c r="A9" s="6" t="s">
        <x:v>81</x:v>
      </x:c>
      <x:c r="B9" s="20" t="s">
        <x:v>82</x:v>
      </x:c>
      <x:c r="C9" s="6" t="s">
        <x:v>83</x:v>
      </x:c>
      <x:c r="D9" s="21" t="s">
        <x:v>84</x:v>
      </x:c>
    </x:row>
    <x:row r="10" ht="36" customHeight="1">
      <x:c r="A10" s="6" t="s">
        <x:v>85</x:v>
      </x:c>
      <x:c r="B10" s="20" t="s">
        <x:v>86</x:v>
      </x:c>
      <x:c r="C10" s="6" t="s">
        <x:v>87</x:v>
      </x:c>
      <x:c r="D10" s="21" t="s">
        <x:v>88</x:v>
      </x:c>
    </x:row>
    <x:row r="11" ht="36" customHeight="1">
      <x:c r="A11" s="6" t="s">
        <x:v>89</x:v>
      </x:c>
      <x:c r="B11" s="20" t="s">
        <x:v>90</x:v>
      </x:c>
      <x:c r="C11" s="6" t="s">
        <x:v>91</x:v>
      </x:c>
      <x:c r="D11" s="21" t="s">
        <x:v>92</x:v>
      </x:c>
    </x:row>
    <x:row r="12" ht="36" customHeight="1">
      <x:c r="A12" s="6" t="s">
        <x:v>93</x:v>
      </x:c>
      <x:c r="B12" s="20" t="s">
        <x:v>94</x:v>
      </x:c>
      <x:c r="C12" s="6" t="s">
        <x:v>95</x:v>
      </x:c>
      <x:c r="D12" s="21" t="s">
        <x:v>96</x:v>
      </x:c>
    </x:row>
    <x:row r="13" ht="36" customHeight="1">
      <x:c r="A13" s="6" t="s">
        <x:v>97</x:v>
      </x:c>
      <x:c r="B13" s="20" t="s">
        <x:v>98</x:v>
      </x:c>
      <x:c r="C13" s="6" t="s">
        <x:v>99</x:v>
      </x:c>
      <x:c r="D13" s="21" t="s">
        <x:v>100</x:v>
      </x:c>
    </x:row>
    <x:row r="14" ht="36" customHeight="1">
      <x:c r="A14" s="6" t="s">
        <x:v>101</x:v>
      </x:c>
      <x:c r="B14" s="20" t="s">
        <x:v>102</x:v>
      </x:c>
      <x:c r="C14" s="6" t="s">
        <x:v>103</x:v>
      </x:c>
      <x:c r="D14" s="21" t="s">
        <x:v>104</x:v>
      </x:c>
    </x:row>
    <x:row r="15" ht="36" customHeight="1">
      <x:c r="A15" s="6" t="s">
        <x:v>105</x:v>
      </x:c>
      <x:c r="B15" s="20" t="s">
        <x:v>106</x:v>
      </x:c>
      <x:c r="C15" s="6" t="s">
        <x:v>107</x:v>
      </x:c>
      <x:c r="D15" s="21" t="s">
        <x:v>108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8" customWidth="1"/>
    <x:col min="2" max="2" width="25" customWidth="1"/>
    <x:col min="3" max="3" width="14" customWidth="1"/>
    <x:col min="4" max="4" width="16" customWidth="1"/>
    <x:col min="5" max="7" width="13" customWidth="1"/>
    <x:col min="8" max="9" width="14" customWidth="1"/>
    <x:col min="10" max="10" width="10" customWidth="1"/>
    <x:col min="11" max="11" width="17" customWidth="1"/>
  </x:cols>
  <x:sheetData>
    <x:row r="1" ht="34" customHeight="1">
      <x:c r="A1" s="23" t="s">
        <x:v>109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</x:row>
    <x:row r="2" ht="28" customHeight="1">
      <x:c r="A2" s="24" t="s">
        <x:v>110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3">
      <x:c r="A3" s="33" t="s">
        <x:v>111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</x:row>
    <x:row r="4">
      <x:c r="A4" s="3" t="s">
        <x:v>112</x:v>
      </x:c>
      <x:c r="B4" s="7">
        <x:v>50</x:v>
      </x:c>
    </x:row>
    <x:row r="5">
      <x:c r="A5" s="3" t="s">
        <x:v>113</x:v>
      </x:c>
      <x:c r="B5" s="7">
        <x:v>10</x:v>
      </x:c>
    </x:row>
    <x:row r="6">
      <x:c r="A6" s="3" t="s">
        <x:v>114</x:v>
      </x:c>
      <x:c r="B6" s="4" t="s">
        <x:v>115</x:v>
      </x:c>
    </x:row>
    <x:row r="8" ht="27" customHeight="1">
      <x:c r="A8" s="8" t="s">
        <x:v>32</x:v>
      </x:c>
      <x:c r="B8" s="8" t="s">
        <x:v>33</x:v>
      </x:c>
      <x:c r="C8" s="8" t="s">
        <x:v>34</x:v>
      </x:c>
      <x:c r="D8" s="8" t="s">
        <x:v>35</x:v>
      </x:c>
      <x:c r="E8" s="8" t="s">
        <x:v>36</x:v>
      </x:c>
      <x:c r="F8" s="8" t="s">
        <x:v>37</x:v>
      </x:c>
      <x:c r="G8" s="8" t="s">
        <x:v>38</x:v>
      </x:c>
      <x:c r="H8" s="8" t="s">
        <x:v>39</x:v>
      </x:c>
      <x:c r="I8" s="8" t="s">
        <x:v>40</x:v>
      </x:c>
      <x:c r="J8" s="8" t="s">
        <x:v>41</x:v>
      </x:c>
      <x:c r="K8" s="8" t="s">
        <x:v>116</x:v>
      </x:c>
    </x:row>
    <x:row r="9" ht="27" customHeight="1">
      <x:c r="A9" s="11">
        <x:v>1</x:v>
      </x:c>
      <x:c r="B9" s="11" t="s">
        <x:v>117</x:v>
      </x:c>
      <x:c r="C9" s="11">
        <x:v>50</x:v>
      </x:c>
      <x:c r="D9" s="9">
        <x:v>189.99</x:v>
      </x:c>
      <x:c r="E9" s="10">
        <x:v>0.3</x:v>
      </x:c>
      <x:c r="F9" s="10">
        <x:v>0</x:v>
      </x:c>
      <x:c r="G9" s="10">
        <x:v>0</x:v>
      </x:c>
      <x:c r="H9" s="10">
        <x:v>0.02</x:v>
      </x:c>
      <x:c r="I9" s="11">
        <x:v>10</x:v>
      </x:c>
      <x:c r="J9" s="11">
        <x:v>30</x:v>
      </x:c>
      <x:c r="K9" s="4" t="s">
        <x:v>118</x:v>
      </x:c>
    </x:row>
    <x:row r="10" ht="27" customHeight="1">
      <x:c r="A10" s="11">
        <x:v>2</x:v>
      </x:c>
      <x:c r="B10" s="11" t="s">
        <x:v>119</x:v>
      </x:c>
      <x:c r="C10" s="11">
        <x:v>60</x:v>
      </x:c>
      <x:c r="D10" s="9">
        <x:v>196</x:v>
      </x:c>
      <x:c r="E10" s="10">
        <x:v>0.25</x:v>
      </x:c>
      <x:c r="F10" s="10">
        <x:v>0.1</x:v>
      </x:c>
      <x:c r="G10" s="10">
        <x:v>0</x:v>
      </x:c>
      <x:c r="H10" s="10">
        <x:v>0.02</x:v>
      </x:c>
      <x:c r="I10" s="11">
        <x:v>10</x:v>
      </x:c>
      <x:c r="J10" s="11">
        <x:v>30</x:v>
      </x:c>
      <x:c r="K10" s="4" t="s">
        <x:v>118</x:v>
      </x:c>
    </x:row>
    <x:row r="11" ht="27" customHeight="1">
      <x:c r="A11" s="11">
        <x:v>3</x:v>
      </x:c>
      <x:c r="B11" s="11" t="s">
        <x:v>120</x:v>
      </x:c>
      <x:c r="C11" s="11">
        <x:v>40</x:v>
      </x:c>
      <x:c r="D11" s="9">
        <x:v>177.5</x:v>
      </x:c>
      <x:c r="E11" s="10">
        <x:v>0.3</x:v>
      </x:c>
      <x:c r="F11" s="10">
        <x:v>0.05</x:v>
      </x:c>
      <x:c r="G11" s="10">
        <x:v>0</x:v>
      </x:c>
      <x:c r="H11" s="10">
        <x:v>0.03</x:v>
      </x:c>
      <x:c r="I11" s="11">
        <x:v>15</x:v>
      </x:c>
      <x:c r="J11" s="11">
        <x:v>45</x:v>
      </x:c>
      <x:c r="K11" s="4" t="s">
        <x:v>121</x:v>
      </x:c>
    </x:row>
    <x:row r="12" ht="27" customHeight="1">
      <x:c r="A12" s="11">
        <x:v>4</x:v>
      </x:c>
      <x:c r="B12" s="11" t="s">
        <x:v>122</x:v>
      </x:c>
      <x:c r="C12" s="11">
        <x:v>55</x:v>
      </x:c>
      <x:c r="D12" s="9">
        <x:v>205</x:v>
      </x:c>
      <x:c r="E12" s="10">
        <x:v>0.2</x:v>
      </x:c>
      <x:c r="F12" s="10">
        <x:v>0.1</x:v>
      </x:c>
      <x:c r="G12" s="10">
        <x:v>0.05</x:v>
      </x:c>
      <x:c r="H12" s="10">
        <x:v>0.03</x:v>
      </x:c>
      <x:c r="I12" s="11">
        <x:v>5</x:v>
      </x:c>
      <x:c r="J12" s="11">
        <x:v>30</x:v>
      </x:c>
      <x:c r="K12" s="4" t="s">
        <x:v>123</x:v>
      </x:c>
    </x:row>
    <x:row r="13" ht="27" customHeight="1">
      <x:c r="A13" s="11">
        <x:v>5</x:v>
      </x:c>
      <x:c r="B13" s="11" t="s">
        <x:v>124</x:v>
      </x:c>
      <x:c r="C13" s="11">
        <x:v>50</x:v>
      </x:c>
      <x:c r="D13" s="9">
        <x:v>184.5</x:v>
      </x:c>
      <x:c r="E13" s="10">
        <x:v>0.22</x:v>
      </x:c>
      <x:c r="F13" s="10">
        <x:v>0</x:v>
      </x:c>
      <x:c r="G13" s="10">
        <x:v>0</x:v>
      </x:c>
      <x:c r="H13" s="10">
        <x:v>0.01</x:v>
      </x:c>
      <x:c r="I13" s="11">
        <x:v>10</x:v>
      </x:c>
      <x:c r="J13" s="11">
        <x:v>30</x:v>
      </x:c>
      <x:c r="K13" s="4" t="s">
        <x:v>125</x:v>
      </x:c>
    </x:row>
    <x:row r="15" ht="32" customHeight="1">
      <x:c r="A15" s="35" t="s">
        <x:v>126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</x:row>
  </x:sheetData>
  <x:mergeCells>
    <x:mergeCell ref="A1:K1"/>
    <x:mergeCell ref="A2:K2"/>
    <x:mergeCell ref="A3:K3"/>
    <x:mergeCell ref="A15:K15"/>
  </x:mergeCells>
  <x:pageMargins left="0.7" right="0.7" top="0.75" bottom="0.75" header="0.3" footer="0.3"/>
</x:worksheet>
</file>