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f74480d2a148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6f3a197d7572436e"/>
    <x:sheet xmlns:r="http://schemas.openxmlformats.org/officeDocument/2006/relationships" name="Live You Try It" sheetId="2" r:id="Raea61ff5d9074b79"/>
    <x:sheet xmlns:r="http://schemas.openxmlformats.org/officeDocument/2006/relationships" name="Raw Export" sheetId="3" r:id="Rc3c802e31e784408"/>
    <x:sheet xmlns:r="http://schemas.openxmlformats.org/officeDocument/2006/relationships" name="Manager View" sheetId="4" r:id="Rd15124fb8b3f47e9"/>
    <x:sheet xmlns:r="http://schemas.openxmlformats.org/officeDocument/2006/relationships" name="Class Challenge" sheetId="5" r:id="Rc97c2996f8f64115"/>
    <x:sheet xmlns:r="http://schemas.openxmlformats.org/officeDocument/2006/relationships" name="FormulaReferenceCard" sheetId="6" r:id="R2527ebf4b5bc48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"/>
  </x:numFmts>
  <x:fonts count="11">
    <x:font>
      <x:sz val="11"/>
      <x:name val="Carlito"/>
    </x:font>
    <x:font>
      <x:b/>
      <x:sz val="11"/>
      <x:color rgb="FFFFFFFF"/>
      <x:name val="Aptos Display"/>
    </x:font>
    <x:font>
      <x:i/>
      <x:sz val="11"/>
      <x:color rgb="FFFFFFFF"/>
      <x:name val="Aptos"/>
    </x:font>
    <x:font>
      <x:b/>
      <x:sz val="11"/>
      <x:color rgb="FFFFFFFF"/>
      <x:name val="Aptos"/>
    </x:font>
    <x:font>
      <x:b/>
      <x:sz val="11"/>
      <x:color rgb="FFFFFFFF"/>
      <x:name val="Carlito"/>
    </x:font>
    <x:font>
      <x:b/>
      <x:sz val="11"/>
      <x:color rgb="FF273B4A"/>
      <x:name val="Carlito"/>
    </x:font>
    <x:font>
      <x:b/>
      <x:sz val="11"/>
      <x:color rgb="FF4D8268"/>
      <x:name val="Carlito"/>
    </x:font>
    <x:font>
      <x:sz val="11"/>
      <x:color rgb="FF111827"/>
      <x:name val="Aptos"/>
    </x:font>
    <x:font>
      <x:i/>
      <x:sz val="11"/>
      <x:color rgb="FF111827"/>
      <x:name val="Carlito"/>
    </x:font>
    <x:font>
      <x:sz val="11"/>
      <x:color rgb="FF111827"/>
      <x:name val="Aptos"/>
    </x:font>
    <x:font>
      <x:b/>
      <x:sz val="11"/>
      <x:color rgb="FF355773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273B4A"/>
      </x:patternFill>
    </x:fill>
    <x:fill>
      <x:patternFill patternType="solid">
        <x:fgColor rgb="FF355773"/>
      </x:patternFill>
    </x:fill>
    <x:fill>
      <x:patternFill patternType="solid">
        <x:fgColor rgb="FF4D8268"/>
      </x:patternFill>
    </x:fill>
    <x:fill>
      <x:patternFill patternType="solid">
        <x:fgColor rgb="FF0E1116"/>
      </x:patternFill>
    </x:fill>
    <x:fill>
      <x:patternFill patternType="solid">
        <x:fgColor rgb="FFFFF1C9"/>
      </x:patternFill>
    </x:fill>
    <x:fill>
      <x:patternFill patternType="solid">
        <x:fgColor rgb="FFDCE9E1"/>
      </x:patternFill>
    </x:fill>
    <x:fill>
      <x:patternFill patternType="solid">
        <x:fgColor rgb="FFF6F3EC"/>
      </x:patternFill>
    </x:fill>
    <x:fill>
      <x:patternFill patternType="solid">
        <x:fgColor rgb="FFE5E7EB"/>
      </x:patternFill>
    </x:fill>
  </x:fills>
  <x:borders count="19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</x:borders>
  <x:cellStyleXfs count="1">
    <x:xf numFmtId="0" fontId="0" fillId="0" borderId="0"/>
  </x:cellStyleXfs>
  <x:cellXfs count="9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horizontal="center" wrapText="1"/>
    </x:xf>
    <x:xf numFmtId="0" fontId="5" fillId="0" borderId="4" xfId="0" applyNumberFormat="1" applyFont="1" applyFill="1" applyBorder="1" applyAlignment="1">
      <x:alignment horizontal="center" wrapText="1"/>
    </x:xf>
    <x:xf numFmtId="0" fontId="5" fillId="0" borderId="6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200" fontId="0" fillId="6" borderId="1" xfId="0" applyNumberFormat="1" applyFont="1" applyFill="1" applyBorder="1"/>
    <x:xf numFmtId="200" fontId="0" fillId="7" borderId="1" xfId="0" applyNumberFormat="1" applyFont="1" applyFill="1" applyBorder="1"/>
    <x:xf numFmtId="0" fontId="7" fillId="0" borderId="0" xfId="0" applyNumberFormat="1" applyFont="1" applyFill="1" applyBorder="1"/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5" xfId="0" applyNumberFormat="1" applyFont="1" applyFill="1" applyBorder="1"/>
    <x:xf numFmtId="0" fontId="5" fillId="8" borderId="4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7" fillId="0" borderId="8" xfId="0" applyNumberFormat="1" applyFont="1" applyFill="1" applyBorder="1"/>
    <x:xf numFmtId="0" fontId="7" fillId="0" borderId="9" xfId="0" applyNumberFormat="1" applyFont="1" applyFill="1" applyBorder="1"/>
    <x:xf numFmtId="0" fontId="7" fillId="0" borderId="10" xfId="0" applyNumberFormat="1" applyFont="1" applyFill="1" applyBorder="1"/>
    <x:xf numFmtId="0" fontId="7" fillId="0" borderId="11" xfId="0" applyNumberFormat="1" applyFont="1" applyFill="1" applyBorder="1"/>
    <x:xf numFmtId="0" fontId="7" fillId="0" borderId="12" xfId="0" applyNumberFormat="1" applyFont="1" applyFill="1" applyBorder="1"/>
    <x:xf numFmtId="0" fontId="7" fillId="0" borderId="13" xfId="0" applyNumberFormat="1" applyFont="1" applyFill="1" applyBorder="1"/>
    <x:xf numFmtId="0" fontId="7" fillId="0" borderId="14" xfId="0" applyNumberFormat="1" applyFont="1" applyFill="1" applyBorder="1"/>
    <x:xf numFmtId="0" fontId="7" fillId="0" borderId="15" xfId="0" applyNumberFormat="1" applyFont="1" applyFill="1" applyBorder="1"/>
    <x:xf numFmtId="0" fontId="7" fillId="0" borderId="16" xfId="0" applyNumberFormat="1" applyFont="1" applyFill="1" applyBorder="1"/>
    <x:xf numFmtId="0" fontId="7" fillId="9" borderId="8" xfId="0" applyNumberFormat="1" applyFont="1" applyFill="1" applyBorder="1"/>
    <x:xf numFmtId="0" fontId="7" fillId="9" borderId="9" xfId="0" applyNumberFormat="1" applyFont="1" applyFill="1" applyBorder="1"/>
    <x:xf numFmtId="0" fontId="7" fillId="9" borderId="10" xfId="0" applyNumberFormat="1" applyFont="1" applyFill="1" applyBorder="1"/>
    <x:xf numFmtId="0" fontId="9" fillId="9" borderId="8" xfId="0" applyNumberFormat="1" applyFont="1" applyFill="1" applyBorder="1"/>
    <x:xf numFmtId="0" fontId="9" fillId="9" borderId="9" xfId="0" applyNumberFormat="1" applyFont="1" applyFill="1" applyBorder="1"/>
    <x:xf numFmtId="0" fontId="9" fillId="9" borderId="10" xfId="0" applyNumberFormat="1" applyFont="1" applyFill="1" applyBorder="1"/>
    <x:xf numFmtId="0" fontId="9" fillId="9" borderId="8" xfId="0" applyNumberFormat="1" applyFont="1" applyFill="1" applyBorder="1" applyAlignment="1">
      <x:alignment wrapText="0"/>
    </x:xf>
    <x:xf numFmtId="0" fontId="9" fillId="9" borderId="9" xfId="0" applyNumberFormat="1" applyFont="1" applyFill="1" applyBorder="1" applyAlignment="1">
      <x:alignment wrapText="0"/>
    </x:xf>
    <x:xf numFmtId="0" fontId="9" fillId="9" borderId="10" xfId="0" applyNumberFormat="1" applyFont="1" applyFill="1" applyBorder="1" applyAlignment="1">
      <x:alignment wrapText="0"/>
    </x:xf>
    <x:xf numFmtId="0" fontId="5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7" borderId="17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0" fontId="0" fillId="7" borderId="18" xfId="0" applyNumberFormat="1" applyFont="1" applyFill="1" applyBorder="1" applyAlignment="1">
      <x:alignment wrapText="1"/>
    </x:xf>
    <x:xf numFmtId="0" fontId="10" fillId="7" borderId="17" xfId="0" applyNumberFormat="1" applyFont="1" applyFill="1" applyBorder="1" applyAlignment="1">
      <x:alignment wrapText="1"/>
    </x:xf>
    <x:xf numFmtId="0" fontId="10" fillId="7" borderId="1" xfId="0" applyNumberFormat="1" applyFont="1" applyFill="1" applyBorder="1" applyAlignment="1">
      <x:alignment wrapText="1"/>
    </x:xf>
    <x:xf numFmtId="0" fontId="10" fillId="7" borderId="18" xfId="0" applyNumberFormat="1" applyFont="1" applyFill="1" applyBorder="1" applyAlignment="1">
      <x:alignment wrapText="1"/>
    </x:xf>
    <x:xf numFmtId="0" fontId="0" fillId="8" borderId="3" xfId="0" applyNumberFormat="1" applyFont="1" applyFill="1" applyBorder="1" applyAlignment="1">
      <x:alignment wrapText="1"/>
    </x:xf>
    <x:xf numFmtId="0" fontId="0" fillId="8" borderId="5" xfId="0" applyNumberFormat="1" applyFont="1" applyFill="1" applyBorder="1" applyAlignment="1">
      <x:alignment wrapText="1"/>
    </x:xf>
    <x:xf numFmtId="0" fontId="0" fillId="8" borderId="7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977342d43b42fd" /><Relationship Type="http://schemas.openxmlformats.org/officeDocument/2006/relationships/theme" Target="/xl/theme/theme1.xml" Id="Ra246baeb61dd4d6c" /><Relationship Type="http://schemas.openxmlformats.org/officeDocument/2006/relationships/sharedStrings" Target="/xl/sharedStrings.xml" Id="R8c74046875cc457b" /><Relationship Type="http://schemas.openxmlformats.org/officeDocument/2006/relationships/worksheet" Target="/xl/worksheets/sheet1.xml" Id="R6f3a197d7572436e" /><Relationship Type="http://schemas.openxmlformats.org/officeDocument/2006/relationships/worksheet" Target="/xl/worksheets/sheet2.xml" Id="Raea61ff5d9074b79" /><Relationship Type="http://schemas.openxmlformats.org/officeDocument/2006/relationships/worksheet" Target="/xl/worksheets/sheet3.xml" Id="Rc3c802e31e784408" /><Relationship Type="http://schemas.openxmlformats.org/officeDocument/2006/relationships/worksheet" Target="/xl/worksheets/sheet4.xml" Id="Rd15124fb8b3f47e9" /><Relationship Type="http://schemas.openxmlformats.org/officeDocument/2006/relationships/worksheet" Target="/xl/worksheets/sheet5.xml" Id="Rc97c2996f8f64115" /><Relationship Type="http://schemas.openxmlformats.org/officeDocument/2006/relationships/worksheet" Target="/xl/worksheets/sheet6.xml" Id="R2527ebf4b5bc48c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2" hidden="0" customWidth="1"/>
    <x:col min="3" max="3" width="32" hidden="0" customWidth="1"/>
    <x:col min="4" max="4" width="32" hidden="0" customWidth="1"/>
  </x:cols>
  <x:sheetData>
    <x:row r="1">
      <x:c r="A1" s="4" t="str">
        <x:v>BUS123 · EXCEL-M02-L01 · Formatting and Organizing Worksheets</x:v>
      </x:c>
      <x:c r="B1" s="4"/>
      <x:c r="C1" s="4"/>
      <x:c r="D1" s="4"/>
    </x:row>
    <x:row r="2">
      <x:c r="A2" s="7" t="str">
        <x:v>Anchor &amp; Oak Events · Raw export to manager-ready workbook</x:v>
      </x:c>
      <x:c r="B2" s="7"/>
      <x:c r="C2" s="7"/>
      <x:c r="D2" s="7"/>
    </x:row>
    <x:row r="4">
      <x:c r="A4" s="12" t="str">
        <x:v>The Scenario</x:v>
      </x:c>
      <x:c r="B4" s="12" t="str">
        <x:v>Start in Class</x:v>
      </x:c>
      <x:c r="C4" s="12" t="str">
        <x:v>Finish for Homework</x:v>
      </x:c>
      <x:c r="D4" s="12" t="str">
        <x:v>Submit</x:v>
      </x:c>
    </x:row>
    <x:row r="5" ht="105" customHeight="1">
      <x:c r="A5" s="15" t="str">
        <x:v>Anchor &amp; Oak exported 24 event records. Preserve the Raw Export exactly, then turn the separate Manager View copy into a trustworthy workbook a manager can scan, filter, and use.</x:v>
      </x:c>
      <x:c r="B5" s="15" t="str">
        <x:v>Complete Live You Try It. Then build the Manager View structure: table, filters, number formats, alignment, column widths, and Freeze Panes. Plan for about 25 minutes.</x:v>
      </x:c>
      <x:c r="C5" s="15" t="str">
        <x:v>Add four summary formulas, purposeful conditional formatting, and a final 30-second audit. Plan for about 30–40 minutes after class.</x:v>
      </x:c>
      <x:c r="D5" s="15" t="str">
        <x:v>Upload the original .xlsx. Keep the required worksheet names. Do not delete, rename, reorder, or edit Raw Export.</x:v>
      </x:c>
    </x:row>
    <x:row r="8">
      <x:c r="A8" s="17" t="str">
        <x:v>Learning objectives</x:v>
      </x:c>
      <x:c r="B8" s="17"/>
      <x:c r="C8" s="17"/>
      <x:c r="D8" s="17"/>
    </x:row>
    <x:row r="9">
      <x:c r="A9" s="33" t="str">
        <x:v>1</x:v>
      </x:c>
      <x:c r="B9" s="25" t="str">
        <x:v>Preserve source data while creating a separate working view.</x:v>
      </x:c>
    </x:row>
    <x:row r="10">
      <x:c r="A10" s="34" t="str">
        <x:v>2</x:v>
      </x:c>
      <x:c r="B10" s="27" t="str">
        <x:v>Apply meaningful date, whole-number, and business currency formats.</x:v>
      </x:c>
    </x:row>
    <x:row r="11">
      <x:c r="A11" s="34" t="str">
        <x:v>3</x:v>
      </x:c>
      <x:c r="B11" s="27" t="str">
        <x:v>Use tables, filters, Freeze Panes, alignment, and readable widths to support scanning.</x:v>
      </x:c>
    </x:row>
    <x:row r="12">
      <x:c r="A12" s="34" t="str">
        <x:v>4</x:v>
      </x:c>
      <x:c r="B12" s="27" t="str">
        <x:v>Build auditable summary formulas using worksheet references.</x:v>
      </x:c>
    </x:row>
    <x:row r="13">
      <x:c r="A13" s="34" t="str">
        <x:v>5</x:v>
      </x:c>
      <x:c r="B13" s="27" t="str">
        <x:v>Apply conditional formatting for a named business purpose.</x:v>
      </x:c>
    </x:row>
    <x:row r="14">
      <x:c r="A14" s="35" t="str">
        <x:v>6</x:v>
      </x:c>
      <x:c r="B14" s="29" t="str">
        <x:v>Use visual hierarchy without relying on one prescribed palette or layout style.</x:v>
      </x:c>
    </x:row>
    <x:row r="17">
      <x:c r="A17" s="41" t="str">
        <x:v>Grading</x:v>
      </x:c>
      <x:c r="B17" s="41" t="str">
        <x:v>Automatically checked</x:v>
      </x:c>
      <x:c r="C17" s="41" t="str">
        <x:v>Flagged spot-check</x:v>
      </x:c>
      <x:c r="D17" s="41" t="str">
        <x:v>Important boundary</x:v>
      </x:c>
    </x:row>
    <x:row r="18" ht="95" customHeight="1">
      <x:c r="A18" s="15" t="str">
        <x:v>30 points total</x:v>
      </x:c>
      <x:c r="B18" s="15" t="str">
        <x:v>27 points (90%): structure, source integrity, table/filters, Freeze Panes, number formats, formulas, conditional formatting, and minimum widths.</x:v>
      </x:c>
      <x:c r="C18" s="15" t="str">
        <x:v>3 points (10%): visual hierarchy, alignment, and whether color choices have a clear business purpose.</x:v>
      </x:c>
      <x:c r="D18" s="15" t="str">
        <x:v>Live You Try It is self-checking practice only. The Class Challenge is the only graded activity.</x:v>
      </x:c>
    </x:row>
  </x:sheetData>
  <x:mergeCells>
    <x:mergeCell ref="A1:D1"/>
    <x:mergeCell ref="A2:D2"/>
    <x:mergeCell ref="A8:D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30" hidden="0" customWidth="1"/>
    <x:col min="4" max="4" width="28" hidden="0" customWidth="1"/>
    <x:col min="5" max="5" width="28" hidden="0" customWidth="1"/>
  </x:cols>
  <x:sheetData>
    <x:row r="1">
      <x:c r="A1" s="4" t="str">
        <x:v>Live You Try It</x:v>
      </x:c>
      <x:c r="B1" s="4"/>
      <x:c r="C1" s="4"/>
      <x:c r="D1" s="4"/>
      <x:c r="E1" s="4"/>
    </x:row>
    <x:row r="2">
      <x:c r="A2" s="7" t="str">
        <x:v>Low-stakes, self-checking practice. Enter the slide givens in yellow cells, then build formulas with cell references. This sheet is not graded.</x:v>
      </x:c>
      <x:c r="B2" s="7"/>
      <x:c r="C2" s="7"/>
      <x:c r="D2" s="7"/>
      <x:c r="E2" s="7"/>
    </x:row>
    <x:row r="5">
      <x:c r="A5" s="17" t="str">
        <x:v>Pause 1 · Spring Gala net profit</x:v>
      </x:c>
      <x:c r="B5" s="17"/>
      <x:c r="C5" s="17"/>
      <x:c r="D5" s="17"/>
      <x:c r="E5" s="17"/>
    </x:row>
    <x:row r="7">
      <x:c r="A7" s="41" t="str">
        <x:v>Step</x:v>
      </x:c>
      <x:c r="B7" s="41" t="str">
        <x:v>Your Cell</x:v>
      </x:c>
      <x:c r="C7" s="41" t="str">
        <x:v>Hint / Check</x:v>
      </x:c>
      <x:c r="D7" s="41" t="str">
        <x:v>Feedback</x:v>
      </x:c>
      <x:c r="E7" s="41" t="str">
        <x:v>Practice Status</x:v>
      </x:c>
    </x:row>
    <x:row r="8">
      <x:c r="A8" t="str">
        <x:v>Revenue</x:v>
      </x:c>
      <x:c r="B8" s="48"/>
      <x:c r="C8" t="str">
        <x:v>Type the slide given first</x:v>
      </x:c>
    </x:row>
    <x:row r="9">
      <x:c r="A9" t="str">
        <x:v>Catering</x:v>
      </x:c>
      <x:c r="B9" s="48"/>
      <x:c r="C9" t="str">
        <x:v>Type the slide given first</x:v>
      </x:c>
    </x:row>
    <x:row r="10">
      <x:c r="A10" t="str">
        <x:v>Staffing</x:v>
      </x:c>
      <x:c r="B10" s="48"/>
      <x:c r="C10" t="str">
        <x:v>Type the slide given first</x:v>
      </x:c>
    </x:row>
    <x:row r="11">
      <x:c r="A11" t="str">
        <x:v>Net Profit</x:v>
      </x:c>
      <x:c r="B11" s="49"/>
      <x:c r="C11" t="str">
        <x:v>Revenue − Catering − Staffing</x:v>
      </x:c>
      <x:c r="D11" s="47" t="str">
        <x:f>IF(B11="","Enter a formula.",IF(ABS(B11-2980)&lt;=0.01,"Correct · Spring Gala net profit","Review the givens and cell references."))</x:f>
        <x:v>Enter a formula.</x:v>
      </x:c>
      <x:c r="E11" s="47"/>
    </x:row>
    <x:row r="15">
      <x:c r="A15" s="17" t="str">
        <x:v>Pause 2 · Four-event revenue total</x:v>
      </x:c>
      <x:c r="B15" s="17"/>
      <x:c r="C15" s="17"/>
      <x:c r="D15" s="17"/>
      <x:c r="E15" s="17"/>
    </x:row>
    <x:row r="17">
      <x:c r="A17" s="41" t="str">
        <x:v>Step</x:v>
      </x:c>
      <x:c r="B17" s="41" t="str">
        <x:v>Your Cell</x:v>
      </x:c>
      <x:c r="C17" s="41" t="str">
        <x:v>Hint / Check</x:v>
      </x:c>
      <x:c r="D17" s="41" t="str">
        <x:v>Feedback</x:v>
      </x:c>
      <x:c r="E17" s="41" t="str">
        <x:v>Practice Status</x:v>
      </x:c>
    </x:row>
    <x:row r="18">
      <x:c r="A18" t="str">
        <x:v>Spring Gala Revenue</x:v>
      </x:c>
      <x:c r="B18" s="48"/>
      <x:c r="C18" t="str">
        <x:v>Type the slide given first</x:v>
      </x:c>
    </x:row>
    <x:row r="19">
      <x:c r="A19" t="str">
        <x:v>Corporate Retreat Revenue</x:v>
      </x:c>
      <x:c r="B19" s="48"/>
      <x:c r="C19" t="str">
        <x:v>Type the slide given first</x:v>
      </x:c>
    </x:row>
    <x:row r="20">
      <x:c r="A20" t="str">
        <x:v>Summer Wedding Revenue</x:v>
      </x:c>
      <x:c r="B20" s="48"/>
      <x:c r="C20" t="str">
        <x:v>Type the slide given first</x:v>
      </x:c>
    </x:row>
    <x:row r="21">
      <x:c r="A21" t="str">
        <x:v>Fall Gala Revenue</x:v>
      </x:c>
      <x:c r="B21" s="48"/>
      <x:c r="C21" t="str">
        <x:v>Type the slide given first</x:v>
      </x:c>
    </x:row>
    <x:row r="22">
      <x:c r="A22" t="str">
        <x:v>Total Revenue</x:v>
      </x:c>
      <x:c r="B22" s="49"/>
      <x:c r="C22" t="str">
        <x:v>SUM all four revenue cells</x:v>
      </x:c>
      <x:c r="D22" s="47" t="str">
        <x:f>IF(B22="","Enter a formula.",IF(ABS(B22-22700)&lt;=0.01,"Correct · four-event revenue","Review the givens and cell references."))</x:f>
        <x:v>Enter a formula.</x:v>
      </x:c>
      <x:c r="E22" s="47"/>
    </x:row>
    <x:row r="26">
      <x:c r="A26" s="17" t="str">
        <x:v>Pause 3 · Four-event net profit total</x:v>
      </x:c>
      <x:c r="B26" s="17"/>
      <x:c r="C26" s="17"/>
      <x:c r="D26" s="17"/>
      <x:c r="E26" s="17"/>
    </x:row>
    <x:row r="28">
      <x:c r="A28" s="41" t="str">
        <x:v>Step</x:v>
      </x:c>
      <x:c r="B28" s="41" t="str">
        <x:v>Your Cell</x:v>
      </x:c>
      <x:c r="C28" s="41" t="str">
        <x:v>Hint / Check</x:v>
      </x:c>
      <x:c r="D28" s="41" t="str">
        <x:v>Feedback</x:v>
      </x:c>
      <x:c r="E28" s="41" t="str">
        <x:v>Practice Status</x:v>
      </x:c>
    </x:row>
    <x:row r="29">
      <x:c r="A29" t="str">
        <x:v>Spring Gala Net Profit</x:v>
      </x:c>
      <x:c r="B29" s="48"/>
      <x:c r="C29" t="str">
        <x:v>Type the slide given first</x:v>
      </x:c>
    </x:row>
    <x:row r="30">
      <x:c r="A30" t="str">
        <x:v>Corporate Retreat Net Profit</x:v>
      </x:c>
      <x:c r="B30" s="48"/>
      <x:c r="C30" t="str">
        <x:v>Type the slide given first</x:v>
      </x:c>
    </x:row>
    <x:row r="31">
      <x:c r="A31" t="str">
        <x:v>Summer Wedding Net Profit</x:v>
      </x:c>
      <x:c r="B31" s="48"/>
      <x:c r="C31" t="str">
        <x:v>Type the slide given first</x:v>
      </x:c>
    </x:row>
    <x:row r="32">
      <x:c r="A32" t="str">
        <x:v>Fall Gala Net Profit</x:v>
      </x:c>
      <x:c r="B32" s="48"/>
      <x:c r="C32" t="str">
        <x:v>Type the slide given first</x:v>
      </x:c>
    </x:row>
    <x:row r="33">
      <x:c r="A33" t="str">
        <x:v>Total Net Profit</x:v>
      </x:c>
      <x:c r="B33" s="49"/>
      <x:c r="C33" t="str">
        <x:v>SUM all four net profit cells</x:v>
      </x:c>
      <x:c r="D33" s="47" t="str">
        <x:f>IF(B33="","Enter a formula.",IF(ABS(B33-13770)&lt;=0.01,"Correct · four-event net profit","Review the givens and cell references."))</x:f>
        <x:v>Enter a formula.</x:v>
      </x:c>
      <x:c r="E33" s="47"/>
    </x:row>
  </x:sheetData>
  <x:mergeCells>
    <x:mergeCell ref="A1:E1"/>
    <x:mergeCell ref="A2:E2"/>
    <x:mergeCell ref="A5:E5"/>
    <x:mergeCell ref="A15:E15"/>
    <x:mergeCell ref="A26:E2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0" hidden="0" customWidth="1"/>
    <x:col min="2" max="2" width="18" hidden="0" customWidth="1"/>
    <x:col min="3" max="3" width="11" hidden="0" customWidth="1"/>
    <x:col min="4" max="4" width="12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</x:cols>
  <x:sheetData>
    <x:row r="1">
      <x:c r="A1" s="50" t="str">
        <x:v>event_id</x:v>
      </x:c>
      <x:c r="B1" s="50" t="str">
        <x:v>event</x:v>
      </x:c>
      <x:c r="C1" s="50" t="str">
        <x:v>event_date</x:v>
      </x:c>
      <x:c r="D1" s="50" t="str">
        <x:v>event_type</x:v>
      </x:c>
      <x:c r="E1" s="50" t="str">
        <x:v>guests</x:v>
      </x:c>
      <x:c r="F1" s="50" t="str">
        <x:v>revenue</x:v>
      </x:c>
      <x:c r="G1" s="50" t="str">
        <x:v>catering_cost</x:v>
      </x:c>
      <x:c r="H1" s="50" t="str">
        <x:v>staffing_cost</x:v>
      </x:c>
      <x:c r="I1" s="50" t="str">
        <x:v>net_profit</x:v>
      </x:c>
      <x:c r="J1" s="50" t="str">
        <x:v>status</x:v>
      </x:c>
    </x:row>
    <x:row r="2">
      <x:c r="A2" s="50" t="str">
        <x:v>AO-2601</x:v>
      </x:c>
      <x:c r="B2" s="50" t="str">
        <x:v>spring gala</x:v>
      </x:c>
      <x:c r="C2" s="50" t="n">
        <x:v>46096.5</x:v>
      </x:c>
      <x:c r="D2" s="50" t="str">
        <x:v>gala</x:v>
      </x:c>
      <x:c r="E2" s="50" t="n">
        <x:v>120</x:v>
      </x:c>
      <x:c r="F2" s="50" t="n">
        <x:v>4800</x:v>
      </x:c>
      <x:c r="G2" s="50" t="n">
        <x:v>1820</x:v>
      </x:c>
      <x:c r="H2" s="50" t="n">
        <x:v>0</x:v>
      </x:c>
      <x:c r="I2" s="50" t="n">
        <x:v>2980</x:v>
      </x:c>
      <x:c r="J2" s="50" t="str">
        <x:v>confirmed</x:v>
      </x:c>
    </x:row>
    <x:row r="3">
      <x:c r="A3" s="50" t="str">
        <x:v>AO-2602</x:v>
      </x:c>
      <x:c r="B3" s="50" t="str">
        <x:v>corporate retreat</x:v>
      </x:c>
      <x:c r="C3" s="50" t="n">
        <x:v>46150.5</x:v>
      </x:c>
      <x:c r="D3" s="50" t="str">
        <x:v>retreat</x:v>
      </x:c>
      <x:c r="E3" s="50" t="n">
        <x:v>55</x:v>
      </x:c>
      <x:c r="F3" s="50" t="n">
        <x:v>3200</x:v>
      </x:c>
      <x:c r="G3" s="50" t="n">
        <x:v>1210</x:v>
      </x:c>
      <x:c r="H3" s="50" t="n">
        <x:v>0</x:v>
      </x:c>
      <x:c r="I3" s="50" t="n">
        <x:v>1990</x:v>
      </x:c>
      <x:c r="J3" s="50" t="str">
        <x:v>confirmed</x:v>
      </x:c>
    </x:row>
    <x:row r="4">
      <x:c r="A4" s="50" t="str">
        <x:v>AO-2603</x:v>
      </x:c>
      <x:c r="B4" s="50" t="str">
        <x:v>summer wedding</x:v>
      </x:c>
      <x:c r="C4" s="50" t="n">
        <x:v>46194.5</x:v>
      </x:c>
      <x:c r="D4" s="50" t="str">
        <x:v>wedding</x:v>
      </x:c>
      <x:c r="E4" s="50" t="n">
        <x:v>200</x:v>
      </x:c>
      <x:c r="F4" s="50" t="n">
        <x:v>9500</x:v>
      </x:c>
      <x:c r="G4" s="50" t="n">
        <x:v>3100</x:v>
      </x:c>
      <x:c r="H4" s="50" t="n">
        <x:v>890</x:v>
      </x:c>
      <x:c r="I4" s="50" t="n">
        <x:v>5510</x:v>
      </x:c>
      <x:c r="J4" s="50" t="str">
        <x:v>confirmed</x:v>
      </x:c>
    </x:row>
    <x:row r="5">
      <x:c r="A5" s="50" t="str">
        <x:v>AO-2604</x:v>
      </x:c>
      <x:c r="B5" s="50" t="str">
        <x:v>fall gala</x:v>
      </x:c>
      <x:c r="C5" s="50" t="n">
        <x:v>46299.5</x:v>
      </x:c>
      <x:c r="D5" s="50" t="str">
        <x:v>gala</x:v>
      </x:c>
      <x:c r="E5" s="50" t="n">
        <x:v>95</x:v>
      </x:c>
      <x:c r="F5" s="50" t="n">
        <x:v>5200</x:v>
      </x:c>
      <x:c r="G5" s="50" t="n">
        <x:v>1400</x:v>
      </x:c>
      <x:c r="H5" s="50" t="n">
        <x:v>510</x:v>
      </x:c>
      <x:c r="I5" s="50" t="n">
        <x:v>3290</x:v>
      </x:c>
      <x:c r="J5" s="50" t="str">
        <x:v>tentative</x:v>
      </x:c>
    </x:row>
    <x:row r="6">
      <x:c r="A6" s="50" t="str">
        <x:v>AO-2605</x:v>
      </x:c>
      <x:c r="B6" s="50" t="str">
        <x:v>winter fundraiser</x:v>
      </x:c>
      <x:c r="C6" s="50" t="n">
        <x:v>46368.5</x:v>
      </x:c>
      <x:c r="D6" s="50" t="str">
        <x:v>fundraiser</x:v>
      </x:c>
      <x:c r="E6" s="50" t="n">
        <x:v>150</x:v>
      </x:c>
      <x:c r="F6" s="50" t="n">
        <x:v>7400</x:v>
      </x:c>
      <x:c r="G6" s="50" t="n">
        <x:v>2625</x:v>
      </x:c>
      <x:c r="H6" s="50" t="n">
        <x:v>670</x:v>
      </x:c>
      <x:c r="I6" s="50" t="n">
        <x:v>4105</x:v>
      </x:c>
      <x:c r="J6" s="50" t="str">
        <x:v>tentative</x:v>
      </x:c>
    </x:row>
    <x:row r="7">
      <x:c r="A7" s="50" t="str">
        <x:v>AO-2606</x:v>
      </x:c>
      <x:c r="B7" s="50" t="str">
        <x:v>board appreciation dinner</x:v>
      </x:c>
      <x:c r="C7" s="50" t="n">
        <x:v>46073.5</x:v>
      </x:c>
      <x:c r="D7" s="50" t="str">
        <x:v>dinner</x:v>
      </x:c>
      <x:c r="E7" s="50" t="n">
        <x:v>42</x:v>
      </x:c>
      <x:c r="F7" s="50" t="n">
        <x:v>2550</x:v>
      </x:c>
      <x:c r="G7" s="50" t="n">
        <x:v>960</x:v>
      </x:c>
      <x:c r="H7" s="50" t="n">
        <x:v>240</x:v>
      </x:c>
      <x:c r="I7" s="50" t="n">
        <x:v>1350</x:v>
      </x:c>
      <x:c r="J7" s="50" t="str">
        <x:v>completed</x:v>
      </x:c>
    </x:row>
    <x:row r="8">
      <x:c r="A8" s="50" t="str">
        <x:v>AO-2607</x:v>
      </x:c>
      <x:c r="B8" s="50" t="str">
        <x:v>community awards brunch</x:v>
      </x:c>
      <x:c r="C8" s="50" t="n">
        <x:v>46250.5</x:v>
      </x:c>
      <x:c r="D8" s="50" t="str">
        <x:v>brunch</x:v>
      </x:c>
      <x:c r="E8" s="50" t="n">
        <x:v>85</x:v>
      </x:c>
      <x:c r="F8" s="50" t="n">
        <x:v>4100</x:v>
      </x:c>
      <x:c r="G8" s="50" t="n">
        <x:v>1505</x:v>
      </x:c>
      <x:c r="H8" s="50" t="n">
        <x:v>380</x:v>
      </x:c>
      <x:c r="I8" s="50" t="n">
        <x:v>2215</x:v>
      </x:c>
      <x:c r="J8" s="50" t="str">
        <x:v>confirmed</x:v>
      </x:c>
    </x:row>
    <x:row r="9">
      <x:c r="A9" s="50" t="str">
        <x:v>AO-2608</x:v>
      </x:c>
      <x:c r="B9" s="50" t="str">
        <x:v>new year kickoff</x:v>
      </x:c>
      <x:c r="C9" s="50" t="n">
        <x:v>46032.5</x:v>
      </x:c>
      <x:c r="D9" s="50" t="str">
        <x:v>reception</x:v>
      </x:c>
      <x:c r="E9" s="50" t="n">
        <x:v>80</x:v>
      </x:c>
      <x:c r="F9" s="50" t="n">
        <x:v>3900</x:v>
      </x:c>
      <x:c r="G9" s="50" t="n">
        <x:v>1350</x:v>
      </x:c>
      <x:c r="H9" s="50" t="n">
        <x:v>360</x:v>
      </x:c>
      <x:c r="I9" s="50" t="n">
        <x:v>2190</x:v>
      </x:c>
      <x:c r="J9" s="50" t="str">
        <x:v>completed</x:v>
      </x:c>
    </x:row>
    <x:row r="10">
      <x:c r="A10" s="50" t="str">
        <x:v>AO-2609</x:v>
      </x:c>
      <x:c r="B10" s="50" t="str">
        <x:v>leadership breakfast</x:v>
      </x:c>
      <x:c r="C10" s="50" t="n">
        <x:v>46045.5</x:v>
      </x:c>
      <x:c r="D10" s="50" t="str">
        <x:v>breakfast</x:v>
      </x:c>
      <x:c r="E10" s="50" t="n">
        <x:v>60</x:v>
      </x:c>
      <x:c r="F10" s="50" t="n">
        <x:v>2800</x:v>
      </x:c>
      <x:c r="G10" s="50" t="n">
        <x:v>910</x:v>
      </x:c>
      <x:c r="H10" s="50" t="n">
        <x:v>220</x:v>
      </x:c>
      <x:c r="I10" s="50" t="n">
        <x:v>1670</x:v>
      </x:c>
      <x:c r="J10" s="50" t="str">
        <x:v>completed</x:v>
      </x:c>
    </x:row>
    <x:row r="11">
      <x:c r="A11" s="50" t="str">
        <x:v>AO-2610</x:v>
      </x:c>
      <x:c r="B11" s="50" t="str">
        <x:v>client workshop</x:v>
      </x:c>
      <x:c r="C11" s="50" t="n">
        <x:v>46058.5</x:v>
      </x:c>
      <x:c r="D11" s="50" t="str">
        <x:v>workshop</x:v>
      </x:c>
      <x:c r="E11" s="50" t="n">
        <x:v>48</x:v>
      </x:c>
      <x:c r="F11" s="50" t="n">
        <x:v>2400</x:v>
      </x:c>
      <x:c r="G11" s="50" t="n">
        <x:v>780</x:v>
      </x:c>
      <x:c r="H11" s="50" t="n">
        <x:v>180</x:v>
      </x:c>
      <x:c r="I11" s="50" t="n">
        <x:v>1440</x:v>
      </x:c>
      <x:c r="J11" s="50" t="str">
        <x:v>completed</x:v>
      </x:c>
    </x:row>
    <x:row r="12">
      <x:c r="A12" s="50" t="str">
        <x:v>AO-2611</x:v>
      </x:c>
      <x:c r="B12" s="50" t="str">
        <x:v>product launch</x:v>
      </x:c>
      <x:c r="C12" s="50" t="n">
        <x:v>46084.5</x:v>
      </x:c>
      <x:c r="D12" s="50" t="str">
        <x:v>launch</x:v>
      </x:c>
      <x:c r="E12" s="50" t="n">
        <x:v>140</x:v>
      </x:c>
      <x:c r="F12" s="50" t="n">
        <x:v>6800</x:v>
      </x:c>
      <x:c r="G12" s="50" t="n">
        <x:v>2100</x:v>
      </x:c>
      <x:c r="H12" s="50" t="n">
        <x:v>620</x:v>
      </x:c>
      <x:c r="I12" s="50" t="n">
        <x:v>4080</x:v>
      </x:c>
      <x:c r="J12" s="50" t="str">
        <x:v>completed</x:v>
      </x:c>
    </x:row>
    <x:row r="13">
      <x:c r="A13" s="50" t="str">
        <x:v>AO-2612</x:v>
      </x:c>
      <x:c r="B13" s="50" t="str">
        <x:v>alumni mixer</x:v>
      </x:c>
      <x:c r="C13" s="50" t="n">
        <x:v>46109.5</x:v>
      </x:c>
      <x:c r="D13" s="50" t="str">
        <x:v>reception</x:v>
      </x:c>
      <x:c r="E13" s="50" t="n">
        <x:v>110</x:v>
      </x:c>
      <x:c r="F13" s="50" t="n">
        <x:v>5100</x:v>
      </x:c>
      <x:c r="G13" s="50" t="n">
        <x:v>1620</x:v>
      </x:c>
      <x:c r="H13" s="50" t="n">
        <x:v>430</x:v>
      </x:c>
      <x:c r="I13" s="50" t="n">
        <x:v>3050</x:v>
      </x:c>
      <x:c r="J13" s="50" t="str">
        <x:v>completed</x:v>
      </x:c>
    </x:row>
    <x:row r="14">
      <x:c r="A14" s="50" t="str">
        <x:v>AO-2613</x:v>
      </x:c>
      <x:c r="B14" s="50" t="str">
        <x:v>volunteer luncheon</x:v>
      </x:c>
      <x:c r="C14" s="50" t="n">
        <x:v>46123.5</x:v>
      </x:c>
      <x:c r="D14" s="50" t="str">
        <x:v>luncheon</x:v>
      </x:c>
      <x:c r="E14" s="50" t="n">
        <x:v>75</x:v>
      </x:c>
      <x:c r="F14" s="50" t="n">
        <x:v>3300</x:v>
      </x:c>
      <x:c r="G14" s="50" t="n">
        <x:v>1150</x:v>
      </x:c>
      <x:c r="H14" s="50" t="n">
        <x:v>260</x:v>
      </x:c>
      <x:c r="I14" s="50" t="n">
        <x:v>1890</x:v>
      </x:c>
      <x:c r="J14" s="50" t="str">
        <x:v>completed</x:v>
      </x:c>
    </x:row>
    <x:row r="15">
      <x:c r="A15" s="50" t="str">
        <x:v>AO-2614</x:v>
      </x:c>
      <x:c r="B15" s="50" t="str">
        <x:v>charity auction</x:v>
      </x:c>
      <x:c r="C15" s="50" t="n">
        <x:v>46136.5</x:v>
      </x:c>
      <x:c r="D15" s="50" t="str">
        <x:v>fundraiser</x:v>
      </x:c>
      <x:c r="E15" s="50" t="n">
        <x:v>180</x:v>
      </x:c>
      <x:c r="F15" s="50" t="n">
        <x:v>8800</x:v>
      </x:c>
      <x:c r="G15" s="50" t="n">
        <x:v>2950</x:v>
      </x:c>
      <x:c r="H15" s="50" t="n">
        <x:v>760</x:v>
      </x:c>
      <x:c r="I15" s="50" t="n">
        <x:v>5090</x:v>
      </x:c>
      <x:c r="J15" s="50" t="str">
        <x:v>completed</x:v>
      </x:c>
    </x:row>
    <x:row r="16">
      <x:c r="A16" s="50" t="str">
        <x:v>AO-2615</x:v>
      </x:c>
      <x:c r="B16" s="50" t="str">
        <x:v>strategy offsite</x:v>
      </x:c>
      <x:c r="C16" s="50" t="n">
        <x:v>46158.5</x:v>
      </x:c>
      <x:c r="D16" s="50" t="str">
        <x:v>retreat</x:v>
      </x:c>
      <x:c r="E16" s="50" t="n">
        <x:v>36</x:v>
      </x:c>
      <x:c r="F16" s="50" t="n">
        <x:v>2200</x:v>
      </x:c>
      <x:c r="G16" s="50" t="n">
        <x:v>720</x:v>
      </x:c>
      <x:c r="H16" s="50" t="n">
        <x:v>190</x:v>
      </x:c>
      <x:c r="I16" s="50" t="n">
        <x:v>1290</x:v>
      </x:c>
      <x:c r="J16" s="50" t="str">
        <x:v>completed</x:v>
      </x:c>
    </x:row>
    <x:row r="17">
      <x:c r="A17" s="50" t="str">
        <x:v>AO-2616</x:v>
      </x:c>
      <x:c r="B17" s="50" t="str">
        <x:v>graduation reception</x:v>
      </x:c>
      <x:c r="C17" s="50" t="n">
        <x:v>46179.5</x:v>
      </x:c>
      <x:c r="D17" s="50" t="str">
        <x:v>reception</x:v>
      </x:c>
      <x:c r="E17" s="50" t="n">
        <x:v>160</x:v>
      </x:c>
      <x:c r="F17" s="50" t="n">
        <x:v>7600</x:v>
      </x:c>
      <x:c r="G17" s="50" t="n">
        <x:v>2480</x:v>
      </x:c>
      <x:c r="H17" s="50" t="n">
        <x:v>690</x:v>
      </x:c>
      <x:c r="I17" s="50" t="n">
        <x:v>4430</x:v>
      </x:c>
      <x:c r="J17" s="50" t="str">
        <x:v>completed</x:v>
      </x:c>
    </x:row>
    <x:row r="18">
      <x:c r="A18" s="50" t="str">
        <x:v>AO-2617</x:v>
      </x:c>
      <x:c r="B18" s="50" t="str">
        <x:v>summer picnic</x:v>
      </x:c>
      <x:c r="C18" s="50" t="n">
        <x:v>46214.5</x:v>
      </x:c>
      <x:c r="D18" s="50" t="str">
        <x:v>picnic</x:v>
      </x:c>
      <x:c r="E18" s="50" t="n">
        <x:v>130</x:v>
      </x:c>
      <x:c r="F18" s="50" t="n">
        <x:v>5800</x:v>
      </x:c>
      <x:c r="G18" s="50" t="n">
        <x:v>2050</x:v>
      </x:c>
      <x:c r="H18" s="50" t="n">
        <x:v>540</x:v>
      </x:c>
      <x:c r="I18" s="50" t="n">
        <x:v>3210</x:v>
      </x:c>
      <x:c r="J18" s="50" t="str">
        <x:v>confirmed</x:v>
      </x:c>
    </x:row>
    <x:row r="19">
      <x:c r="A19" s="50" t="str">
        <x:v>AO-2618</x:v>
      </x:c>
      <x:c r="B19" s="50" t="str">
        <x:v>donor dinner</x:v>
      </x:c>
      <x:c r="C19" s="50" t="n">
        <x:v>46228.5</x:v>
      </x:c>
      <x:c r="D19" s="50" t="str">
        <x:v>dinner</x:v>
      </x:c>
      <x:c r="E19" s="50" t="n">
        <x:v>90</x:v>
      </x:c>
      <x:c r="F19" s="50" t="n">
        <x:v>4700</x:v>
      </x:c>
      <x:c r="G19" s="50" t="n">
        <x:v>1680</x:v>
      </x:c>
      <x:c r="H19" s="50" t="n">
        <x:v>410</x:v>
      </x:c>
      <x:c r="I19" s="50" t="n">
        <x:v>2610</x:v>
      </x:c>
      <x:c r="J19" s="50" t="str">
        <x:v>confirmed</x:v>
      </x:c>
    </x:row>
    <x:row r="20">
      <x:c r="A20" s="50" t="str">
        <x:v>AO-2619</x:v>
      </x:c>
      <x:c r="B20" s="50" t="str">
        <x:v>employee recognition</x:v>
      </x:c>
      <x:c r="C20" s="50" t="n">
        <x:v>46263.5</x:v>
      </x:c>
      <x:c r="D20" s="50" t="str">
        <x:v>reception</x:v>
      </x:c>
      <x:c r="E20" s="50" t="n">
        <x:v>105</x:v>
      </x:c>
      <x:c r="F20" s="50" t="n">
        <x:v>4900</x:v>
      </x:c>
      <x:c r="G20" s="50" t="n">
        <x:v>1710</x:v>
      </x:c>
      <x:c r="H20" s="50" t="n">
        <x:v>460</x:v>
      </x:c>
      <x:c r="I20" s="50" t="n">
        <x:v>2730</x:v>
      </x:c>
      <x:c r="J20" s="50" t="str">
        <x:v>confirmed</x:v>
      </x:c>
    </x:row>
    <x:row r="21">
      <x:c r="A21" s="50" t="str">
        <x:v>AO-2620</x:v>
      </x:c>
      <x:c r="B21" s="50" t="str">
        <x:v>networking reception</x:v>
      </x:c>
      <x:c r="C21" s="50" t="n">
        <x:v>46277.5</x:v>
      </x:c>
      <x:c r="D21" s="50" t="str">
        <x:v>reception</x:v>
      </x:c>
      <x:c r="E21" s="50" t="n">
        <x:v>125</x:v>
      </x:c>
      <x:c r="F21" s="50" t="n">
        <x:v>6100</x:v>
      </x:c>
      <x:c r="G21" s="50" t="n">
        <x:v>1975</x:v>
      </x:c>
      <x:c r="H21" s="50" t="n">
        <x:v>580</x:v>
      </x:c>
      <x:c r="I21" s="50" t="n">
        <x:v>3545</x:v>
      </x:c>
      <x:c r="J21" s="50" t="str">
        <x:v>confirmed</x:v>
      </x:c>
    </x:row>
    <x:row r="22">
      <x:c r="A22" s="50" t="str">
        <x:v>AO-2621</x:v>
      </x:c>
      <x:c r="B22" s="50" t="str">
        <x:v>annual meeting</x:v>
      </x:c>
      <x:c r="C22" s="50" t="n">
        <x:v>46291.5</x:v>
      </x:c>
      <x:c r="D22" s="50" t="str">
        <x:v>meeting</x:v>
      </x:c>
      <x:c r="E22" s="50" t="n">
        <x:v>70</x:v>
      </x:c>
      <x:c r="F22" s="50" t="n">
        <x:v>3500</x:v>
      </x:c>
      <x:c r="G22" s="50" t="n">
        <x:v>1210</x:v>
      </x:c>
      <x:c r="H22" s="50" t="n">
        <x:v>300</x:v>
      </x:c>
      <x:c r="I22" s="50" t="n">
        <x:v>1990</x:v>
      </x:c>
      <x:c r="J22" s="50" t="str">
        <x:v>confirmed</x:v>
      </x:c>
    </x:row>
    <x:row r="23">
      <x:c r="A23" s="50" t="str">
        <x:v>AO-2622</x:v>
      </x:c>
      <x:c r="B23" s="50" t="str">
        <x:v>holiday market</x:v>
      </x:c>
      <x:c r="C23" s="50" t="n">
        <x:v>46333.5</x:v>
      </x:c>
      <x:c r="D23" s="50" t="str">
        <x:v>market</x:v>
      </x:c>
      <x:c r="E23" s="50" t="n">
        <x:v>210</x:v>
      </x:c>
      <x:c r="F23" s="50" t="n">
        <x:v>9800</x:v>
      </x:c>
      <x:c r="G23" s="50" t="n">
        <x:v>3400</x:v>
      </x:c>
      <x:c r="H23" s="50" t="n">
        <x:v>920</x:v>
      </x:c>
      <x:c r="I23" s="50" t="n">
        <x:v>5480</x:v>
      </x:c>
      <x:c r="J23" s="50" t="str">
        <x:v>tentative</x:v>
      </x:c>
    </x:row>
    <x:row r="24">
      <x:c r="A24" s="50" t="str">
        <x:v>AO-2623</x:v>
      </x:c>
      <x:c r="B24" s="50" t="str">
        <x:v>team celebration</x:v>
      </x:c>
      <x:c r="C24" s="50" t="n">
        <x:v>46346.5</x:v>
      </x:c>
      <x:c r="D24" s="50" t="str">
        <x:v>dinner</x:v>
      </x:c>
      <x:c r="E24" s="50" t="n">
        <x:v>65</x:v>
      </x:c>
      <x:c r="F24" s="50" t="n">
        <x:v>3100</x:v>
      </x:c>
      <x:c r="G24" s="50" t="n">
        <x:v>1050</x:v>
      </x:c>
      <x:c r="H24" s="50" t="n">
        <x:v>250</x:v>
      </x:c>
      <x:c r="I24" s="50" t="n">
        <x:v>1800</x:v>
      </x:c>
      <x:c r="J24" s="50" t="str">
        <x:v>tentative</x:v>
      </x:c>
    </x:row>
    <x:row r="25">
      <x:c r="A25" s="50" t="str">
        <x:v>AO-2624</x:v>
      </x:c>
      <x:c r="B25" s="50" t="str">
        <x:v>year-end dinner</x:v>
      </x:c>
      <x:c r="C25" s="50" t="n">
        <x:v>46375.5</x:v>
      </x:c>
      <x:c r="D25" s="50" t="str">
        <x:v>dinner</x:v>
      </x:c>
      <x:c r="E25" s="50" t="n">
        <x:v>145</x:v>
      </x:c>
      <x:c r="F25" s="50" t="n">
        <x:v>6900</x:v>
      </x:c>
      <x:c r="G25" s="50" t="n">
        <x:v>2380</x:v>
      </x:c>
      <x:c r="H25" s="50" t="n">
        <x:v>640</x:v>
      </x:c>
      <x:c r="I25" s="50" t="n">
        <x:v>3880</x:v>
      </x:c>
      <x:c r="J25" s="50" t="str">
        <x:v>tentative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5" hidden="0" customWidth="1"/>
    <x:col min="3" max="3" width="10" hidden="0" customWidth="1"/>
    <x:col min="4" max="4" width="11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14" hidden="0" customWidth="1"/>
    <x:col min="12" max="12" width="14" hidden="0" customWidth="1"/>
  </x:cols>
  <x:sheetData>
    <x:row r="1">
      <x:c r="A1" s="4" t="str">
        <x:v>Anchor &amp; Oak Events · Manager View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>
      <x:c r="A2" s="7" t="str">
        <x:v>Format this working copy. Preserve Raw Export exactly. Build summaries in the labeled cells, then complete the Class Challenge audit.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B3" s="53" t="str">
        <x:v>Total Revenue</x:v>
      </x:c>
      <x:c r="C3" s="54"/>
      <x:c r="D3"/>
      <x:c r="E3" s="53" t="str">
        <x:v>Total Net Profit</x:v>
      </x:c>
      <x:c r="F3" s="54"/>
      <x:c r="G3"/>
      <x:c r="H3" s="53" t="str">
        <x:v>Average Revenue / Event</x:v>
      </x:c>
      <x:c r="I3" s="54"/>
      <x:c r="J3"/>
      <x:c r="K3" s="53" t="str">
        <x:v>Total Guests</x:v>
      </x:c>
      <x:c r="L3" s="54"/>
    </x:row>
    <x:row r="5">
      <x:c r="A5" s="56" t="str">
        <x:v>Student workspace · Convert A7:J31 to an Excel table with filters. Do not merge cells inside the data table.</x:v>
      </x:c>
      <x:c r="B5" s="56"/>
      <x:c r="C5" s="56"/>
      <x:c r="D5" s="56"/>
      <x:c r="E5" s="56"/>
      <x:c r="F5" s="56"/>
      <x:c r="G5" s="56"/>
      <x:c r="H5" s="56"/>
      <x:c r="I5" s="56"/>
      <x:c r="J5" s="56"/>
      <x:c r="K5" s="56"/>
      <x:c r="L5" s="56"/>
    </x:row>
    <x:row r="7">
      <x:c r="A7" s="72" t="str">
        <x:v>Event ID</x:v>
      </x:c>
      <x:c r="B7" s="73" t="str">
        <x:v>Event</x:v>
      </x:c>
      <x:c r="C7" s="73" t="str">
        <x:v>Event Date</x:v>
      </x:c>
      <x:c r="D7" s="73" t="str">
        <x:v>Event Type</x:v>
      </x:c>
      <x:c r="E7" s="73" t="str">
        <x:v>Guests</x:v>
      </x:c>
      <x:c r="F7" s="73" t="str">
        <x:v>Revenue</x:v>
      </x:c>
      <x:c r="G7" s="73" t="str">
        <x:v>Catering Cost</x:v>
      </x:c>
      <x:c r="H7" s="73" t="str">
        <x:v>Staffing Cost</x:v>
      </x:c>
      <x:c r="I7" s="73" t="str">
        <x:v>Net Profit</x:v>
      </x:c>
      <x:c r="J7" s="74" t="str">
        <x:v>Status</x:v>
      </x:c>
    </x:row>
    <x:row r="8">
      <x:c r="A8" s="60" t="str">
        <x:v>AO-2601</x:v>
      </x:c>
      <x:c r="B8" s="61" t="str">
        <x:v>Spring Gala</x:v>
      </x:c>
      <x:c r="C8" s="61" t="n">
        <x:v>46096.5</x:v>
      </x:c>
      <x:c r="D8" s="61" t="str">
        <x:v>Gala</x:v>
      </x:c>
      <x:c r="E8" s="61" t="n">
        <x:v>120</x:v>
      </x:c>
      <x:c r="F8" s="61" t="n">
        <x:v>4800</x:v>
      </x:c>
      <x:c r="G8" s="61" t="n">
        <x:v>1820</x:v>
      </x:c>
      <x:c r="H8" s="61" t="n">
        <x:v>0</x:v>
      </x:c>
      <x:c r="I8" s="61" t="n">
        <x:v>2980</x:v>
      </x:c>
      <x:c r="J8" s="62" t="str">
        <x:v>Confirmed</x:v>
      </x:c>
    </x:row>
    <x:row r="9">
      <x:c r="A9" s="60" t="str">
        <x:v>AO-2602</x:v>
      </x:c>
      <x:c r="B9" s="61" t="str">
        <x:v>Corporate Retreat</x:v>
      </x:c>
      <x:c r="C9" s="61" t="n">
        <x:v>46150.5</x:v>
      </x:c>
      <x:c r="D9" s="61" t="str">
        <x:v>Retreat</x:v>
      </x:c>
      <x:c r="E9" s="61" t="n">
        <x:v>55</x:v>
      </x:c>
      <x:c r="F9" s="61" t="n">
        <x:v>3200</x:v>
      </x:c>
      <x:c r="G9" s="61" t="n">
        <x:v>1210</x:v>
      </x:c>
      <x:c r="H9" s="61" t="n">
        <x:v>0</x:v>
      </x:c>
      <x:c r="I9" s="61" t="n">
        <x:v>1990</x:v>
      </x:c>
      <x:c r="J9" s="62" t="str">
        <x:v>Confirmed</x:v>
      </x:c>
    </x:row>
    <x:row r="10">
      <x:c r="A10" s="60" t="str">
        <x:v>AO-2603</x:v>
      </x:c>
      <x:c r="B10" s="61" t="str">
        <x:v>Summer Wedding</x:v>
      </x:c>
      <x:c r="C10" s="61" t="n">
        <x:v>46194.5</x:v>
      </x:c>
      <x:c r="D10" s="61" t="str">
        <x:v>Wedding</x:v>
      </x:c>
      <x:c r="E10" s="61" t="n">
        <x:v>200</x:v>
      </x:c>
      <x:c r="F10" s="61" t="n">
        <x:v>9500</x:v>
      </x:c>
      <x:c r="G10" s="61" t="n">
        <x:v>3100</x:v>
      </x:c>
      <x:c r="H10" s="61" t="n">
        <x:v>890</x:v>
      </x:c>
      <x:c r="I10" s="61" t="n">
        <x:v>5510</x:v>
      </x:c>
      <x:c r="J10" s="62" t="str">
        <x:v>Confirmed</x:v>
      </x:c>
    </x:row>
    <x:row r="11">
      <x:c r="A11" s="60" t="str">
        <x:v>AO-2604</x:v>
      </x:c>
      <x:c r="B11" s="61" t="str">
        <x:v>Fall Gala</x:v>
      </x:c>
      <x:c r="C11" s="61" t="n">
        <x:v>46299.5</x:v>
      </x:c>
      <x:c r="D11" s="61" t="str">
        <x:v>Gala</x:v>
      </x:c>
      <x:c r="E11" s="61" t="n">
        <x:v>95</x:v>
      </x:c>
      <x:c r="F11" s="61" t="n">
        <x:v>5200</x:v>
      </x:c>
      <x:c r="G11" s="61" t="n">
        <x:v>1400</x:v>
      </x:c>
      <x:c r="H11" s="61" t="n">
        <x:v>510</x:v>
      </x:c>
      <x:c r="I11" s="61" t="n">
        <x:v>3290</x:v>
      </x:c>
      <x:c r="J11" s="62" t="str">
        <x:v>Tentative</x:v>
      </x:c>
    </x:row>
    <x:row r="12">
      <x:c r="A12" s="60" t="str">
        <x:v>AO-2605</x:v>
      </x:c>
      <x:c r="B12" s="61" t="str">
        <x:v>Winter Fundraiser</x:v>
      </x:c>
      <x:c r="C12" s="61" t="n">
        <x:v>46368.5</x:v>
      </x:c>
      <x:c r="D12" s="61" t="str">
        <x:v>Fundraiser</x:v>
      </x:c>
      <x:c r="E12" s="61" t="n">
        <x:v>150</x:v>
      </x:c>
      <x:c r="F12" s="61" t="n">
        <x:v>7400</x:v>
      </x:c>
      <x:c r="G12" s="61" t="n">
        <x:v>2625</x:v>
      </x:c>
      <x:c r="H12" s="61" t="n">
        <x:v>670</x:v>
      </x:c>
      <x:c r="I12" s="61" t="n">
        <x:v>4105</x:v>
      </x:c>
      <x:c r="J12" s="62" t="str">
        <x:v>Tentative</x:v>
      </x:c>
    </x:row>
    <x:row r="13">
      <x:c r="A13" s="60" t="str">
        <x:v>AO-2606</x:v>
      </x:c>
      <x:c r="B13" s="61" t="str">
        <x:v>Board Appreciation Dinner</x:v>
      </x:c>
      <x:c r="C13" s="61" t="n">
        <x:v>46073.5</x:v>
      </x:c>
      <x:c r="D13" s="61" t="str">
        <x:v>Dinner</x:v>
      </x:c>
      <x:c r="E13" s="61" t="n">
        <x:v>42</x:v>
      </x:c>
      <x:c r="F13" s="61" t="n">
        <x:v>2550</x:v>
      </x:c>
      <x:c r="G13" s="61" t="n">
        <x:v>960</x:v>
      </x:c>
      <x:c r="H13" s="61" t="n">
        <x:v>240</x:v>
      </x:c>
      <x:c r="I13" s="61" t="n">
        <x:v>1350</x:v>
      </x:c>
      <x:c r="J13" s="62" t="str">
        <x:v>Completed</x:v>
      </x:c>
    </x:row>
    <x:row r="14">
      <x:c r="A14" s="60" t="str">
        <x:v>AO-2607</x:v>
      </x:c>
      <x:c r="B14" s="61" t="str">
        <x:v>Community Awards Brunch</x:v>
      </x:c>
      <x:c r="C14" s="61" t="n">
        <x:v>46250.5</x:v>
      </x:c>
      <x:c r="D14" s="61" t="str">
        <x:v>Brunch</x:v>
      </x:c>
      <x:c r="E14" s="61" t="n">
        <x:v>85</x:v>
      </x:c>
      <x:c r="F14" s="61" t="n">
        <x:v>4100</x:v>
      </x:c>
      <x:c r="G14" s="61" t="n">
        <x:v>1505</x:v>
      </x:c>
      <x:c r="H14" s="61" t="n">
        <x:v>380</x:v>
      </x:c>
      <x:c r="I14" s="61" t="n">
        <x:v>2215</x:v>
      </x:c>
      <x:c r="J14" s="62" t="str">
        <x:v>Confirmed</x:v>
      </x:c>
    </x:row>
    <x:row r="15">
      <x:c r="A15" s="60" t="str">
        <x:v>AO-2608</x:v>
      </x:c>
      <x:c r="B15" s="61" t="str">
        <x:v>New Year Kickoff</x:v>
      </x:c>
      <x:c r="C15" s="61" t="n">
        <x:v>46032.5</x:v>
      </x:c>
      <x:c r="D15" s="61" t="str">
        <x:v>Reception</x:v>
      </x:c>
      <x:c r="E15" s="61" t="n">
        <x:v>80</x:v>
      </x:c>
      <x:c r="F15" s="61" t="n">
        <x:v>3900</x:v>
      </x:c>
      <x:c r="G15" s="61" t="n">
        <x:v>1350</x:v>
      </x:c>
      <x:c r="H15" s="61" t="n">
        <x:v>360</x:v>
      </x:c>
      <x:c r="I15" s="61" t="n">
        <x:v>2190</x:v>
      </x:c>
      <x:c r="J15" s="62" t="str">
        <x:v>Completed</x:v>
      </x:c>
    </x:row>
    <x:row r="16">
      <x:c r="A16" s="60" t="str">
        <x:v>AO-2609</x:v>
      </x:c>
      <x:c r="B16" s="61" t="str">
        <x:v>Leadership Breakfast</x:v>
      </x:c>
      <x:c r="C16" s="61" t="n">
        <x:v>46045.5</x:v>
      </x:c>
      <x:c r="D16" s="61" t="str">
        <x:v>Breakfast</x:v>
      </x:c>
      <x:c r="E16" s="61" t="n">
        <x:v>60</x:v>
      </x:c>
      <x:c r="F16" s="61" t="n">
        <x:v>2800</x:v>
      </x:c>
      <x:c r="G16" s="61" t="n">
        <x:v>910</x:v>
      </x:c>
      <x:c r="H16" s="61" t="n">
        <x:v>220</x:v>
      </x:c>
      <x:c r="I16" s="61" t="n">
        <x:v>1670</x:v>
      </x:c>
      <x:c r="J16" s="62" t="str">
        <x:v>Completed</x:v>
      </x:c>
    </x:row>
    <x:row r="17">
      <x:c r="A17" s="60" t="str">
        <x:v>AO-2610</x:v>
      </x:c>
      <x:c r="B17" s="61" t="str">
        <x:v>Client Workshop</x:v>
      </x:c>
      <x:c r="C17" s="61" t="n">
        <x:v>46058.5</x:v>
      </x:c>
      <x:c r="D17" s="61" t="str">
        <x:v>Workshop</x:v>
      </x:c>
      <x:c r="E17" s="61" t="n">
        <x:v>48</x:v>
      </x:c>
      <x:c r="F17" s="61" t="n">
        <x:v>2400</x:v>
      </x:c>
      <x:c r="G17" s="61" t="n">
        <x:v>780</x:v>
      </x:c>
      <x:c r="H17" s="61" t="n">
        <x:v>180</x:v>
      </x:c>
      <x:c r="I17" s="61" t="n">
        <x:v>1440</x:v>
      </x:c>
      <x:c r="J17" s="62" t="str">
        <x:v>Completed</x:v>
      </x:c>
    </x:row>
    <x:row r="18">
      <x:c r="A18" s="60" t="str">
        <x:v>AO-2611</x:v>
      </x:c>
      <x:c r="B18" s="61" t="str">
        <x:v>Product Launch</x:v>
      </x:c>
      <x:c r="C18" s="61" t="n">
        <x:v>46084.5</x:v>
      </x:c>
      <x:c r="D18" s="61" t="str">
        <x:v>Launch</x:v>
      </x:c>
      <x:c r="E18" s="61" t="n">
        <x:v>140</x:v>
      </x:c>
      <x:c r="F18" s="61" t="n">
        <x:v>6800</x:v>
      </x:c>
      <x:c r="G18" s="61" t="n">
        <x:v>2100</x:v>
      </x:c>
      <x:c r="H18" s="61" t="n">
        <x:v>620</x:v>
      </x:c>
      <x:c r="I18" s="61" t="n">
        <x:v>4080</x:v>
      </x:c>
      <x:c r="J18" s="62" t="str">
        <x:v>Completed</x:v>
      </x:c>
    </x:row>
    <x:row r="19">
      <x:c r="A19" s="60" t="str">
        <x:v>AO-2612</x:v>
      </x:c>
      <x:c r="B19" s="61" t="str">
        <x:v>Alumni Mixer</x:v>
      </x:c>
      <x:c r="C19" s="61" t="n">
        <x:v>46109.5</x:v>
      </x:c>
      <x:c r="D19" s="61" t="str">
        <x:v>Reception</x:v>
      </x:c>
      <x:c r="E19" s="61" t="n">
        <x:v>110</x:v>
      </x:c>
      <x:c r="F19" s="61" t="n">
        <x:v>5100</x:v>
      </x:c>
      <x:c r="G19" s="61" t="n">
        <x:v>1620</x:v>
      </x:c>
      <x:c r="H19" s="61" t="n">
        <x:v>430</x:v>
      </x:c>
      <x:c r="I19" s="61" t="n">
        <x:v>3050</x:v>
      </x:c>
      <x:c r="J19" s="62" t="str">
        <x:v>Completed</x:v>
      </x:c>
    </x:row>
    <x:row r="20">
      <x:c r="A20" s="60" t="str">
        <x:v>AO-2613</x:v>
      </x:c>
      <x:c r="B20" s="61" t="str">
        <x:v>Volunteer Luncheon</x:v>
      </x:c>
      <x:c r="C20" s="61" t="n">
        <x:v>46123.5</x:v>
      </x:c>
      <x:c r="D20" s="61" t="str">
        <x:v>Luncheon</x:v>
      </x:c>
      <x:c r="E20" s="61" t="n">
        <x:v>75</x:v>
      </x:c>
      <x:c r="F20" s="61" t="n">
        <x:v>3300</x:v>
      </x:c>
      <x:c r="G20" s="61" t="n">
        <x:v>1150</x:v>
      </x:c>
      <x:c r="H20" s="61" t="n">
        <x:v>260</x:v>
      </x:c>
      <x:c r="I20" s="61" t="n">
        <x:v>1890</x:v>
      </x:c>
      <x:c r="J20" s="62" t="str">
        <x:v>Completed</x:v>
      </x:c>
    </x:row>
    <x:row r="21">
      <x:c r="A21" s="60" t="str">
        <x:v>AO-2614</x:v>
      </x:c>
      <x:c r="B21" s="61" t="str">
        <x:v>Charity Auction</x:v>
      </x:c>
      <x:c r="C21" s="61" t="n">
        <x:v>46136.5</x:v>
      </x:c>
      <x:c r="D21" s="61" t="str">
        <x:v>Fundraiser</x:v>
      </x:c>
      <x:c r="E21" s="61" t="n">
        <x:v>180</x:v>
      </x:c>
      <x:c r="F21" s="61" t="n">
        <x:v>8800</x:v>
      </x:c>
      <x:c r="G21" s="61" t="n">
        <x:v>2950</x:v>
      </x:c>
      <x:c r="H21" s="61" t="n">
        <x:v>760</x:v>
      </x:c>
      <x:c r="I21" s="61" t="n">
        <x:v>5090</x:v>
      </x:c>
      <x:c r="J21" s="62" t="str">
        <x:v>Completed</x:v>
      </x:c>
    </x:row>
    <x:row r="22">
      <x:c r="A22" s="60" t="str">
        <x:v>AO-2615</x:v>
      </x:c>
      <x:c r="B22" s="61" t="str">
        <x:v>Strategy Offsite</x:v>
      </x:c>
      <x:c r="C22" s="61" t="n">
        <x:v>46158.5</x:v>
      </x:c>
      <x:c r="D22" s="61" t="str">
        <x:v>Retreat</x:v>
      </x:c>
      <x:c r="E22" s="61" t="n">
        <x:v>36</x:v>
      </x:c>
      <x:c r="F22" s="61" t="n">
        <x:v>2200</x:v>
      </x:c>
      <x:c r="G22" s="61" t="n">
        <x:v>720</x:v>
      </x:c>
      <x:c r="H22" s="61" t="n">
        <x:v>190</x:v>
      </x:c>
      <x:c r="I22" s="61" t="n">
        <x:v>1290</x:v>
      </x:c>
      <x:c r="J22" s="62" t="str">
        <x:v>Completed</x:v>
      </x:c>
    </x:row>
    <x:row r="23">
      <x:c r="A23" s="60" t="str">
        <x:v>AO-2616</x:v>
      </x:c>
      <x:c r="B23" s="61" t="str">
        <x:v>Graduation Reception</x:v>
      </x:c>
      <x:c r="C23" s="61" t="n">
        <x:v>46179.5</x:v>
      </x:c>
      <x:c r="D23" s="61" t="str">
        <x:v>Reception</x:v>
      </x:c>
      <x:c r="E23" s="61" t="n">
        <x:v>160</x:v>
      </x:c>
      <x:c r="F23" s="61" t="n">
        <x:v>7600</x:v>
      </x:c>
      <x:c r="G23" s="61" t="n">
        <x:v>2480</x:v>
      </x:c>
      <x:c r="H23" s="61" t="n">
        <x:v>690</x:v>
      </x:c>
      <x:c r="I23" s="61" t="n">
        <x:v>4430</x:v>
      </x:c>
      <x:c r="J23" s="62" t="str">
        <x:v>Completed</x:v>
      </x:c>
    </x:row>
    <x:row r="24">
      <x:c r="A24" s="60" t="str">
        <x:v>AO-2617</x:v>
      </x:c>
      <x:c r="B24" s="61" t="str">
        <x:v>Summer Picnic</x:v>
      </x:c>
      <x:c r="C24" s="61" t="n">
        <x:v>46214.5</x:v>
      </x:c>
      <x:c r="D24" s="61" t="str">
        <x:v>Picnic</x:v>
      </x:c>
      <x:c r="E24" s="61" t="n">
        <x:v>130</x:v>
      </x:c>
      <x:c r="F24" s="61" t="n">
        <x:v>5800</x:v>
      </x:c>
      <x:c r="G24" s="61" t="n">
        <x:v>2050</x:v>
      </x:c>
      <x:c r="H24" s="61" t="n">
        <x:v>540</x:v>
      </x:c>
      <x:c r="I24" s="61" t="n">
        <x:v>3210</x:v>
      </x:c>
      <x:c r="J24" s="62" t="str">
        <x:v>Confirmed</x:v>
      </x:c>
    </x:row>
    <x:row r="25">
      <x:c r="A25" s="60" t="str">
        <x:v>AO-2618</x:v>
      </x:c>
      <x:c r="B25" s="61" t="str">
        <x:v>Donor Dinner</x:v>
      </x:c>
      <x:c r="C25" s="61" t="n">
        <x:v>46228.5</x:v>
      </x:c>
      <x:c r="D25" s="61" t="str">
        <x:v>Dinner</x:v>
      </x:c>
      <x:c r="E25" s="61" t="n">
        <x:v>90</x:v>
      </x:c>
      <x:c r="F25" s="61" t="n">
        <x:v>4700</x:v>
      </x:c>
      <x:c r="G25" s="61" t="n">
        <x:v>1680</x:v>
      </x:c>
      <x:c r="H25" s="61" t="n">
        <x:v>410</x:v>
      </x:c>
      <x:c r="I25" s="61" t="n">
        <x:v>2610</x:v>
      </x:c>
      <x:c r="J25" s="62" t="str">
        <x:v>Confirmed</x:v>
      </x:c>
    </x:row>
    <x:row r="26">
      <x:c r="A26" s="60" t="str">
        <x:v>AO-2619</x:v>
      </x:c>
      <x:c r="B26" s="61" t="str">
        <x:v>Employee Recognition</x:v>
      </x:c>
      <x:c r="C26" s="61" t="n">
        <x:v>46263.5</x:v>
      </x:c>
      <x:c r="D26" s="61" t="str">
        <x:v>Reception</x:v>
      </x:c>
      <x:c r="E26" s="61" t="n">
        <x:v>105</x:v>
      </x:c>
      <x:c r="F26" s="61" t="n">
        <x:v>4900</x:v>
      </x:c>
      <x:c r="G26" s="61" t="n">
        <x:v>1710</x:v>
      </x:c>
      <x:c r="H26" s="61" t="n">
        <x:v>460</x:v>
      </x:c>
      <x:c r="I26" s="61" t="n">
        <x:v>2730</x:v>
      </x:c>
      <x:c r="J26" s="62" t="str">
        <x:v>Confirmed</x:v>
      </x:c>
    </x:row>
    <x:row r="27">
      <x:c r="A27" s="60" t="str">
        <x:v>AO-2620</x:v>
      </x:c>
      <x:c r="B27" s="61" t="str">
        <x:v>Networking Reception</x:v>
      </x:c>
      <x:c r="C27" s="61" t="n">
        <x:v>46277.5</x:v>
      </x:c>
      <x:c r="D27" s="61" t="str">
        <x:v>Reception</x:v>
      </x:c>
      <x:c r="E27" s="61" t="n">
        <x:v>125</x:v>
      </x:c>
      <x:c r="F27" s="61" t="n">
        <x:v>6100</x:v>
      </x:c>
      <x:c r="G27" s="61" t="n">
        <x:v>1975</x:v>
      </x:c>
      <x:c r="H27" s="61" t="n">
        <x:v>580</x:v>
      </x:c>
      <x:c r="I27" s="61" t="n">
        <x:v>3545</x:v>
      </x:c>
      <x:c r="J27" s="62" t="str">
        <x:v>Confirmed</x:v>
      </x:c>
    </x:row>
    <x:row r="28">
      <x:c r="A28" s="60" t="str">
        <x:v>AO-2621</x:v>
      </x:c>
      <x:c r="B28" s="61" t="str">
        <x:v>Annual Meeting</x:v>
      </x:c>
      <x:c r="C28" s="61" t="n">
        <x:v>46291.5</x:v>
      </x:c>
      <x:c r="D28" s="61" t="str">
        <x:v>Meeting</x:v>
      </x:c>
      <x:c r="E28" s="61" t="n">
        <x:v>70</x:v>
      </x:c>
      <x:c r="F28" s="61" t="n">
        <x:v>3500</x:v>
      </x:c>
      <x:c r="G28" s="61" t="n">
        <x:v>1210</x:v>
      </x:c>
      <x:c r="H28" s="61" t="n">
        <x:v>300</x:v>
      </x:c>
      <x:c r="I28" s="61" t="n">
        <x:v>1990</x:v>
      </x:c>
      <x:c r="J28" s="62" t="str">
        <x:v>Confirmed</x:v>
      </x:c>
    </x:row>
    <x:row r="29">
      <x:c r="A29" s="60" t="str">
        <x:v>AO-2622</x:v>
      </x:c>
      <x:c r="B29" s="61" t="str">
        <x:v>Holiday Market</x:v>
      </x:c>
      <x:c r="C29" s="61" t="n">
        <x:v>46333.5</x:v>
      </x:c>
      <x:c r="D29" s="61" t="str">
        <x:v>Market</x:v>
      </x:c>
      <x:c r="E29" s="61" t="n">
        <x:v>210</x:v>
      </x:c>
      <x:c r="F29" s="61" t="n">
        <x:v>9800</x:v>
      </x:c>
      <x:c r="G29" s="61" t="n">
        <x:v>3400</x:v>
      </x:c>
      <x:c r="H29" s="61" t="n">
        <x:v>920</x:v>
      </x:c>
      <x:c r="I29" s="61" t="n">
        <x:v>5480</x:v>
      </x:c>
      <x:c r="J29" s="62" t="str">
        <x:v>Tentative</x:v>
      </x:c>
    </x:row>
    <x:row r="30">
      <x:c r="A30" s="60" t="str">
        <x:v>AO-2623</x:v>
      </x:c>
      <x:c r="B30" s="61" t="str">
        <x:v>Team Celebration</x:v>
      </x:c>
      <x:c r="C30" s="61" t="n">
        <x:v>46346.5</x:v>
      </x:c>
      <x:c r="D30" s="61" t="str">
        <x:v>Dinner</x:v>
      </x:c>
      <x:c r="E30" s="61" t="n">
        <x:v>65</x:v>
      </x:c>
      <x:c r="F30" s="61" t="n">
        <x:v>3100</x:v>
      </x:c>
      <x:c r="G30" s="61" t="n">
        <x:v>1050</x:v>
      </x:c>
      <x:c r="H30" s="61" t="n">
        <x:v>250</x:v>
      </x:c>
      <x:c r="I30" s="61" t="n">
        <x:v>1800</x:v>
      </x:c>
      <x:c r="J30" s="62" t="str">
        <x:v>Tentative</x:v>
      </x:c>
    </x:row>
    <x:row r="31">
      <x:c r="A31" s="63" t="str">
        <x:v>AO-2624</x:v>
      </x:c>
      <x:c r="B31" s="64" t="str">
        <x:v>Year-End Dinner</x:v>
      </x:c>
      <x:c r="C31" s="64" t="n">
        <x:v>46375.5</x:v>
      </x:c>
      <x:c r="D31" s="64" t="str">
        <x:v>Dinner</x:v>
      </x:c>
      <x:c r="E31" s="64" t="n">
        <x:v>145</x:v>
      </x:c>
      <x:c r="F31" s="64" t="n">
        <x:v>6900</x:v>
      </x:c>
      <x:c r="G31" s="64" t="n">
        <x:v>2380</x:v>
      </x:c>
      <x:c r="H31" s="64" t="n">
        <x:v>640</x:v>
      </x:c>
      <x:c r="I31" s="64" t="n">
        <x:v>3880</x:v>
      </x:c>
      <x:c r="J31" s="65" t="str">
        <x:v>Tentative</x:v>
      </x:c>
    </x:row>
  </x:sheetData>
  <x:mergeCells>
    <x:mergeCell ref="A1:L1"/>
    <x:mergeCell ref="A2:L2"/>
    <x:mergeCell ref="A5:L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42" hidden="0" customWidth="1"/>
    <x:col min="3" max="3" width="25" hidden="0" customWidth="1"/>
    <x:col min="4" max="4" width="24" hidden="0" customWidth="1"/>
    <x:col min="5" max="5" width="38" hidden="0" customWidth="1"/>
  </x:cols>
  <x:sheetData>
    <x:row r="1">
      <x:c r="A1" s="4" t="str">
        <x:v>Class Challenge · Raw Export Makeover</x:v>
      </x:c>
      <x:c r="B1" s="4"/>
      <x:c r="C1" s="4"/>
      <x:c r="D1" s="4"/>
      <x:c r="E1" s="4"/>
    </x:row>
    <x:row r="2">
      <x:c r="A2" s="7" t="str">
        <x:v>Begin in class and finish for homework. Your deliverable is the completed Manager View; Raw Export must remain unchanged.</x:v>
      </x:c>
      <x:c r="B2" s="7"/>
      <x:c r="C2" s="7"/>
      <x:c r="D2" s="7"/>
      <x:c r="E2" s="7"/>
    </x:row>
    <x:row r="4">
      <x:c r="A4" s="41" t="str">
        <x:v>Step</x:v>
      </x:c>
      <x:c r="B4" s="41" t="str">
        <x:v>Requirement</x:v>
      </x:c>
      <x:c r="C4" s="41" t="str">
        <x:v>Where</x:v>
      </x:c>
      <x:c r="D4" s="41" t="str">
        <x:v>Automatically checked</x:v>
      </x:c>
      <x:c r="E4" s="41" t="str">
        <x:v>Completion evidence</x:v>
      </x:c>
    </x:row>
    <x:row r="5" ht="58" customHeight="1">
      <x:c r="A5" s="76" t="str">
        <x:v>1</x:v>
      </x:c>
      <x:c r="B5" s="15" t="str">
        <x:v>Preserve every Raw Export header and record exactly as provided.</x:v>
      </x:c>
      <x:c r="C5" s="15" t="str">
        <x:v>Raw Export!A1:J25</x:v>
      </x:c>
      <x:c r="D5" s="15" t="str">
        <x:v>Yes · data integrity</x:v>
      </x:c>
      <x:c r="E5" s="15" t="str">
        <x:v>No values, rows, columns, or sheet names changed</x:v>
      </x:c>
    </x:row>
    <x:row r="6" ht="58" customHeight="1">
      <x:c r="A6" s="76" t="str">
        <x:v>2</x:v>
      </x:c>
      <x:c r="B6" s="15" t="str">
        <x:v>Convert the full manager data range into one Excel table and keep filter buttons available.</x:v>
      </x:c>
      <x:c r="C6" s="15" t="str">
        <x:v>Manager View!A7:J31</x:v>
      </x:c>
      <x:c r="D6" s="15" t="str">
        <x:v>Yes · table range + filters</x:v>
      </x:c>
      <x:c r="E6" s="15" t="str">
        <x:v>All 24 records and headers are inside one table</x:v>
      </x:c>
    </x:row>
    <x:row r="7" ht="58" customHeight="1">
      <x:c r="A7" s="76" t="str">
        <x:v>3</x:v>
      </x:c>
      <x:c r="B7" s="15" t="str">
        <x:v>Use meaningful formats: date, whole-number guests, and business currency for Revenue through Net Profit.</x:v>
      </x:c>
      <x:c r="C7" s="15" t="str">
        <x:v>Manager View</x:v>
      </x:c>
      <x:c r="D7" s="15" t="str">
        <x:v>Yes · number formats</x:v>
      </x:c>
      <x:c r="E7" s="15" t="str">
        <x:v>Formats communicate what each column means</x:v>
      </x:c>
    </x:row>
    <x:row r="8" ht="58" customHeight="1">
      <x:c r="A8" s="76" t="str">
        <x:v>4</x:v>
      </x:c>
      <x:c r="B8" s="15" t="str">
        <x:v>Set readable column widths and align text/numbers so the manager can scan without avoidable clipping.</x:v>
      </x:c>
      <x:c r="C8" s="15" t="str">
        <x:v>Manager View!A:J</x:v>
      </x:c>
      <x:c r="D8" s="15" t="str">
        <x:v>Yes · minimum widths</x:v>
      </x:c>
      <x:c r="E8" s="15" t="str">
        <x:v>Long event names and headings are readable</x:v>
      </x:c>
    </x:row>
    <x:row r="9" ht="58" customHeight="1">
      <x:c r="A9" s="76" t="str">
        <x:v>5</x:v>
      </x:c>
      <x:c r="B9" s="15" t="str">
        <x:v>Freeze the table header row so labels stay visible while scrolling.</x:v>
      </x:c>
      <x:c r="C9" s="15" t="str">
        <x:v>Manager View</x:v>
      </x:c>
      <x:c r="D9" s="15" t="str">
        <x:v>Yes · Freeze Panes</x:v>
      </x:c>
      <x:c r="E9" s="15" t="str">
        <x:v>Row 7 remains visible below the frozen pane</x:v>
      </x:c>
    </x:row>
    <x:row r="10" ht="58" customHeight="1">
      <x:c r="A10" s="76" t="str">
        <x:v>6</x:v>
      </x:c>
      <x:c r="B10" s="15" t="str">
        <x:v>Build four formulas in the labeled summary cells for Total Revenue, Total Net Profit, Average Revenue per Event, and Total Guests.</x:v>
      </x:c>
      <x:c r="C10" s="15" t="str">
        <x:v>Manager View!C3, F3, I3, L3</x:v>
      </x:c>
      <x:c r="D10" s="15" t="str">
        <x:v>Yes · formula + result</x:v>
      </x:c>
      <x:c r="E10" s="15" t="str">
        <x:v>Use cell/table references; do not type totals</x:v>
      </x:c>
    </x:row>
    <x:row r="11" ht="58" customHeight="1">
      <x:c r="A11" s="76" t="str">
        <x:v>7</x:v>
      </x:c>
      <x:c r="B11" s="15" t="str">
        <x:v>Apply at least one purposeful conditional-formatting rule to Net Profit.</x:v>
      </x:c>
      <x:c r="C11" s="15" t="str">
        <x:v>Manager View!I8:I31</x:v>
      </x:c>
      <x:c r="D11" s="15" t="str">
        <x:v>Yes · conditional formatting</x:v>
      </x:c>
      <x:c r="E11" s="15" t="str">
        <x:v>The rule helps identify high, low, or risky results</x:v>
      </x:c>
    </x:row>
    <x:row r="12" ht="58" customHeight="1">
      <x:c r="A12" s="76" t="str">
        <x:v>8</x:v>
      </x:c>
      <x:c r="B12" s="15" t="str">
        <x:v>Create a clear visual hierarchy with a readable table, distinct summaries, and purposeful emphasis. Any professional palette is acceptable.</x:v>
      </x:c>
      <x:c r="C12" s="15" t="str">
        <x:v>Manager View</x:v>
      </x:c>
      <x:c r="D12" s="15" t="str">
        <x:v>3-point flagged spot-check</x:v>
      </x:c>
      <x:c r="E12" s="15" t="str">
        <x:v>The workbook is understandable in about 30 seconds</x:v>
      </x:c>
    </x:row>
    <x:row r="13" ht="58" customHeight="1">
      <x:c r="A13" s="76" t="str">
        <x:v>9</x:v>
      </x:c>
      <x:c r="B13" s="15" t="str">
        <x:v>Save and submit the original .xlsx with required sheet names intact.</x:v>
      </x:c>
      <x:c r="C13" s="15" t="str">
        <x:v>Whole workbook</x:v>
      </x:c>
      <x:c r="D13" s="15" t="str">
        <x:v>Yes · structure</x:v>
      </x:c>
      <x:c r="E13" s="15" t="str">
        <x:v>Workbook opens normally in Excel</x:v>
      </x:c>
    </x:row>
    <x:row r="15">
      <x:c r="A15" s="81" t="str">
        <x:v>Timing</x:v>
      </x:c>
      <x:c r="B15" s="81" t="str">
        <x:v>In class · about 25 minutes</x:v>
      </x:c>
      <x:c r="C15" s="81" t="str">
        <x:v>Homework · about 30–40 minutes</x:v>
      </x:c>
      <x:c r="D15" s="81" t="str">
        <x:v>Auto/manual split</x:v>
      </x:c>
      <x:c r="E15" s="81" t="str">
        <x:v>Submission</x:v>
      </x:c>
    </x:row>
    <x:row r="16" ht="60" customHeight="1">
      <x:c r="A16" s="15" t="str">
        <x:v>Start the structure before you leave class.</x:v>
      </x:c>
      <x:c r="B16" s="15" t="str">
        <x:v>Table, filters, widths, alignment, number formats, Freeze Panes</x:v>
      </x:c>
      <x:c r="C16" s="15" t="str">
        <x:v>Four formulas, conditional formatting, 30-second audit</x:v>
      </x:c>
      <x:c r="D16" s="15" t="str">
        <x:v>27 automatic + 3 visual spot-check = 30 points</x:v>
      </x:c>
      <x:c r="E16" s="15" t="str">
        <x:v>Upload the completed .xlsx; do not submit PDF/CSV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3" hidden="0" customWidth="1"/>
    <x:col min="3" max="3" width="34" hidden="0" customWidth="1"/>
    <x:col min="4" max="4" width="36" hidden="0" customWidth="1"/>
  </x:cols>
  <x:sheetData>
    <x:row r="1">
      <x:c r="A1" s="41" t="str">
        <x:v>Concept</x:v>
      </x:c>
      <x:c r="B1" s="41" t="str">
        <x:v>Excel pattern</x:v>
      </x:c>
      <x:c r="C1" s="41" t="str">
        <x:v>Plain-English meaning</x:v>
      </x:c>
      <x:c r="D1" s="41" t="str">
        <x:v>Watch out for</x:v>
      </x:c>
    </x:row>
    <x:row r="2">
      <x:c r="A2" s="24" t="str">
        <x:v>Total</x:v>
      </x:c>
      <x:c r="B2" s="89" t="str">
        <x:v>=SUM(F8:F31)</x:v>
      </x:c>
      <x:c r="C2" s="84" t="str">
        <x:v>Adds the full Revenue column.</x:v>
      </x:c>
      <x:c r="D2" s="92" t="str">
        <x:v>Do not type the total as a value.</x:v>
      </x:c>
    </x:row>
    <x:row r="3">
      <x:c r="A3" s="26" t="str">
        <x:v>Average</x:v>
      </x:c>
      <x:c r="B3" s="90" t="str">
        <x:v>=AVERAGE(F8:F31)</x:v>
      </x:c>
      <x:c r="C3" s="14" t="str">
        <x:v>Finds average revenue per event.</x:v>
      </x:c>
      <x:c r="D3" s="93" t="str">
        <x:v>Include detail rows only.</x:v>
      </x:c>
    </x:row>
    <x:row r="4">
      <x:c r="A4" s="26" t="str">
        <x:v>Date format</x:v>
      </x:c>
      <x:c r="B4" s="90" t="str">
        <x:v>dd-mmm-yy</x:v>
      </x:c>
      <x:c r="C4" s="14" t="str">
        <x:v>Shows a real date consistently.</x:v>
      </x:c>
      <x:c r="D4" s="93" t="str">
        <x:v>Formatting cannot convert text into a date.</x:v>
      </x:c>
    </x:row>
    <x:row r="5">
      <x:c r="A5" s="26" t="str">
        <x:v>Currency format</x:v>
      </x:c>
      <x:c r="B5" s="90" t="str">
        <x:v>$#,##0</x:v>
      </x:c>
      <x:c r="C5" s="14" t="str">
        <x:v>Signals that values are dollars.</x:v>
      </x:c>
      <x:c r="D5" s="93" t="str">
        <x:v>Choose a consistent decimal policy.</x:v>
      </x:c>
    </x:row>
    <x:row r="6">
      <x:c r="A6" s="26" t="str">
        <x:v>Excel table</x:v>
      </x:c>
      <x:c r="B6" s="90" t="str">
        <x:v>A7:J31</x:v>
      </x:c>
      <x:c r="C6" s="14" t="str">
        <x:v>Adds structure, banding, and filters.</x:v>
      </x:c>
      <x:c r="D6" s="93" t="str">
        <x:v>Include every header and all 24 records.</x:v>
      </x:c>
    </x:row>
    <x:row r="7">
      <x:c r="A7" s="28" t="str">
        <x:v>Freeze Panes</x:v>
      </x:c>
      <x:c r="B7" s="91" t="str">
        <x:v>Freeze above row 8</x:v>
      </x:c>
      <x:c r="C7" s="85" t="str">
        <x:v>Keeps row 7 headers visible.</x:v>
      </x:c>
      <x:c r="D7" s="94" t="str">
        <x:v>Freeze after the actual table header.</x:v>
      </x:c>
    </x:row>
  </x:sheetData>
  <x:pageMargins left="0.7" right="0.7" top="0.75" bottom="0.75" header="0.3" footer="0.3"/>
</x:worksheet>
</file>