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"/>
    <numFmt numFmtId="166" formatCode="$#,##0"/>
    <numFmt numFmtId="167" formatCode="0.0%"/>
  </numFmts>
  <fonts count="5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4A5567"/>
      <sz val="11"/>
    </font>
    <font>
      <name val="Aptos"/>
      <b val="1"/>
      <color rgb="000E1116"/>
      <sz val="12"/>
    </font>
    <font>
      <name val="Aptos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EAF3EC"/>
      </patternFill>
    </fill>
    <fill>
      <patternFill patternType="solid">
        <fgColor rgb="00355773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E2D0"/>
      </left>
      <right style="thin">
        <color rgb="00D9E2D0"/>
      </right>
      <top style="thin">
        <color rgb="00D9E2D0"/>
      </top>
      <bottom style="thin">
        <color rgb="00D9E2D0"/>
      </bottom>
    </border>
    <border>
      <left/>
      <right/>
      <top style="thin">
        <color rgb="00D9E2D0"/>
      </top>
      <bottom/>
      <diagonal/>
    </border>
    <border>
      <left/>
      <right style="thin">
        <color rgb="00D9E2D0"/>
      </right>
      <top style="thin">
        <color rgb="00D9E2D0"/>
      </top>
      <bottom/>
      <diagonal/>
    </border>
    <border>
      <left/>
      <right/>
      <top style="thin">
        <color rgb="00D9E2D0"/>
      </top>
      <bottom style="thin">
        <color rgb="00D9E2D0"/>
      </bottom>
      <diagonal/>
    </border>
    <border>
      <left/>
      <right style="thin">
        <color rgb="00D9E2D0"/>
      </right>
      <top style="thin">
        <color rgb="00D9E2D0"/>
      </top>
      <bottom style="thin">
        <color rgb="00D9E2D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6" fontId="0" fillId="5" borderId="1" applyAlignment="1" pivotButton="0" quotePrefix="0" xfId="0">
      <alignment vertical="top" wrapText="1"/>
    </xf>
    <xf numFmtId="167" fontId="0" fillId="5" borderId="1" applyAlignment="1" pivotButton="0" quotePrefix="0" xfId="0">
      <alignment vertical="top" wrapText="1"/>
    </xf>
    <xf numFmtId="3" fontId="0" fillId="5" borderId="1" applyAlignment="1" pivotButton="0" quotePrefix="0" xfId="0">
      <alignment vertical="top" wrapText="1"/>
    </xf>
    <xf numFmtId="1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BUS123 - MATH-M10-L01 - Foundations of Investing</t>
        </is>
      </c>
      <c r="B1" s="14" t="n"/>
      <c r="C1" s="14" t="n"/>
      <c r="D1" s="14" t="n"/>
      <c r="E1" s="14" t="n"/>
      <c r="F1" s="14" t="n"/>
      <c r="G1" s="14" t="n"/>
      <c r="H1" s="15" t="n"/>
    </row>
    <row r="2" ht="36" customHeight="1">
      <c r="A2" s="2" t="inlineStr">
        <is>
          <t>Meridian Advisory Group case study | Student workbook</t>
        </is>
      </c>
      <c r="B2" s="14" t="n"/>
      <c r="C2" s="14" t="n"/>
      <c r="D2" s="14" t="n"/>
      <c r="E2" s="14" t="n"/>
      <c r="F2" s="14" t="n"/>
      <c r="G2" s="14" t="n"/>
      <c r="H2" s="15" t="n"/>
    </row>
    <row r="4" ht="24" customHeight="1">
      <c r="A4" s="3" t="inlineStr">
        <is>
          <t>HOW TO USE THIS WORKBOOK</t>
        </is>
      </c>
      <c r="B4" s="14" t="n"/>
      <c r="C4" s="14" t="n"/>
      <c r="D4" s="14" t="n"/>
      <c r="E4" s="14" t="n"/>
      <c r="F4" s="14" t="n"/>
      <c r="G4" s="14" t="n"/>
      <c r="H4" s="15" t="n"/>
    </row>
    <row r="5" ht="30" customHeight="1">
      <c r="A5" s="4" t="inlineStr">
        <is>
          <t>1. Open the slide deck and pause when you see a Live You Try It slide.</t>
        </is>
      </c>
      <c r="B5" s="14" t="n"/>
      <c r="C5" s="14" t="n"/>
      <c r="D5" s="14" t="n"/>
      <c r="E5" s="14" t="n"/>
      <c r="F5" s="14" t="n"/>
      <c r="G5" s="14" t="n"/>
      <c r="H5" s="15" t="n"/>
    </row>
    <row r="6" ht="30" customHeight="1">
      <c r="A6" s="4" t="inlineStr">
        <is>
          <t>2. In Live You Try It, enter the slide givens into the yellow input cells first.</t>
        </is>
      </c>
      <c r="B6" s="14" t="n"/>
      <c r="C6" s="14" t="n"/>
      <c r="D6" s="14" t="n"/>
      <c r="E6" s="14" t="n"/>
      <c r="F6" s="14" t="n"/>
      <c r="G6" s="14" t="n"/>
      <c r="H6" s="15" t="n"/>
    </row>
    <row r="7" ht="30" customHeight="1">
      <c r="A7" s="4" t="inlineStr">
        <is>
          <t>3. Build formulas by referencing those input cells. The feedback column self-checks your practice.</t>
        </is>
      </c>
      <c r="B7" s="14" t="n"/>
      <c r="C7" s="14" t="n"/>
      <c r="D7" s="14" t="n"/>
      <c r="E7" s="14" t="n"/>
      <c r="F7" s="14" t="n"/>
      <c r="G7" s="14" t="n"/>
      <c r="H7" s="15" t="n"/>
    </row>
    <row r="8" ht="30" customHeight="1">
      <c r="A8" s="4" t="inlineStr">
        <is>
          <t>4. Complete Class Challenge after live practice. Read each scenario, extract inputs, and enter final numeric answers.</t>
        </is>
      </c>
      <c r="B8" s="14" t="n"/>
      <c r="C8" s="14" t="n"/>
      <c r="D8" s="14" t="n"/>
      <c r="E8" s="14" t="n"/>
      <c r="F8" s="14" t="n"/>
      <c r="G8" s="14" t="n"/>
      <c r="H8" s="15" t="n"/>
    </row>
    <row r="9" ht="30" customHeight="1">
      <c r="A9" s="4" t="inlineStr">
        <is>
          <t>5. FormulaReferenceCard is a syntax helper. It is not a substitute for choosing the right inputs.</t>
        </is>
      </c>
      <c r="B9" s="14" t="n"/>
      <c r="C9" s="14" t="n"/>
      <c r="D9" s="14" t="n"/>
      <c r="E9" s="14" t="n"/>
      <c r="F9" s="14" t="n"/>
      <c r="G9" s="14" t="n"/>
      <c r="H9" s="15" t="n"/>
    </row>
    <row r="12" ht="24" customHeight="1">
      <c r="A12" s="3" t="inlineStr">
        <is>
          <t>WORKBOOK TABS</t>
        </is>
      </c>
      <c r="B12" s="14" t="n"/>
      <c r="C12" s="14" t="n"/>
      <c r="D12" s="14" t="n"/>
      <c r="E12" s="14" t="n"/>
      <c r="F12" s="14" t="n"/>
      <c r="G12" s="14" t="n"/>
      <c r="H12" s="15" t="n"/>
    </row>
    <row r="13">
      <c r="A13" s="5" t="inlineStr">
        <is>
          <t>Tab</t>
        </is>
      </c>
      <c r="B13" s="5" t="inlineStr">
        <is>
          <t>Purpose</t>
        </is>
      </c>
      <c r="C13" s="5" t="inlineStr">
        <is>
          <t>Grading role</t>
        </is>
      </c>
    </row>
    <row r="14" ht="44" customHeight="1">
      <c r="A14" s="4" t="inlineStr">
        <is>
          <t>Live You Try It</t>
        </is>
      </c>
      <c r="B14" s="4" t="inlineStr">
        <is>
          <t>Short Excel pauses tied to worked examples in the slide deck; self-graded with hints and feedback.</t>
        </is>
      </c>
      <c r="C14" s="4" t="inlineStr">
        <is>
          <t>Practice only</t>
        </is>
      </c>
    </row>
    <row r="15" ht="44" customHeight="1">
      <c r="A15" s="4" t="inlineStr">
        <is>
          <t>Class Challenge</t>
        </is>
      </c>
      <c r="B15" s="4" t="inlineStr">
        <is>
          <t>Next-level scenario table with 15 final-answer questions.</t>
        </is>
      </c>
      <c r="C15" s="4" t="inlineStr">
        <is>
          <t>Only graded tab</t>
        </is>
      </c>
    </row>
    <row r="16" ht="44" customHeight="1">
      <c r="A16" s="4" t="inlineStr">
        <is>
          <t>FormulaReferenceCard</t>
        </is>
      </c>
      <c r="B16" s="4" t="inlineStr">
        <is>
          <t>Reference formulas and Excel syntax for stocks, bonds, ROI, and NAV.</t>
        </is>
      </c>
      <c r="C16" s="4" t="inlineStr">
        <is>
          <t>Reference only</t>
        </is>
      </c>
    </row>
    <row r="19" ht="24" customHeight="1">
      <c r="A19" s="3" t="inlineStr">
        <is>
          <t>I CAN STATEMENTS</t>
        </is>
      </c>
      <c r="B19" s="14" t="n"/>
      <c r="C19" s="14" t="n"/>
      <c r="D19" s="14" t="n"/>
      <c r="E19" s="14" t="n"/>
      <c r="F19" s="14" t="n"/>
      <c r="G19" s="14" t="n"/>
      <c r="H19" s="15" t="n"/>
    </row>
    <row r="20" ht="28" customHeight="1">
      <c r="A20" s="4" t="inlineStr">
        <is>
          <t>I can read a stock quote and calculate bid-ask spread, dividend yield, and P/E interpretation.</t>
        </is>
      </c>
      <c r="B20" s="14" t="n"/>
      <c r="C20" s="14" t="n"/>
      <c r="D20" s="14" t="n"/>
      <c r="E20" s="14" t="n"/>
      <c r="F20" s="14" t="n"/>
      <c r="G20" s="14" t="n"/>
      <c r="H20" s="15" t="n"/>
    </row>
    <row r="21" ht="28" customHeight="1">
      <c r="A21" s="4" t="inlineStr">
        <is>
          <t>I can allocate preferred and common dividends before making an investment recommendation.</t>
        </is>
      </c>
      <c r="B21" s="14" t="n"/>
      <c r="C21" s="14" t="n"/>
      <c r="D21" s="14" t="n"/>
      <c r="E21" s="14" t="n"/>
      <c r="F21" s="14" t="n"/>
      <c r="G21" s="14" t="n"/>
      <c r="H21" s="15" t="n"/>
    </row>
    <row r="22" ht="28" customHeight="1">
      <c r="A22" s="4" t="inlineStr">
        <is>
          <t>I can calculate ROI while accounting for buy commission, sell commission, and dividends.</t>
        </is>
      </c>
      <c r="B22" s="14" t="n"/>
      <c r="C22" s="14" t="n"/>
      <c r="D22" s="14" t="n"/>
      <c r="E22" s="14" t="n"/>
      <c r="F22" s="14" t="n"/>
      <c r="G22" s="14" t="n"/>
      <c r="H22" s="15" t="n"/>
    </row>
    <row r="23" ht="28" customHeight="1">
      <c r="A23" s="4" t="inlineStr">
        <is>
          <t>I can convert bond quotes into dollar prices and calculate current yield.</t>
        </is>
      </c>
      <c r="B23" s="14" t="n"/>
      <c r="C23" s="14" t="n"/>
      <c r="D23" s="14" t="n"/>
      <c r="E23" s="14" t="n"/>
      <c r="F23" s="14" t="n"/>
      <c r="G23" s="14" t="n"/>
      <c r="H23" s="15" t="n"/>
    </row>
    <row r="24" ht="28" customHeight="1">
      <c r="A24" s="4" t="inlineStr">
        <is>
          <t>I can calculate mutual fund NAV and use it to price a share purchase.</t>
        </is>
      </c>
      <c r="B24" s="14" t="n"/>
      <c r="C24" s="14" t="n"/>
      <c r="D24" s="14" t="n"/>
      <c r="E24" s="14" t="n"/>
      <c r="F24" s="14" t="n"/>
      <c r="G24" s="14" t="n"/>
      <c r="H24" s="15" t="n"/>
    </row>
  </sheetData>
  <mergeCells count="15">
    <mergeCell ref="A9:H9"/>
    <mergeCell ref="A4:H4"/>
    <mergeCell ref="A12:H12"/>
    <mergeCell ref="A1:H1"/>
    <mergeCell ref="A21:H21"/>
    <mergeCell ref="A7:H7"/>
    <mergeCell ref="A20:H20"/>
    <mergeCell ref="A24:H24"/>
    <mergeCell ref="A2:H2"/>
    <mergeCell ref="A19:H19"/>
    <mergeCell ref="A5:H5"/>
    <mergeCell ref="A23:H23"/>
    <mergeCell ref="A8:H8"/>
    <mergeCell ref="A6:H6"/>
    <mergeCell ref="A22:H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8" customWidth="1" min="3" max="3"/>
    <col width="34" customWidth="1" min="4" max="4"/>
    <col width="4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1" t="inlineStr">
        <is>
          <t>Live You Try It - Self-Graded Practice</t>
        </is>
      </c>
      <c r="B1" s="14" t="n"/>
      <c r="C1" s="14" t="n"/>
      <c r="D1" s="14" t="n"/>
      <c r="E1" s="14" t="n"/>
      <c r="F1" s="14" t="n"/>
      <c r="G1" s="14" t="n"/>
      <c r="H1" s="15" t="n"/>
    </row>
    <row r="2" ht="36" customHeight="1">
      <c r="A2" s="2" t="inlineStr">
        <is>
          <t>Enter slide givens in yellow input cells, then build formulas that reference those cells. This tab is not part of the private grading rubric.</t>
        </is>
      </c>
      <c r="B2" s="14" t="n"/>
      <c r="C2" s="14" t="n"/>
      <c r="D2" s="14" t="n"/>
      <c r="E2" s="14" t="n"/>
      <c r="F2" s="14" t="n"/>
      <c r="G2" s="14" t="n"/>
      <c r="H2" s="15" t="n"/>
    </row>
    <row r="3" ht="24" customHeight="1"/>
    <row r="4" ht="24" customHeight="1"/>
    <row r="5" ht="24" customHeight="1">
      <c r="A5" s="3" t="inlineStr">
        <is>
          <t>Pause 1 - Stock quote quick read</t>
        </is>
      </c>
      <c r="B5" s="14" t="n"/>
      <c r="C5" s="14" t="n"/>
      <c r="D5" s="14" t="n"/>
      <c r="E5" s="14" t="n"/>
      <c r="F5" s="14" t="n"/>
      <c r="G5" s="14" t="n"/>
      <c r="H5" s="15" t="n"/>
    </row>
    <row r="6" ht="24" customHeight="1">
      <c r="A6" s="5" t="inlineStr">
        <is>
          <t>Role</t>
        </is>
      </c>
      <c r="B6" s="5" t="inlineStr">
        <is>
          <t>Item</t>
        </is>
      </c>
      <c r="C6" s="5" t="inlineStr">
        <is>
          <t>Yellow cell</t>
        </is>
      </c>
      <c r="D6" s="5" t="inlineStr">
        <is>
          <t>Feedback</t>
        </is>
      </c>
      <c r="E6" s="5" t="inlineStr">
        <is>
          <t>Hint</t>
        </is>
      </c>
    </row>
    <row r="7" ht="24" customHeight="1">
      <c r="A7" s="4" t="inlineStr">
        <is>
          <t>Input</t>
        </is>
      </c>
      <c r="B7" s="4" t="inlineStr">
        <is>
          <t>Bid price</t>
        </is>
      </c>
      <c r="C7" s="6" t="n"/>
      <c r="D7" s="4" t="inlineStr">
        <is>
          <t>Enter the given from the slide.</t>
        </is>
      </c>
      <c r="E7" s="4" t="inlineStr">
        <is>
          <t>Input first; formulas should reference this cell later.</t>
        </is>
      </c>
    </row>
    <row r="8" ht="24" customHeight="1">
      <c r="A8" s="4" t="inlineStr">
        <is>
          <t>Input</t>
        </is>
      </c>
      <c r="B8" s="4" t="inlineStr">
        <is>
          <t>Ask price</t>
        </is>
      </c>
      <c r="C8" s="6" t="n"/>
      <c r="D8" s="4" t="inlineStr">
        <is>
          <t>Enter the given from the slide.</t>
        </is>
      </c>
      <c r="E8" s="4" t="inlineStr">
        <is>
          <t>Input first; formulas should reference this cell later.</t>
        </is>
      </c>
    </row>
    <row r="9" ht="24" customHeight="1">
      <c r="A9" s="4" t="inlineStr">
        <is>
          <t>Input</t>
        </is>
      </c>
      <c r="B9" s="4" t="inlineStr">
        <is>
          <t>Last price</t>
        </is>
      </c>
      <c r="C9" s="6" t="n"/>
      <c r="D9" s="4" t="inlineStr">
        <is>
          <t>Enter the given from the slide.</t>
        </is>
      </c>
      <c r="E9" s="4" t="inlineStr">
        <is>
          <t>Input first; formulas should reference this cell later.</t>
        </is>
      </c>
    </row>
    <row r="10" ht="24" customHeight="1">
      <c r="A10" s="4" t="inlineStr">
        <is>
          <t>Input</t>
        </is>
      </c>
      <c r="B10" s="4" t="inlineStr">
        <is>
          <t>52-week low</t>
        </is>
      </c>
      <c r="C10" s="6" t="n"/>
      <c r="D10" s="4" t="inlineStr">
        <is>
          <t>Enter the given from the slide.</t>
        </is>
      </c>
      <c r="E10" s="4" t="inlineStr">
        <is>
          <t>Input first; formulas should reference this cell later.</t>
        </is>
      </c>
    </row>
    <row r="11" ht="24" customHeight="1">
      <c r="A11" s="4" t="inlineStr">
        <is>
          <t>Input</t>
        </is>
      </c>
      <c r="B11" s="4" t="inlineStr">
        <is>
          <t>P/E ratio</t>
        </is>
      </c>
      <c r="C11" s="7" t="n"/>
      <c r="D11" s="4" t="inlineStr">
        <is>
          <t>Enter the given from the slide.</t>
        </is>
      </c>
      <c r="E11" s="4" t="inlineStr">
        <is>
          <t>Input first; formulas should reference this cell later.</t>
        </is>
      </c>
    </row>
    <row r="12" ht="24" customHeight="1"/>
    <row r="13" ht="24" customHeight="1">
      <c r="A13" s="4" t="inlineStr">
        <is>
          <t>Formula</t>
        </is>
      </c>
      <c r="B13" s="4" t="inlineStr">
        <is>
          <t>Bid-ask spread</t>
        </is>
      </c>
      <c r="C13" s="6" t="n"/>
      <c r="D13" s="8">
        <f>IF(C13="","",IF(COUNT($C$7:$C$8)&lt;2,"Enter givens first",IF(ABS(C13-($C$8-$C$7))&lt;=0.01,"Looks right","Check ask minus bid")))</f>
        <v/>
      </c>
      <c r="E13" s="4" t="inlineStr">
        <is>
          <t>Use Ask minus Bid.</t>
        </is>
      </c>
    </row>
    <row r="14" ht="24" customHeight="1">
      <c r="A14" s="4" t="inlineStr">
        <is>
          <t>Formula</t>
        </is>
      </c>
      <c r="B14" s="4" t="inlineStr">
        <is>
          <t>Dollars above 52-week low</t>
        </is>
      </c>
      <c r="C14" s="6" t="n"/>
      <c r="D14" s="8">
        <f>IF(C14="","",IF(COUNT($C$9:$C$10)&lt;2,"Enter givens first",IF(ABS(C14-($C$9-$C$10))&lt;=0.01,"Looks right","Check last price minus low")))</f>
        <v/>
      </c>
      <c r="E14" s="4" t="inlineStr">
        <is>
          <t>Use Last price minus 52-week low.</t>
        </is>
      </c>
    </row>
    <row r="15" ht="24" customHeight="1">
      <c r="A15" s="4" t="inlineStr">
        <is>
          <t>Formula</t>
        </is>
      </c>
      <c r="B15" s="4" t="inlineStr">
        <is>
          <t>P/E interpretation</t>
        </is>
      </c>
      <c r="C15" s="7" t="n"/>
      <c r="D15" s="8">
        <f>IF(C15="","",IF(C11="","Enter givens first",IF(ABS(C15-C11)&lt;=0.01,"Looks right","Check the P/E input")))</f>
        <v/>
      </c>
      <c r="E15" s="4" t="inlineStr">
        <is>
          <t>P/E reads as dollars paid per $1 of earnings.</t>
        </is>
      </c>
    </row>
    <row r="16" ht="24" customHeight="1"/>
    <row r="17" ht="24" customHeight="1"/>
    <row r="18" ht="24" customHeight="1">
      <c r="A18" s="3" t="inlineStr">
        <is>
          <t>Pause 2 - Dividend waterfall</t>
        </is>
      </c>
      <c r="B18" s="14" t="n"/>
      <c r="C18" s="14" t="n"/>
      <c r="D18" s="14" t="n"/>
      <c r="E18" s="14" t="n"/>
      <c r="F18" s="14" t="n"/>
      <c r="G18" s="14" t="n"/>
      <c r="H18" s="15" t="n"/>
    </row>
    <row r="19" ht="24" customHeight="1">
      <c r="A19" s="5" t="inlineStr">
        <is>
          <t>Role</t>
        </is>
      </c>
      <c r="B19" s="5" t="inlineStr">
        <is>
          <t>Item</t>
        </is>
      </c>
      <c r="C19" s="5" t="inlineStr">
        <is>
          <t>Yellow cell</t>
        </is>
      </c>
      <c r="D19" s="5" t="inlineStr">
        <is>
          <t>Feedback</t>
        </is>
      </c>
      <c r="E19" s="5" t="inlineStr">
        <is>
          <t>Hint</t>
        </is>
      </c>
    </row>
    <row r="20" ht="24" customHeight="1">
      <c r="A20" s="4" t="inlineStr">
        <is>
          <t>Input</t>
        </is>
      </c>
      <c r="B20" s="4" t="inlineStr">
        <is>
          <t>Total dividends declared</t>
        </is>
      </c>
      <c r="C20" s="9" t="n"/>
      <c r="D20" s="4" t="inlineStr">
        <is>
          <t>Enter the given from the slide.</t>
        </is>
      </c>
      <c r="E20" s="4" t="inlineStr">
        <is>
          <t>Input first; formulas should reference this cell later.</t>
        </is>
      </c>
    </row>
    <row r="21" ht="24" customHeight="1">
      <c r="A21" s="4" t="inlineStr">
        <is>
          <t>Input</t>
        </is>
      </c>
      <c r="B21" s="4" t="inlineStr">
        <is>
          <t>Preferred rate</t>
        </is>
      </c>
      <c r="C21" s="10" t="n"/>
      <c r="D21" s="4" t="inlineStr">
        <is>
          <t>Enter the given from the slide.</t>
        </is>
      </c>
      <c r="E21" s="4" t="inlineStr">
        <is>
          <t>Input first; formulas should reference this cell later.</t>
        </is>
      </c>
    </row>
    <row r="22" ht="24" customHeight="1">
      <c r="A22" s="4" t="inlineStr">
        <is>
          <t>Input</t>
        </is>
      </c>
      <c r="B22" s="4" t="inlineStr">
        <is>
          <t>Preferred par value</t>
        </is>
      </c>
      <c r="C22" s="9" t="n"/>
      <c r="D22" s="4" t="inlineStr">
        <is>
          <t>Enter the given from the slide.</t>
        </is>
      </c>
      <c r="E22" s="4" t="inlineStr">
        <is>
          <t>Input first; formulas should reference this cell later.</t>
        </is>
      </c>
    </row>
    <row r="23" ht="24" customHeight="1">
      <c r="A23" s="4" t="inlineStr">
        <is>
          <t>Input</t>
        </is>
      </c>
      <c r="B23" s="4" t="inlineStr">
        <is>
          <t>Preferred shares</t>
        </is>
      </c>
      <c r="C23" s="11" t="n"/>
      <c r="D23" s="4" t="inlineStr">
        <is>
          <t>Enter the given from the slide.</t>
        </is>
      </c>
      <c r="E23" s="4" t="inlineStr">
        <is>
          <t>Input first; formulas should reference this cell later.</t>
        </is>
      </c>
    </row>
    <row r="24" ht="24" customHeight="1">
      <c r="A24" s="4" t="inlineStr">
        <is>
          <t>Input</t>
        </is>
      </c>
      <c r="B24" s="4" t="inlineStr">
        <is>
          <t>Common shares</t>
        </is>
      </c>
      <c r="C24" s="11" t="n"/>
      <c r="D24" s="4" t="inlineStr">
        <is>
          <t>Enter the given from the slide.</t>
        </is>
      </c>
      <c r="E24" s="4" t="inlineStr">
        <is>
          <t>Input first; formulas should reference this cell later.</t>
        </is>
      </c>
    </row>
    <row r="25" ht="24" customHeight="1"/>
    <row r="26" ht="24" customHeight="1">
      <c r="A26" s="4" t="inlineStr">
        <is>
          <t>Formula</t>
        </is>
      </c>
      <c r="B26" s="4" t="inlineStr">
        <is>
          <t>Preferred dividend/share</t>
        </is>
      </c>
      <c r="C26" s="6" t="n"/>
      <c r="D26" s="8">
        <f>IF(C26="","",IF(COUNT($C$21:$C$22)&lt;2,"Enter givens first",IF(ABS(C26-($C$21*$C$22))&lt;=0.01,"Looks right","Check rate times par")))</f>
        <v/>
      </c>
      <c r="E26" s="4" t="inlineStr">
        <is>
          <t>Rate times par value.</t>
        </is>
      </c>
    </row>
    <row r="27" ht="24" customHeight="1">
      <c r="A27" s="4" t="inlineStr">
        <is>
          <t>Formula</t>
        </is>
      </c>
      <c r="B27" s="4" t="inlineStr">
        <is>
          <t>Total preferred dividend</t>
        </is>
      </c>
      <c r="C27" s="9" t="n"/>
      <c r="D27" s="8">
        <f>IF(C27="","",IF(COUNT($C$23,$C$26)&lt;2,"Enter givens first",IF(ABS(C27-($C$26*$C$23))&lt;=0.01,"Looks right","Check per-share dividend times preferred shares")))</f>
        <v/>
      </c>
      <c r="E27" s="4" t="inlineStr">
        <is>
          <t>Preferred dividend/share times preferred shares.</t>
        </is>
      </c>
    </row>
    <row r="28" ht="24" customHeight="1">
      <c r="A28" s="4" t="inlineStr">
        <is>
          <t>Formula</t>
        </is>
      </c>
      <c r="B28" s="4" t="inlineStr">
        <is>
          <t>Remainder for common</t>
        </is>
      </c>
      <c r="C28" s="9" t="n"/>
      <c r="D28" s="8">
        <f>IF(C28="","",IF(COUNT($C$20,$C$27)&lt;2,"Enter givens first",IF(ABS(C28-($C$20-$C$27))&lt;=0.01,"Looks right","Check total dividends minus preferred dividend")))</f>
        <v/>
      </c>
      <c r="E28" s="4" t="inlineStr">
        <is>
          <t>Common shareholders get what remains.</t>
        </is>
      </c>
    </row>
    <row r="29" ht="24" customHeight="1">
      <c r="A29" s="4" t="inlineStr">
        <is>
          <t>Formula</t>
        </is>
      </c>
      <c r="B29" s="4" t="inlineStr">
        <is>
          <t>Common dividend/share</t>
        </is>
      </c>
      <c r="C29" s="6" t="n"/>
      <c r="D29" s="8">
        <f>IF(C29="","",IF(COUNT($C$24,$C$28)&lt;2,"Enter givens first",IF(ABS(C29-($C$28/$C$24))&lt;=0.01,"Looks right","Check remainder divided by common shares")))</f>
        <v/>
      </c>
      <c r="E29" s="4" t="inlineStr">
        <is>
          <t>Remainder divided by common shares.</t>
        </is>
      </c>
    </row>
    <row r="30" ht="24" customHeight="1"/>
    <row r="31" ht="24" customHeight="1">
      <c r="A31" s="3" t="inlineStr">
        <is>
          <t>Pause 3 - ROI with commissions</t>
        </is>
      </c>
      <c r="B31" s="14" t="n"/>
      <c r="C31" s="14" t="n"/>
      <c r="D31" s="14" t="n"/>
      <c r="E31" s="14" t="n"/>
      <c r="F31" s="14" t="n"/>
      <c r="G31" s="14" t="n"/>
      <c r="H31" s="15" t="n"/>
    </row>
    <row r="32" ht="24" customHeight="1">
      <c r="A32" s="5" t="inlineStr">
        <is>
          <t>Role</t>
        </is>
      </c>
      <c r="B32" s="5" t="inlineStr">
        <is>
          <t>Item</t>
        </is>
      </c>
      <c r="C32" s="5" t="inlineStr">
        <is>
          <t>Yellow cell</t>
        </is>
      </c>
      <c r="D32" s="5" t="inlineStr">
        <is>
          <t>Feedback</t>
        </is>
      </c>
      <c r="E32" s="5" t="inlineStr">
        <is>
          <t>Hint</t>
        </is>
      </c>
    </row>
    <row r="33" ht="24" customHeight="1">
      <c r="A33" s="4" t="inlineStr">
        <is>
          <t>Input</t>
        </is>
      </c>
      <c r="B33" s="4" t="inlineStr">
        <is>
          <t>Shares purchased</t>
        </is>
      </c>
      <c r="C33" s="11" t="n"/>
      <c r="D33" s="4" t="inlineStr">
        <is>
          <t>Enter the given from the slide.</t>
        </is>
      </c>
      <c r="E33" s="4" t="inlineStr">
        <is>
          <t>Input first; formulas should reference this cell later.</t>
        </is>
      </c>
    </row>
    <row r="34" ht="24" customHeight="1">
      <c r="A34" s="4" t="inlineStr">
        <is>
          <t>Input</t>
        </is>
      </c>
      <c r="B34" s="4" t="inlineStr">
        <is>
          <t>Purchase price/share</t>
        </is>
      </c>
      <c r="C34" s="6" t="n"/>
      <c r="D34" s="4" t="inlineStr">
        <is>
          <t>Enter the given from the slide.</t>
        </is>
      </c>
      <c r="E34" s="4" t="inlineStr">
        <is>
          <t>Input first; formulas should reference this cell later.</t>
        </is>
      </c>
    </row>
    <row r="35" ht="24" customHeight="1">
      <c r="A35" s="4" t="inlineStr">
        <is>
          <t>Input</t>
        </is>
      </c>
      <c r="B35" s="4" t="inlineStr">
        <is>
          <t>Sale price/share</t>
        </is>
      </c>
      <c r="C35" s="6" t="n"/>
      <c r="D35" s="4" t="inlineStr">
        <is>
          <t>Enter the given from the slide.</t>
        </is>
      </c>
      <c r="E35" s="4" t="inlineStr">
        <is>
          <t>Input first; formulas should reference this cell later.</t>
        </is>
      </c>
    </row>
    <row r="36" ht="24" customHeight="1">
      <c r="A36" s="4" t="inlineStr">
        <is>
          <t>Input</t>
        </is>
      </c>
      <c r="B36" s="4" t="inlineStr">
        <is>
          <t>Commission rate</t>
        </is>
      </c>
      <c r="C36" s="10" t="n"/>
      <c r="D36" s="4" t="inlineStr">
        <is>
          <t>Enter the given from the slide.</t>
        </is>
      </c>
      <c r="E36" s="4" t="inlineStr">
        <is>
          <t>Input first; formulas should reference this cell later.</t>
        </is>
      </c>
    </row>
    <row r="37" ht="24" customHeight="1">
      <c r="A37" s="4" t="inlineStr">
        <is>
          <t>Input</t>
        </is>
      </c>
      <c r="B37" s="4" t="inlineStr">
        <is>
          <t>Annual dividend/share</t>
        </is>
      </c>
      <c r="C37" s="6" t="n"/>
      <c r="D37" s="4" t="inlineStr">
        <is>
          <t>Enter the given from the slide.</t>
        </is>
      </c>
      <c r="E37" s="4" t="inlineStr">
        <is>
          <t>Input first; formulas should reference this cell later.</t>
        </is>
      </c>
    </row>
    <row r="38" ht="24" customHeight="1"/>
    <row r="39" ht="24" customHeight="1">
      <c r="A39" s="4" t="inlineStr">
        <is>
          <t>Formula</t>
        </is>
      </c>
      <c r="B39" s="4" t="inlineStr">
        <is>
          <t>Buy cost before commission</t>
        </is>
      </c>
      <c r="C39" s="6" t="n"/>
      <c r="D39" s="8">
        <f>IF(C39="","",IF(COUNT($C$33:$C$34)&lt;2,"Enter givens first",IF(ABS(C39-($C$33*$C$34))&lt;=0.01,"Looks right","Check shares times purchase price")))</f>
        <v/>
      </c>
      <c r="E39" s="4" t="inlineStr">
        <is>
          <t>Shares times purchase price.</t>
        </is>
      </c>
    </row>
    <row r="40" ht="24" customHeight="1">
      <c r="A40" s="4" t="inlineStr">
        <is>
          <t>Formula</t>
        </is>
      </c>
      <c r="B40" s="4" t="inlineStr">
        <is>
          <t>Buy commission</t>
        </is>
      </c>
      <c r="C40" s="6" t="n"/>
      <c r="D40" s="8">
        <f>IF(C40="","",IF(COUNT($C$36,$C$39)&lt;2,"Enter givens first",IF(ABS(C40-($C$39*$C$36))&lt;=0.01,"Looks right","Check buy cost times commission")))</f>
        <v/>
      </c>
      <c r="E40" s="4" t="inlineStr">
        <is>
          <t>Commission is applied to the transaction value.</t>
        </is>
      </c>
    </row>
    <row r="41" ht="24" customHeight="1">
      <c r="A41" s="4" t="inlineStr">
        <is>
          <t>Formula</t>
        </is>
      </c>
      <c r="B41" s="4" t="inlineStr">
        <is>
          <t>Total buy cost</t>
        </is>
      </c>
      <c r="C41" s="6" t="n"/>
      <c r="D41" s="8">
        <f>IF(C41="","",IF(COUNT($C$39:$C$40)&lt;2,"Enter givens first",IF(ABS(C41-($C$39+$C$40))&lt;=0.01,"Looks right","Check buy cost plus commission")))</f>
        <v/>
      </c>
      <c r="E41" s="4" t="inlineStr">
        <is>
          <t>Include buy commission.</t>
        </is>
      </c>
    </row>
    <row r="42" ht="24" customHeight="1">
      <c r="A42" s="4" t="inlineStr">
        <is>
          <t>Formula</t>
        </is>
      </c>
      <c r="B42" s="4" t="inlineStr">
        <is>
          <t>Sale proceeds before commission</t>
        </is>
      </c>
      <c r="C42" s="6" t="n"/>
      <c r="D42" s="8">
        <f>IF(C42="","",IF(COUNT($C$33,$C$35)&lt;2,"Enter givens first",IF(ABS(C42-($C$33*$C$35))&lt;=0.01,"Looks right","Check shares times sale price")))</f>
        <v/>
      </c>
      <c r="E42" s="4" t="inlineStr">
        <is>
          <t>Shares times sale price.</t>
        </is>
      </c>
    </row>
    <row r="43" ht="24" customHeight="1">
      <c r="A43" s="4" t="inlineStr">
        <is>
          <t>Formula</t>
        </is>
      </c>
      <c r="B43" s="4" t="inlineStr">
        <is>
          <t>Sell commission</t>
        </is>
      </c>
      <c r="C43" s="6" t="n"/>
      <c r="D43" s="8">
        <f>IF(C43="","",IF(COUNT($C$36,$C$42)&lt;2,"Enter givens first",IF(ABS(C43-($C$42*$C$36))&lt;=0.01,"Looks right","Check sale proceeds times commission")))</f>
        <v/>
      </c>
      <c r="E43" s="4" t="inlineStr">
        <is>
          <t>Commission is applied again on sale.</t>
        </is>
      </c>
    </row>
    <row r="44" ht="24" customHeight="1">
      <c r="A44" s="4" t="inlineStr">
        <is>
          <t>Formula</t>
        </is>
      </c>
      <c r="B44" s="4" t="inlineStr">
        <is>
          <t>Net sale proceeds</t>
        </is>
      </c>
      <c r="C44" s="6" t="n"/>
      <c r="D44" s="8">
        <f>IF(C44="","",IF(COUNT($C$42:$C$43)&lt;2,"Enter givens first",IF(ABS(C44-($C$42-$C$43))&lt;=0.01,"Looks right","Check sale proceeds minus sell commission")))</f>
        <v/>
      </c>
      <c r="E44" s="4" t="inlineStr">
        <is>
          <t>Subtract sell commission.</t>
        </is>
      </c>
    </row>
    <row r="45" ht="24" customHeight="1">
      <c r="A45" s="4" t="inlineStr">
        <is>
          <t>Formula</t>
        </is>
      </c>
      <c r="B45" s="4" t="inlineStr">
        <is>
          <t>Total dividends</t>
        </is>
      </c>
      <c r="C45" s="6" t="n"/>
      <c r="D45" s="8">
        <f>IF(C45="","",IF(COUNT($C$33,$C$37)&lt;2,"Enter givens first",IF(ABS(C45-($C$33*$C$37))&lt;=0.01,"Looks right","Check shares times dividend/share")))</f>
        <v/>
      </c>
      <c r="E45" s="4" t="inlineStr">
        <is>
          <t>Shares times annual dividend/share.</t>
        </is>
      </c>
    </row>
    <row r="46" ht="24" customHeight="1">
      <c r="A46" s="4" t="inlineStr">
        <is>
          <t>Formula</t>
        </is>
      </c>
      <c r="B46" s="4" t="inlineStr">
        <is>
          <t>ROI</t>
        </is>
      </c>
      <c r="C46" s="12" t="n"/>
      <c r="D46" s="8">
        <f>IF(C46="","",IF(COUNT($C$41,$C$44:$C$45)&lt;3,"Enter givens first",IF(ABS(C46-ROUND(($C$44-$C$41+$C$45)/$C$41,4))&lt;=0.0001,"Looks right","Check ROI numerator and denominator")))</f>
        <v/>
      </c>
      <c r="E46" s="4" t="inlineStr">
        <is>
          <t>Net gain divided by total buy cost.</t>
        </is>
      </c>
    </row>
    <row r="47" ht="24" customHeight="1"/>
    <row r="48" ht="24" customHeight="1"/>
    <row r="49" ht="24" customHeight="1">
      <c r="A49" s="3" t="inlineStr">
        <is>
          <t>Pause 4 - Bond quote conversion</t>
        </is>
      </c>
      <c r="B49" s="14" t="n"/>
      <c r="C49" s="14" t="n"/>
      <c r="D49" s="14" t="n"/>
      <c r="E49" s="14" t="n"/>
      <c r="F49" s="14" t="n"/>
      <c r="G49" s="14" t="n"/>
      <c r="H49" s="15" t="n"/>
    </row>
    <row r="50" ht="24" customHeight="1">
      <c r="A50" s="5" t="inlineStr">
        <is>
          <t>Role</t>
        </is>
      </c>
      <c r="B50" s="5" t="inlineStr">
        <is>
          <t>Item</t>
        </is>
      </c>
      <c r="C50" s="5" t="inlineStr">
        <is>
          <t>Yellow cell</t>
        </is>
      </c>
      <c r="D50" s="5" t="inlineStr">
        <is>
          <t>Feedback</t>
        </is>
      </c>
      <c r="E50" s="5" t="inlineStr">
        <is>
          <t>Hint</t>
        </is>
      </c>
    </row>
    <row r="51" ht="24" customHeight="1">
      <c r="A51" s="4" t="inlineStr">
        <is>
          <t>Input</t>
        </is>
      </c>
      <c r="B51" s="4" t="inlineStr">
        <is>
          <t>Face value</t>
        </is>
      </c>
      <c r="C51" s="9" t="n"/>
      <c r="D51" s="4" t="inlineStr">
        <is>
          <t>Enter the given from the slide.</t>
        </is>
      </c>
      <c r="E51" s="4" t="inlineStr">
        <is>
          <t>Input first; formulas should reference this cell later.</t>
        </is>
      </c>
    </row>
    <row r="52" ht="24" customHeight="1">
      <c r="A52" s="4" t="inlineStr">
        <is>
          <t>Input</t>
        </is>
      </c>
      <c r="B52" s="4" t="inlineStr">
        <is>
          <t>Stated interest rate</t>
        </is>
      </c>
      <c r="C52" s="10" t="n"/>
      <c r="D52" s="4" t="inlineStr">
        <is>
          <t>Enter the given from the slide.</t>
        </is>
      </c>
      <c r="E52" s="4" t="inlineStr">
        <is>
          <t>Input first; formulas should reference this cell later.</t>
        </is>
      </c>
    </row>
    <row r="53" ht="24" customHeight="1">
      <c r="A53" s="4" t="inlineStr">
        <is>
          <t>Input</t>
        </is>
      </c>
      <c r="B53" s="4" t="inlineStr">
        <is>
          <t>Quoted price</t>
        </is>
      </c>
      <c r="C53" s="13" t="n"/>
      <c r="D53" s="4" t="inlineStr">
        <is>
          <t>Enter the given from the slide.</t>
        </is>
      </c>
      <c r="E53" s="4" t="inlineStr">
        <is>
          <t>Input first; formulas should reference this cell later.</t>
        </is>
      </c>
    </row>
    <row r="54" ht="24" customHeight="1">
      <c r="A54" s="4" t="inlineStr">
        <is>
          <t>Input</t>
        </is>
      </c>
      <c r="B54" s="4" t="inlineStr">
        <is>
          <t>Number of bonds</t>
        </is>
      </c>
      <c r="C54" s="11" t="n"/>
      <c r="D54" s="4" t="inlineStr">
        <is>
          <t>Enter the given from the slide.</t>
        </is>
      </c>
      <c r="E54" s="4" t="inlineStr">
        <is>
          <t>Input first; formulas should reference this cell later.</t>
        </is>
      </c>
    </row>
    <row r="55" ht="24" customHeight="1"/>
    <row r="56" ht="24" customHeight="1">
      <c r="A56" s="4" t="inlineStr">
        <is>
          <t>Formula</t>
        </is>
      </c>
      <c r="B56" s="4" t="inlineStr">
        <is>
          <t>Dollar price per bond</t>
        </is>
      </c>
      <c r="C56" s="6" t="n"/>
      <c r="D56" s="8">
        <f>IF(C56="","",IF(COUNT($C$51,$C$53)&lt;2,"Enter givens first",IF(ABS(C56-($C$53/100*$C$51))&lt;=0.01,"Looks right","Check quote divided by 100 times face value")))</f>
        <v/>
      </c>
      <c r="E56" s="4" t="inlineStr">
        <is>
          <t>A quote of 99.59 means 99.59%.</t>
        </is>
      </c>
    </row>
    <row r="57" ht="24" customHeight="1">
      <c r="A57" s="4" t="inlineStr">
        <is>
          <t>Formula</t>
        </is>
      </c>
      <c r="B57" s="4" t="inlineStr">
        <is>
          <t>Total cost</t>
        </is>
      </c>
      <c r="C57" s="6" t="n"/>
      <c r="D57" s="8">
        <f>IF(C57="","",IF(COUNT($C$54,$C$56)&lt;2,"Enter givens first",IF(ABS(C57-($C$56*$C$54))&lt;=0.01,"Looks right","Check price per bond times number of bonds")))</f>
        <v/>
      </c>
      <c r="E57" s="4" t="inlineStr">
        <is>
          <t>Price per bond times quantity.</t>
        </is>
      </c>
    </row>
    <row r="58" ht="24" customHeight="1">
      <c r="A58" s="4" t="inlineStr">
        <is>
          <t>Formula</t>
        </is>
      </c>
      <c r="B58" s="4" t="inlineStr">
        <is>
          <t>Annual interest per bond</t>
        </is>
      </c>
      <c r="C58" s="6" t="n"/>
      <c r="D58" s="8">
        <f>IF(C58="","",IF(COUNT($C$51:$C$52)&lt;2,"Enter givens first",IF(ABS(C58-($C$52*$C$51))&lt;=0.01,"Looks right","Check rate times face value")))</f>
        <v/>
      </c>
      <c r="E58" s="4" t="inlineStr">
        <is>
          <t>Interest is based on par value.</t>
        </is>
      </c>
    </row>
    <row r="59" ht="24" customHeight="1">
      <c r="A59" s="4" t="inlineStr">
        <is>
          <t>Formula</t>
        </is>
      </c>
      <c r="B59" s="4" t="inlineStr">
        <is>
          <t>Total annual interest</t>
        </is>
      </c>
      <c r="C59" s="6" t="n"/>
      <c r="D59" s="8">
        <f>IF(C59="","",IF(COUNT($C$54,$C$58)&lt;2,"Enter givens first",IF(ABS(C59-($C$58*$C$54))&lt;=0.01,"Looks right","Check interest per bond times number of bonds")))</f>
        <v/>
      </c>
      <c r="E59" s="4" t="inlineStr">
        <is>
          <t>Multiply annual interest per bond by quantity.</t>
        </is>
      </c>
    </row>
    <row r="60" ht="24" customHeight="1">
      <c r="A60" s="4" t="inlineStr">
        <is>
          <t>Formula</t>
        </is>
      </c>
      <c r="B60" s="4" t="inlineStr">
        <is>
          <t>Current yield</t>
        </is>
      </c>
      <c r="C60" s="12" t="n"/>
      <c r="D60" s="8">
        <f>IF(C60="","",IF(COUNT($C$56,$C$58)&lt;2,"Enter givens first",IF(ABS(C60-ROUND($C$58/$C$56,4))&lt;=0.0001,"Looks right","Check annual interest divided by dollar price")))</f>
        <v/>
      </c>
      <c r="E60" s="4" t="inlineStr">
        <is>
          <t>Use annual interest over the dollar price paid.</t>
        </is>
      </c>
    </row>
    <row r="61" ht="24" customHeight="1"/>
    <row r="62" ht="24" customHeight="1">
      <c r="A62" s="3" t="inlineStr">
        <is>
          <t>Pause 5 - Mutual fund NAV</t>
        </is>
      </c>
      <c r="B62" s="14" t="n"/>
      <c r="C62" s="14" t="n"/>
      <c r="D62" s="14" t="n"/>
      <c r="E62" s="14" t="n"/>
      <c r="F62" s="14" t="n"/>
      <c r="G62" s="14" t="n"/>
      <c r="H62" s="15" t="n"/>
    </row>
    <row r="63" ht="24" customHeight="1">
      <c r="A63" s="5" t="inlineStr">
        <is>
          <t>Role</t>
        </is>
      </c>
      <c r="B63" s="5" t="inlineStr">
        <is>
          <t>Item</t>
        </is>
      </c>
      <c r="C63" s="5" t="inlineStr">
        <is>
          <t>Yellow cell</t>
        </is>
      </c>
      <c r="D63" s="5" t="inlineStr">
        <is>
          <t>Feedback</t>
        </is>
      </c>
      <c r="E63" s="5" t="inlineStr">
        <is>
          <t>Hint</t>
        </is>
      </c>
    </row>
    <row r="64" ht="24" customHeight="1">
      <c r="A64" s="4" t="inlineStr">
        <is>
          <t>Input</t>
        </is>
      </c>
      <c r="B64" s="4" t="inlineStr">
        <is>
          <t>Market value of holdings</t>
        </is>
      </c>
      <c r="C64" s="9" t="n"/>
      <c r="D64" s="4" t="inlineStr">
        <is>
          <t>Enter the given from the slide.</t>
        </is>
      </c>
      <c r="E64" s="4" t="inlineStr">
        <is>
          <t>Input first; formulas should reference this cell later.</t>
        </is>
      </c>
    </row>
    <row r="65" ht="24" customHeight="1">
      <c r="A65" s="4" t="inlineStr">
        <is>
          <t>Input</t>
        </is>
      </c>
      <c r="B65" s="4" t="inlineStr">
        <is>
          <t>Current liabilities</t>
        </is>
      </c>
      <c r="C65" s="9" t="n"/>
      <c r="D65" s="4" t="inlineStr">
        <is>
          <t>Enter the given from the slide.</t>
        </is>
      </c>
      <c r="E65" s="4" t="inlineStr">
        <is>
          <t>Input first; formulas should reference this cell later.</t>
        </is>
      </c>
    </row>
    <row r="66" ht="24" customHeight="1">
      <c r="A66" s="4" t="inlineStr">
        <is>
          <t>Input</t>
        </is>
      </c>
      <c r="B66" s="4" t="inlineStr">
        <is>
          <t>Shares outstanding</t>
        </is>
      </c>
      <c r="C66" s="11" t="n"/>
      <c r="D66" s="4" t="inlineStr">
        <is>
          <t>Enter the given from the slide.</t>
        </is>
      </c>
      <c r="E66" s="4" t="inlineStr">
        <is>
          <t>Input first; formulas should reference this cell later.</t>
        </is>
      </c>
    </row>
    <row r="67" ht="24" customHeight="1">
      <c r="A67" s="4" t="inlineStr">
        <is>
          <t>Input</t>
        </is>
      </c>
      <c r="B67" s="4" t="inlineStr">
        <is>
          <t>Shares to buy</t>
        </is>
      </c>
      <c r="C67" s="11" t="n"/>
      <c r="D67" s="4" t="inlineStr">
        <is>
          <t>Enter the given from the slide.</t>
        </is>
      </c>
      <c r="E67" s="4" t="inlineStr">
        <is>
          <t>Input first; formulas should reference this cell later.</t>
        </is>
      </c>
    </row>
    <row r="68" ht="24" customHeight="1"/>
    <row r="69" ht="24" customHeight="1">
      <c r="A69" s="4" t="inlineStr">
        <is>
          <t>Formula</t>
        </is>
      </c>
      <c r="B69" s="4" t="inlineStr">
        <is>
          <t>Net assets</t>
        </is>
      </c>
      <c r="C69" s="9" t="n"/>
      <c r="D69" s="8">
        <f>IF(C69="","",IF(COUNT($C$64:$C$65)&lt;2,"Enter givens first",IF(ABS(C69-($C$64-$C$65))&lt;=0.01,"Looks right","Check holdings minus liabilities")))</f>
        <v/>
      </c>
      <c r="E69" s="4" t="inlineStr">
        <is>
          <t>Assets minus liabilities.</t>
        </is>
      </c>
    </row>
    <row r="70" ht="24" customHeight="1">
      <c r="A70" s="4" t="inlineStr">
        <is>
          <t>Formula</t>
        </is>
      </c>
      <c r="B70" s="4" t="inlineStr">
        <is>
          <t>NAV per share</t>
        </is>
      </c>
      <c r="C70" s="6" t="n"/>
      <c r="D70" s="8">
        <f>IF(C70="","",IF(COUNT($C$66,$C$69)&lt;2,"Enter givens first",IF(ABS(C70-ROUND($C$69/$C$66,2))&lt;=0.01,"Looks right","Check net assets divided by shares")))</f>
        <v/>
      </c>
      <c r="E70" s="4" t="inlineStr">
        <is>
          <t>Round NAV to cents.</t>
        </is>
      </c>
    </row>
    <row r="71" ht="24" customHeight="1">
      <c r="A71" s="4" t="inlineStr">
        <is>
          <t>Formula</t>
        </is>
      </c>
      <c r="B71" s="4" t="inlineStr">
        <is>
          <t>Cost to buy shares</t>
        </is>
      </c>
      <c r="C71" s="6" t="n"/>
      <c r="D71" s="8">
        <f>IF(C71="","",IF(COUNT($C$67,$C$70)&lt;2,"Enter givens first",IF(ABS(C71-($C$70*$C$67))&lt;=0.01,"Looks right","Check NAV times shares to buy")))</f>
        <v/>
      </c>
      <c r="E71" s="4" t="inlineStr">
        <is>
          <t>NAV per share times number of shares.</t>
        </is>
      </c>
    </row>
  </sheetData>
  <mergeCells count="7">
    <mergeCell ref="A18:H18"/>
    <mergeCell ref="A1:H1"/>
    <mergeCell ref="A62:H62"/>
    <mergeCell ref="A2:H2"/>
    <mergeCell ref="A49:H49"/>
    <mergeCell ref="A5:H5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58" customWidth="1" min="3" max="3"/>
    <col width="18" customWidth="1" min="4" max="4"/>
    <col width="16" customWidth="1" min="5" max="5"/>
    <col width="18" customWidth="1" min="6" max="6"/>
    <col width="16" customWidth="1" min="7" max="7"/>
    <col width="18" customWidth="1" min="8" max="8"/>
    <col width="16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</cols>
  <sheetData>
    <row r="1" ht="30" customHeight="1">
      <c r="A1" s="1" t="inlineStr">
        <is>
          <t>Class Challenge - Investment Math Desk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5" t="n"/>
    </row>
    <row r="2" ht="36" customHeight="1">
      <c r="A2" s="2" t="inlineStr">
        <is>
          <t>Read each scenario, extract the needed inputs, and calculate the final numeric answer. Yellow input and final answer cells are blank in the public starter.</t>
        </is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5" t="n"/>
    </row>
    <row r="4">
      <c r="A4" s="5" t="inlineStr">
        <is>
          <t>Q</t>
        </is>
      </c>
      <c r="B4" s="5" t="inlineStr">
        <is>
          <t>Skill</t>
        </is>
      </c>
      <c r="C4" s="5" t="inlineStr">
        <is>
          <t>Scenario</t>
        </is>
      </c>
      <c r="D4" s="5" t="inlineStr">
        <is>
          <t>Input 1 label</t>
        </is>
      </c>
      <c r="E4" s="5" t="inlineStr">
        <is>
          <t>Input 1</t>
        </is>
      </c>
      <c r="F4" s="5" t="inlineStr">
        <is>
          <t>Input 2 label</t>
        </is>
      </c>
      <c r="G4" s="5" t="inlineStr">
        <is>
          <t>Input 2</t>
        </is>
      </c>
      <c r="H4" s="5" t="inlineStr">
        <is>
          <t>Input 3 label</t>
        </is>
      </c>
      <c r="I4" s="5" t="inlineStr">
        <is>
          <t>Input 3</t>
        </is>
      </c>
      <c r="J4" s="5" t="inlineStr">
        <is>
          <t>Input 4 label</t>
        </is>
      </c>
      <c r="K4" s="5" t="inlineStr">
        <is>
          <t>Input 4</t>
        </is>
      </c>
      <c r="L4" s="5" t="inlineStr">
        <is>
          <t>Input 5 label</t>
        </is>
      </c>
      <c r="M4" s="5" t="inlineStr">
        <is>
          <t>Input 5</t>
        </is>
      </c>
      <c r="N4" s="5" t="inlineStr">
        <is>
          <t>Final Answer</t>
        </is>
      </c>
    </row>
    <row r="5" ht="58" customHeight="1">
      <c r="A5" s="4" t="n">
        <v>1</v>
      </c>
      <c r="B5" s="4" t="inlineStr">
        <is>
          <t>Bid-ask spread</t>
        </is>
      </c>
      <c r="C5" s="4" t="inlineStr">
        <is>
          <t>Meridian reviews a stock quote showing a current price of $52.40, bid of $52.33, and ask of $52.47. Calculate the bid-ask spread.</t>
        </is>
      </c>
      <c r="D5" s="4" t="inlineStr">
        <is>
          <t>Bid</t>
        </is>
      </c>
      <c r="E5" s="6" t="n"/>
      <c r="F5" s="4" t="inlineStr">
        <is>
          <t>Ask</t>
        </is>
      </c>
      <c r="G5" s="6" t="n"/>
      <c r="N5" s="6" t="n"/>
    </row>
    <row r="6" ht="58" customHeight="1">
      <c r="A6" s="4" t="n">
        <v>2</v>
      </c>
      <c r="B6" s="4" t="inlineStr">
        <is>
          <t>Dividend yield</t>
        </is>
      </c>
      <c r="C6" s="4" t="inlineStr">
        <is>
          <t>MAGH trades at $39.62 and pays an annual dividend of $1.21 per share. Calculate the dividend yield.</t>
        </is>
      </c>
      <c r="D6" s="4" t="inlineStr">
        <is>
          <t>Stock price</t>
        </is>
      </c>
      <c r="E6" s="6" t="n"/>
      <c r="F6" s="4" t="inlineStr">
        <is>
          <t>Annual dividend</t>
        </is>
      </c>
      <c r="G6" s="6" t="n"/>
      <c r="N6" s="12" t="n"/>
    </row>
    <row r="7" ht="58" customHeight="1">
      <c r="A7" s="4" t="n">
        <v>3</v>
      </c>
      <c r="B7" s="4" t="inlineStr">
        <is>
          <t>Common dividend per share</t>
        </is>
      </c>
      <c r="C7" s="4" t="inlineStr">
        <is>
          <t>A company declares $10,000 in dividends. Preferred stock is 8% with $50 par value and 1,000 preferred shares. There are 4,000 common shares. Calculate the dividend per common share.</t>
        </is>
      </c>
      <c r="D7" s="4" t="inlineStr">
        <is>
          <t>Total dividends</t>
        </is>
      </c>
      <c r="E7" s="9" t="n"/>
      <c r="F7" s="4" t="inlineStr">
        <is>
          <t>Preferred rate</t>
        </is>
      </c>
      <c r="G7" s="10" t="n"/>
      <c r="H7" s="4" t="inlineStr">
        <is>
          <t>Par value</t>
        </is>
      </c>
      <c r="I7" s="9" t="n"/>
      <c r="J7" s="4" t="inlineStr">
        <is>
          <t>Preferred shares</t>
        </is>
      </c>
      <c r="K7" s="11" t="n"/>
      <c r="L7" s="4" t="inlineStr">
        <is>
          <t>Common shares</t>
        </is>
      </c>
      <c r="M7" s="11" t="n"/>
      <c r="N7" s="6" t="n"/>
    </row>
    <row r="8" ht="58" customHeight="1">
      <c r="A8" s="4" t="n">
        <v>4</v>
      </c>
      <c r="B8" s="4" t="inlineStr">
        <is>
          <t>Total preferred dividend</t>
        </is>
      </c>
      <c r="C8" s="4" t="inlineStr">
        <is>
          <t>Preferred shareholders receive 8% on $50 par value, with 1,000 preferred shares outstanding. Calculate the total preferred dividend.</t>
        </is>
      </c>
      <c r="D8" s="4" t="inlineStr">
        <is>
          <t>Preferred rate</t>
        </is>
      </c>
      <c r="E8" s="10" t="n"/>
      <c r="F8" s="4" t="inlineStr">
        <is>
          <t>Par value</t>
        </is>
      </c>
      <c r="G8" s="9" t="n"/>
      <c r="H8" s="4" t="inlineStr">
        <is>
          <t>Preferred shares</t>
        </is>
      </c>
      <c r="I8" s="11" t="n"/>
      <c r="N8" s="9" t="n"/>
    </row>
    <row r="9" ht="58" customHeight="1">
      <c r="A9" s="4" t="n">
        <v>5</v>
      </c>
      <c r="B9" s="4" t="inlineStr">
        <is>
          <t>Total buy cost</t>
        </is>
      </c>
      <c r="C9" s="4" t="inlineStr">
        <is>
          <t>A Meridian analyst buys 200 shares at $39.09 per share and pays a 1% buy commission. Calculate total buy cost including commission.</t>
        </is>
      </c>
      <c r="D9" s="4" t="inlineStr">
        <is>
          <t>Shares</t>
        </is>
      </c>
      <c r="E9" s="11" t="n"/>
      <c r="F9" s="4" t="inlineStr">
        <is>
          <t>Buy price</t>
        </is>
      </c>
      <c r="G9" s="6" t="n"/>
      <c r="H9" s="4" t="inlineStr">
        <is>
          <t>Commission rate</t>
        </is>
      </c>
      <c r="I9" s="10" t="n"/>
      <c r="N9" s="6" t="n"/>
    </row>
    <row r="10" ht="58" customHeight="1">
      <c r="A10" s="4" t="n">
        <v>6</v>
      </c>
      <c r="B10" s="4" t="inlineStr">
        <is>
          <t>Net sale proceeds</t>
        </is>
      </c>
      <c r="C10" s="4" t="inlineStr">
        <is>
          <t>The analyst sells 200 shares at $41.10 per share and pays a 1% sell commission. Calculate net sale proceeds after commission.</t>
        </is>
      </c>
      <c r="D10" s="4" t="inlineStr">
        <is>
          <t>Shares</t>
        </is>
      </c>
      <c r="E10" s="11" t="n"/>
      <c r="F10" s="4" t="inlineStr">
        <is>
          <t>Sale price</t>
        </is>
      </c>
      <c r="G10" s="6" t="n"/>
      <c r="H10" s="4" t="inlineStr">
        <is>
          <t>Commission rate</t>
        </is>
      </c>
      <c r="I10" s="10" t="n"/>
      <c r="N10" s="6" t="n"/>
    </row>
    <row r="11" ht="58" customHeight="1">
      <c r="A11" s="4" t="n">
        <v>7</v>
      </c>
      <c r="B11" s="4" t="inlineStr">
        <is>
          <t>ROI with commissions and dividends</t>
        </is>
      </c>
      <c r="C11" s="4" t="inlineStr">
        <is>
          <t>An analyst bought 200 shares at $39.09, sold them at $41.10 one year later, paid a 1% commission on both transactions, and received $1.21 per share in annual dividends. Calculate ROI.</t>
        </is>
      </c>
      <c r="D11" s="4" t="inlineStr">
        <is>
          <t>Shares</t>
        </is>
      </c>
      <c r="E11" s="11" t="n"/>
      <c r="F11" s="4" t="inlineStr">
        <is>
          <t>Buy price</t>
        </is>
      </c>
      <c r="G11" s="6" t="n"/>
      <c r="H11" s="4" t="inlineStr">
        <is>
          <t>Sale price</t>
        </is>
      </c>
      <c r="I11" s="6" t="n"/>
      <c r="J11" s="4" t="inlineStr">
        <is>
          <t>Commission rate</t>
        </is>
      </c>
      <c r="K11" s="10" t="n"/>
      <c r="L11" s="4" t="inlineStr">
        <is>
          <t>Dividend/share</t>
        </is>
      </c>
      <c r="M11" s="6" t="n"/>
      <c r="N11" s="12" t="n"/>
    </row>
    <row r="12" ht="58" customHeight="1">
      <c r="A12" s="4" t="n">
        <v>8</v>
      </c>
      <c r="B12" s="4" t="inlineStr">
        <is>
          <t>Bond dollar price</t>
        </is>
      </c>
      <c r="C12" s="4" t="inlineStr">
        <is>
          <t>A bond is quoted at 103.75 and has a $1,000 face value. Calculate the dollar price per bond.</t>
        </is>
      </c>
      <c r="D12" s="4" t="inlineStr">
        <is>
          <t>Quoted price</t>
        </is>
      </c>
      <c r="E12" s="13" t="n"/>
      <c r="F12" s="4" t="inlineStr">
        <is>
          <t>Face value</t>
        </is>
      </c>
      <c r="G12" s="9" t="n"/>
      <c r="N12" s="6" t="n"/>
    </row>
    <row r="13" ht="58" customHeight="1">
      <c r="A13" s="4" t="n">
        <v>9</v>
      </c>
      <c r="B13" s="4" t="inlineStr">
        <is>
          <t>Premium amount</t>
        </is>
      </c>
      <c r="C13" s="4" t="inlineStr">
        <is>
          <t>Bond A is quoted at 105.25 and has a $1,000 face value. Calculate the dollar amount above par.</t>
        </is>
      </c>
      <c r="D13" s="4" t="inlineStr">
        <is>
          <t>Quoted price</t>
        </is>
      </c>
      <c r="E13" s="13" t="n"/>
      <c r="F13" s="4" t="inlineStr">
        <is>
          <t>Face value</t>
        </is>
      </c>
      <c r="G13" s="9" t="n"/>
      <c r="N13" s="6" t="n"/>
    </row>
    <row r="14" ht="58" customHeight="1">
      <c r="A14" s="4" t="n">
        <v>10</v>
      </c>
      <c r="B14" s="4" t="inlineStr">
        <is>
          <t>Current yield</t>
        </is>
      </c>
      <c r="C14" s="4" t="inlineStr">
        <is>
          <t>A 5% bond is quoted at 97.50 and has a $1,000 face value. Calculate the current yield.</t>
        </is>
      </c>
      <c r="D14" s="4" t="inlineStr">
        <is>
          <t>Stated rate</t>
        </is>
      </c>
      <c r="E14" s="10" t="n"/>
      <c r="F14" s="4" t="inlineStr">
        <is>
          <t>Quoted price</t>
        </is>
      </c>
      <c r="G14" s="13" t="n"/>
      <c r="H14" s="4" t="inlineStr">
        <is>
          <t>Face value</t>
        </is>
      </c>
      <c r="I14" s="9" t="n"/>
      <c r="N14" s="12" t="n"/>
    </row>
    <row r="15" ht="58" customHeight="1">
      <c r="A15" s="4" t="n">
        <v>11</v>
      </c>
      <c r="B15" s="4" t="inlineStr">
        <is>
          <t>Total purchase cost</t>
        </is>
      </c>
      <c r="C15" s="4" t="inlineStr">
        <is>
          <t>Meridian purchases 5 bonds at a quoted price of 99.59. Each bond has a $1,000 face value. Calculate total purchase cost.</t>
        </is>
      </c>
      <c r="D15" s="4" t="inlineStr">
        <is>
          <t>Quoted price</t>
        </is>
      </c>
      <c r="E15" s="13" t="n"/>
      <c r="F15" s="4" t="inlineStr">
        <is>
          <t>Face value</t>
        </is>
      </c>
      <c r="G15" s="9" t="n"/>
      <c r="H15" s="4" t="inlineStr">
        <is>
          <t>Number of bonds</t>
        </is>
      </c>
      <c r="I15" s="11" t="n"/>
      <c r="N15" s="6" t="n"/>
    </row>
    <row r="16" ht="58" customHeight="1">
      <c r="A16" s="4" t="n">
        <v>12</v>
      </c>
      <c r="B16" s="4" t="inlineStr">
        <is>
          <t>Total annual interest</t>
        </is>
      </c>
      <c r="C16" s="4" t="inlineStr">
        <is>
          <t>Meridian holds 5 bonds with a 4% stated interest rate and $1,000 par value. Calculate total annual interest received.</t>
        </is>
      </c>
      <c r="D16" s="4" t="inlineStr">
        <is>
          <t>Stated rate</t>
        </is>
      </c>
      <c r="E16" s="10" t="n"/>
      <c r="F16" s="4" t="inlineStr">
        <is>
          <t>Face value</t>
        </is>
      </c>
      <c r="G16" s="9" t="n"/>
      <c r="H16" s="4" t="inlineStr">
        <is>
          <t>Number of bonds</t>
        </is>
      </c>
      <c r="I16" s="11" t="n"/>
      <c r="N16" s="6" t="n"/>
    </row>
    <row r="17" ht="58" customHeight="1">
      <c r="A17" s="4" t="n">
        <v>13</v>
      </c>
      <c r="B17" s="4" t="inlineStr">
        <is>
          <t>Mutual fund NAV</t>
        </is>
      </c>
      <c r="C17" s="4" t="inlineStr">
        <is>
          <t>Meridian's Balanced Fund has $8,400,000 in holdings, $950,000 in liabilities, and 1,200,000 shares outstanding. Calculate NAV per share.</t>
        </is>
      </c>
      <c r="D17" s="4" t="inlineStr">
        <is>
          <t>Holdings</t>
        </is>
      </c>
      <c r="E17" s="9" t="n"/>
      <c r="F17" s="4" t="inlineStr">
        <is>
          <t>Liabilities</t>
        </is>
      </c>
      <c r="G17" s="9" t="n"/>
      <c r="H17" s="4" t="inlineStr">
        <is>
          <t>Shares</t>
        </is>
      </c>
      <c r="I17" s="11" t="n"/>
      <c r="N17" s="6" t="n"/>
    </row>
    <row r="18" ht="58" customHeight="1">
      <c r="A18" s="4" t="n">
        <v>14</v>
      </c>
      <c r="B18" s="4" t="inlineStr">
        <is>
          <t>Fund purchase cost</t>
        </is>
      </c>
      <c r="C18" s="4" t="inlineStr">
        <is>
          <t>An investor wants to buy 100 shares of Meridian's Balanced Fund. The fund has $8,400,000 in holdings, $950,000 in liabilities, and 1,200,000 shares outstanding. Use rounded NAV per share to calculate total purchase cost.</t>
        </is>
      </c>
      <c r="D18" s="4" t="inlineStr">
        <is>
          <t>Holdings</t>
        </is>
      </c>
      <c r="E18" s="9" t="n"/>
      <c r="F18" s="4" t="inlineStr">
        <is>
          <t>Liabilities</t>
        </is>
      </c>
      <c r="G18" s="9" t="n"/>
      <c r="H18" s="4" t="inlineStr">
        <is>
          <t>Shares</t>
        </is>
      </c>
      <c r="I18" s="11" t="n"/>
      <c r="J18" s="4" t="inlineStr">
        <is>
          <t>Purchase shares</t>
        </is>
      </c>
      <c r="K18" s="11" t="n"/>
      <c r="N18" s="6" t="n"/>
    </row>
    <row r="19" ht="58" customHeight="1">
      <c r="A19" s="4" t="n">
        <v>15</v>
      </c>
      <c r="B19" s="4" t="inlineStr">
        <is>
          <t>Growth &amp; Income Fund purchase cost</t>
        </is>
      </c>
      <c r="C19" s="4" t="inlineStr">
        <is>
          <t>Meridian Growth &amp; Income Fund has $5,550,000 in holdings, $770,000 in liabilities, and 600,000 shares outstanding. A client wants to buy 80 shares. Use rounded NAV per share to calculate purchase cost.</t>
        </is>
      </c>
      <c r="D19" s="4" t="inlineStr">
        <is>
          <t>Holdings</t>
        </is>
      </c>
      <c r="E19" s="9" t="n"/>
      <c r="F19" s="4" t="inlineStr">
        <is>
          <t>Liabilities</t>
        </is>
      </c>
      <c r="G19" s="9" t="n"/>
      <c r="H19" s="4" t="inlineStr">
        <is>
          <t>Shares</t>
        </is>
      </c>
      <c r="I19" s="11" t="n"/>
      <c r="J19" s="4" t="inlineStr">
        <is>
          <t>Purchase shares</t>
        </is>
      </c>
      <c r="K19" s="11" t="n"/>
      <c r="N19" s="6" t="n"/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4" customWidth="1" min="2" max="2"/>
    <col width="44" customWidth="1" min="3" max="3"/>
    <col width="48" customWidth="1" min="4" max="4"/>
    <col width="18" customWidth="1" min="5" max="5"/>
  </cols>
  <sheetData>
    <row r="1" ht="30" customHeight="1">
      <c r="A1" s="1" t="inlineStr">
        <is>
          <t>Formula Reference Card - BUS123 MATH-M10-L01</t>
        </is>
      </c>
      <c r="B1" s="14" t="n"/>
      <c r="C1" s="14" t="n"/>
      <c r="D1" s="14" t="n"/>
      <c r="E1" s="15" t="n"/>
    </row>
    <row r="2" ht="36" customHeight="1">
      <c r="A2" s="2" t="inlineStr">
        <is>
          <t>Use this as a syntax helper after you identify the business question and the required inputs.</t>
        </is>
      </c>
      <c r="B2" s="14" t="n"/>
      <c r="C2" s="14" t="n"/>
      <c r="D2" s="14" t="n"/>
      <c r="E2" s="15" t="n"/>
    </row>
    <row r="4">
      <c r="A4" s="5" t="inlineStr">
        <is>
          <t>Concept</t>
        </is>
      </c>
      <c r="B4" s="5" t="inlineStr">
        <is>
          <t>Business formula</t>
        </is>
      </c>
      <c r="C4" s="5" t="inlineStr">
        <is>
          <t>Excel syntax pattern</t>
        </is>
      </c>
      <c r="D4" s="5" t="inlineStr">
        <is>
          <t>Example using lesson numbers</t>
        </is>
      </c>
      <c r="E4" s="5" t="inlineStr">
        <is>
          <t>Result</t>
        </is>
      </c>
    </row>
    <row r="5" ht="42" customHeight="1">
      <c r="A5" s="4" t="inlineStr">
        <is>
          <t>Bid-Ask Spread</t>
        </is>
      </c>
      <c r="B5" s="4" t="inlineStr">
        <is>
          <t>Ask Price - Bid Price</t>
        </is>
      </c>
      <c r="C5" s="4">
        <f>Ask_Cell - Bid_Cell</f>
        <v/>
      </c>
      <c r="D5" s="4" t="inlineStr">
        <is>
          <t>$39.68 - $39.55</t>
        </is>
      </c>
      <c r="E5" s="4" t="inlineStr">
        <is>
          <t>$0.13</t>
        </is>
      </c>
    </row>
    <row r="6" ht="42" customHeight="1">
      <c r="A6" s="4" t="inlineStr">
        <is>
          <t>Dividend Yield</t>
        </is>
      </c>
      <c r="B6" s="4" t="inlineStr">
        <is>
          <t>Annual Dividend / Stock Price</t>
        </is>
      </c>
      <c r="C6" s="4">
        <f>Dividend_Cell / Price_Cell</f>
        <v/>
      </c>
      <c r="D6" s="4" t="inlineStr">
        <is>
          <t>$1.21 / $39.62</t>
        </is>
      </c>
      <c r="E6" s="4" t="inlineStr">
        <is>
          <t>3.05%</t>
        </is>
      </c>
    </row>
    <row r="7" ht="42" customHeight="1">
      <c r="A7" s="4" t="inlineStr">
        <is>
          <t>Preferred Dividend Total</t>
        </is>
      </c>
      <c r="B7" s="4" t="inlineStr">
        <is>
          <t>Rate x Par Value x Preferred Shares</t>
        </is>
      </c>
      <c r="C7" s="4">
        <f>Rate_Cell * Par_Cell * Shares_Cell</f>
        <v/>
      </c>
      <c r="D7" s="4" t="inlineStr">
        <is>
          <t>8% x $50 x 1,000</t>
        </is>
      </c>
      <c r="E7" s="4" t="inlineStr">
        <is>
          <t>$4,000</t>
        </is>
      </c>
    </row>
    <row r="8" ht="42" customHeight="1">
      <c r="A8" s="4" t="inlineStr">
        <is>
          <t>Common Dividend/Share</t>
        </is>
      </c>
      <c r="B8" s="4" t="inlineStr">
        <is>
          <t>(Total Dividends - Preferred Dividends) / Common Shares</t>
        </is>
      </c>
      <c r="C8" s="4">
        <f>(TotalDiv - PrefDiv) / CommonShares</f>
        <v/>
      </c>
      <c r="D8" s="4" t="inlineStr">
        <is>
          <t>($10,000 - $4,000) / 4,000</t>
        </is>
      </c>
      <c r="E8" s="4" t="inlineStr">
        <is>
          <t>$1.50</t>
        </is>
      </c>
    </row>
    <row r="9" ht="42" customHeight="1">
      <c r="A9" s="4" t="inlineStr">
        <is>
          <t>Total Buy Cost</t>
        </is>
      </c>
      <c r="B9" s="4" t="inlineStr">
        <is>
          <t>Shares x Buy Price x (1 + Commission Rate)</t>
        </is>
      </c>
      <c r="C9" s="4">
        <f>Shares * BuyPrice * (1 + Commission)</f>
        <v/>
      </c>
      <c r="D9" s="4" t="inlineStr">
        <is>
          <t>200 x $39.09 x 1.01</t>
        </is>
      </c>
      <c r="E9" s="4" t="inlineStr">
        <is>
          <t>$7,896.18</t>
        </is>
      </c>
    </row>
    <row r="10" ht="42" customHeight="1">
      <c r="A10" s="4" t="inlineStr">
        <is>
          <t>Net Sale Proceeds</t>
        </is>
      </c>
      <c r="B10" s="4" t="inlineStr">
        <is>
          <t>Shares x Sale Price x (1 - Commission Rate)</t>
        </is>
      </c>
      <c r="C10" s="4">
        <f>Shares * SalePrice * (1 - Commission)</f>
        <v/>
      </c>
      <c r="D10" s="4" t="inlineStr">
        <is>
          <t>200 x $41.10 x 0.99</t>
        </is>
      </c>
      <c r="E10" s="4" t="inlineStr">
        <is>
          <t>$8,137.80</t>
        </is>
      </c>
    </row>
    <row r="11" ht="42" customHeight="1">
      <c r="A11" s="4" t="inlineStr">
        <is>
          <t>ROI</t>
        </is>
      </c>
      <c r="B11" s="4" t="inlineStr">
        <is>
          <t>(Net Proceeds - Total Buy Cost + Dividends) / Total Buy Cost</t>
        </is>
      </c>
      <c r="C11" s="4">
        <f>(NetProceeds - BuyCost + Dividends) / BuyCost</f>
        <v/>
      </c>
      <c r="D11" s="4" t="inlineStr">
        <is>
          <t>($8,137.80 - $7,896.18 + $242.00) / $7,896.18</t>
        </is>
      </c>
      <c r="E11" s="4" t="inlineStr">
        <is>
          <t>6.12%</t>
        </is>
      </c>
    </row>
    <row r="12" ht="42" customHeight="1">
      <c r="A12" s="4" t="inlineStr">
        <is>
          <t>Bond Dollar Price</t>
        </is>
      </c>
      <c r="B12" s="4" t="inlineStr">
        <is>
          <t>Quoted Price / 100 x Face Value</t>
        </is>
      </c>
      <c r="C12" s="4">
        <f>QuotedPrice / 100 * FaceValue</f>
        <v/>
      </c>
      <c r="D12" s="4" t="inlineStr">
        <is>
          <t>99.59 / 100 x $1,000</t>
        </is>
      </c>
      <c r="E12" s="4" t="inlineStr">
        <is>
          <t>$995.90</t>
        </is>
      </c>
    </row>
    <row r="13" ht="42" customHeight="1">
      <c r="A13" s="4" t="inlineStr">
        <is>
          <t>Bond Current Yield</t>
        </is>
      </c>
      <c r="B13" s="4" t="inlineStr">
        <is>
          <t>Annual Interest / Dollar Price</t>
        </is>
      </c>
      <c r="C13" s="4">
        <f>AnnualInterest / DollarPrice</f>
        <v/>
      </c>
      <c r="D13" s="4" t="inlineStr">
        <is>
          <t>$40 / $995.90</t>
        </is>
      </c>
      <c r="E13" s="4" t="inlineStr">
        <is>
          <t>4.02%</t>
        </is>
      </c>
    </row>
    <row r="14" ht="42" customHeight="1">
      <c r="A14" s="4" t="inlineStr">
        <is>
          <t>Net Asset Value</t>
        </is>
      </c>
      <c r="B14" s="4" t="inlineStr">
        <is>
          <t>(Holdings - Liabilities) / Shares Outstanding</t>
        </is>
      </c>
      <c r="C14" s="4">
        <f>(Holdings - Liabilities) / Shares</f>
        <v/>
      </c>
      <c r="D14" s="4" t="inlineStr">
        <is>
          <t>($5,550,000 - $770,000) / 600,000</t>
        </is>
      </c>
      <c r="E14" s="4" t="inlineStr">
        <is>
          <t>$7.97</t>
        </is>
      </c>
    </row>
    <row r="15" ht="42" customHeight="1">
      <c r="A15" s="4" t="inlineStr">
        <is>
          <t>Fund Purchase Cost</t>
        </is>
      </c>
      <c r="B15" s="4" t="inlineStr">
        <is>
          <t>Rounded NAV x Shares Purchased</t>
        </is>
      </c>
      <c r="C15" s="4">
        <f>ROUND(NAV,2) * SharesToBuy</f>
        <v/>
      </c>
      <c r="D15" s="4" t="inlineStr">
        <is>
          <t>$7.97 x 80</t>
        </is>
      </c>
      <c r="E15" s="4" t="inlineStr">
        <is>
          <t>$637.60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2026-06-25T12:41:02Z</dcterms:created>
  <dcterms:modified xmlns:dcterms="http://purl.org/dc/terms/" xmlns:xsi="http://www.w3.org/2001/XMLSchema-instance" xsi:type="dcterms:W3CDTF">2026-06-25T12:42:47Z</dcterms:modified>
</cp:coreProperties>
</file>