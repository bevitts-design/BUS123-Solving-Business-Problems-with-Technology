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ccda415f734b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8e9de5b90af44991"/>
    <x:sheet xmlns:r="http://schemas.openxmlformats.org/officeDocument/2006/relationships" name="Live You Try It" sheetId="2" r:id="R1b00efa5e73e48ad"/>
    <x:sheet xmlns:r="http://schemas.openxmlformats.org/officeDocument/2006/relationships" name="Raw Data" sheetId="3" r:id="Rd4ba3bccf0ed4e7f"/>
    <x:sheet xmlns:r="http://schemas.openxmlformats.org/officeDocument/2006/relationships" name="Class Challenge" sheetId="4" r:id="R1b55509093274517"/>
    <x:sheet xmlns:r="http://schemas.openxmlformats.org/officeDocument/2006/relationships" name="FormulaReferenceCard" sheetId="5" r:id="R2e81ca249c9149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$#,##0.00"/>
    <x:numFmt numFmtId="202" formatCode="0.0%"/>
    <x:numFmt numFmtId="203" formatCode="$#,##0"/>
    <x:numFmt numFmtId="204" formatCode="mmm yyyy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2"/>
      <x:color rgb="FF5F6B76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  <x:font>
      <x:sz val="10"/>
      <x:color rgb="FF111827"/>
      <x:name val="Carlito"/>
    </x:font>
    <x:font>
      <x:i/>
      <x:sz val="11"/>
      <x:color rgb="FF5F6B76"/>
      <x:name val="Carlito"/>
    </x:font>
    <x:font>
      <x:b/>
      <x:sz val="11"/>
      <x:color rgb="FF17324D"/>
      <x:name val="Carlito"/>
    </x:font>
    <x:font>
      <x:b/>
      <x:sz val="12"/>
      <x:color rgb="FF111827"/>
      <x:name val="Carlito"/>
    </x:font>
    <x:font>
      <x:i/>
      <x:sz val="9"/>
      <x:color rgb="FF5F6B76"/>
      <x:name val="Carlito"/>
    </x:font>
    <x:font>
      <x:b/>
      <x:sz val="10"/>
      <x:color rgb="FF17324D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B8843D"/>
      </x:patternFill>
    </x:fill>
    <x:fill>
      <x:patternFill patternType="solid">
        <x:fgColor rgb="FFFAF8F3"/>
      </x:patternFill>
    </x:fill>
    <x:fill>
      <x:patternFill patternType="solid">
        <x:fgColor rgb="FFFFFFFF"/>
      </x:patternFill>
    </x:fill>
    <x:fill>
      <x:patternFill patternType="solid">
        <x:fgColor rgb="FFE8F1EC"/>
      </x:patternFill>
    </x:fill>
    <x:fill>
      <x:patternFill patternType="solid">
        <x:fgColor rgb="FF17324D"/>
      </x:patternFill>
    </x:fill>
    <x:fill>
      <x:patternFill patternType="solid">
        <x:fgColor rgb="FFFFF1B8"/>
      </x:patternFill>
    </x:fill>
    <x:fill>
      <x:patternFill patternType="solid">
        <x:fgColor rgb="FFE8F0F7"/>
      </x:patternFill>
    </x:fill>
  </x:fills>
  <x:borders count="18">
    <x:border/>
    <x:border>
      <x:left style="thin">
        <x:color rgb="FFD7D2C8"/>
      </x:left>
      <x:top style="thin">
        <x:color rgb="FFD7D2C8"/>
      </x:top>
    </x:border>
    <x:border>
      <x:top style="thin">
        <x:color rgb="FFD7D2C8"/>
      </x:top>
    </x:border>
    <x:border>
      <x:right style="thin">
        <x:color rgb="FFD7D2C8"/>
      </x:right>
      <x:top style="thin">
        <x:color rgb="FFD7D2C8"/>
      </x:top>
    </x:border>
    <x:border>
      <x:left style="thin">
        <x:color rgb="FFD7D2C8"/>
      </x:left>
    </x:border>
    <x:border>
      <x:right style="thin">
        <x:color rgb="FFD7D2C8"/>
      </x:right>
    </x:border>
    <x:border>
      <x:left style="thin">
        <x:color rgb="FFD7D2C8"/>
      </x:left>
      <x:bottom style="thin">
        <x:color rgb="FFD7D2C8"/>
      </x:bottom>
    </x:border>
    <x:border>
      <x:bottom style="thin">
        <x:color rgb="FFD7D2C8"/>
      </x:bottom>
    </x:border>
    <x:border>
      <x:right style="thin">
        <x:color rgb="FFD7D2C8"/>
      </x:right>
      <x:bottom style="thin">
        <x:color rgb="FFD7D2C8"/>
      </x:bottom>
    </x:border>
    <x:border>
      <x:left style="thin">
        <x:color rgb="FFD7D2C8"/>
      </x:left>
      <x:right style="thin">
        <x:color rgb="FFD7D2C8"/>
      </x:right>
      <x:top style="thin">
        <x:color rgb="FFD7D2C8"/>
      </x:top>
      <x:bottom style="thin">
        <x:color rgb="FFD7D2C8"/>
      </x:bottom>
    </x:border>
    <x:border>
      <x:left style="thin">
        <x:color rgb="FF4A7C5E"/>
      </x:left>
      <x:top style="thin">
        <x:color rgb="FF4A7C5E"/>
      </x:top>
    </x:border>
    <x:border>
      <x:top style="thin">
        <x:color rgb="FF4A7C5E"/>
      </x:top>
    </x:border>
    <x:border>
      <x:right style="thin">
        <x:color rgb="FF4A7C5E"/>
      </x:right>
      <x:top style="thin">
        <x:color rgb="FF4A7C5E"/>
      </x:top>
    </x:border>
    <x:border>
      <x:left style="thin">
        <x:color rgb="FF4A7C5E"/>
      </x:left>
    </x:border>
    <x:border>
      <x:right style="thin">
        <x:color rgb="FF4A7C5E"/>
      </x:right>
    </x:border>
    <x:border>
      <x:left style="thin">
        <x:color rgb="FF4A7C5E"/>
      </x:left>
      <x:bottom style="thin">
        <x:color rgb="FF4A7C5E"/>
      </x:bottom>
    </x:border>
    <x:border>
      <x:bottom style="thin">
        <x:color rgb="FF4A7C5E"/>
      </x:bottom>
    </x:border>
    <x:border>
      <x:right style="thin">
        <x:color rgb="FF4A7C5E"/>
      </x:right>
      <x:bottom style="thin">
        <x:color rgb="FF4A7C5E"/>
      </x:bottom>
    </x:border>
  </x:borders>
  <x:cellStyleXfs count="1">
    <x:xf numFmtId="0" fontId="0" fillId="0" borderId="0"/>
  </x:cellStyleXfs>
  <x:cellXfs count="1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4" fillId="4" borderId="6" xfId="0" applyNumberFormat="1" applyFont="1" applyFill="1" applyBorder="1" applyAlignment="1">
      <x:alignment vertical="center" wrapText="1"/>
    </x:xf>
    <x:xf numFmtId="0" fontId="4" fillId="4" borderId="7" xfId="0" applyNumberFormat="1" applyFont="1" applyFill="1" applyBorder="1" applyAlignment="1">
      <x:alignment vertical="center" wrapText="1"/>
    </x:xf>
    <x:xf numFmtId="0" fontId="4" fillId="4" borderId="8" xfId="0" applyNumberFormat="1" applyFont="1" applyFill="1" applyBorder="1" applyAlignment="1">
      <x:alignment vertical="center" wrapText="1"/>
    </x:xf>
    <x:xf numFmtId="0" fontId="3" fillId="3" borderId="9" xfId="0" applyNumberFormat="1" applyFont="1" applyFill="1" applyBorder="1"/>
    <x:xf numFmtId="0" fontId="3" fillId="3" borderId="9" xfId="0" applyNumberFormat="1" applyFont="1" applyFill="1" applyBorder="1" applyAlignment="1">
      <x:alignment horizontal="center"/>
    </x:xf>
    <x:xf numFmtId="0" fontId="3" fillId="3" borderId="9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9" xfId="0" applyNumberFormat="1" applyFont="1" applyFill="1" applyBorder="1"/>
    <x:xf numFmtId="0" fontId="5" fillId="5" borderId="9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9" xfId="0" applyNumberFormat="1" applyFont="1" applyFill="1" applyBorder="1"/>
    <x:xf numFmtId="0" fontId="5" fillId="6" borderId="9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horizontal="center" wrapText="1"/>
    </x:xf>
    <x:xf numFmtId="0" fontId="3" fillId="7" borderId="9" xfId="0" applyNumberFormat="1" applyFont="1" applyFill="1" applyBorder="1" applyAlignment="1">
      <x:alignment horizontal="center" vertical="center" wrapText="1"/>
    </x:xf>
    <x:xf numFmtId="0" fontId="5" fillId="5" borderId="9" xfId="0" applyNumberFormat="1" applyFont="1" applyFill="1" applyBorder="1" applyAlignment="1">
      <x:alignment vertical="center"/>
    </x:xf>
    <x:xf numFmtId="200" fontId="5" fillId="5" borderId="9" xfId="0" applyNumberFormat="1" applyFont="1" applyFill="1" applyBorder="1" applyAlignment="1">
      <x:alignment vertical="center"/>
    </x:xf>
    <x:xf numFmtId="201" fontId="5" fillId="5" borderId="9" xfId="0" applyNumberFormat="1" applyFont="1" applyFill="1" applyBorder="1" applyAlignment="1">
      <x:alignment vertical="center"/>
    </x:xf>
    <x:xf numFmtId="202" fontId="5" fillId="5" borderId="9" xfId="0" applyNumberFormat="1" applyFont="1" applyFill="1" applyBorder="1" applyAlignment="1">
      <x:alignment vertical="center"/>
    </x:xf>
    <x:xf numFmtId="0" fontId="5" fillId="8" borderId="9" xfId="0" applyNumberFormat="1" applyFont="1" applyFill="1" applyBorder="1" applyAlignment="1">
      <x:alignment vertical="center"/>
    </x:xf>
    <x:xf numFmtId="0" fontId="5" fillId="8" borderId="9" xfId="0" applyNumberFormat="1" applyFont="1" applyFill="1" applyBorder="1" applyAlignment="1">
      <x:alignment vertical="center" wrapText="1"/>
    </x:xf>
    <x:xf numFmtId="203" fontId="5" fillId="5" borderId="9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1" xfId="0" applyNumberFormat="1" applyFont="1" applyFill="1" applyBorder="1"/>
    <x:xf numFmtId="0" fontId="4" fillId="9" borderId="2" xfId="0" applyNumberFormat="1" applyFont="1" applyFill="1" applyBorder="1"/>
    <x:xf numFmtId="0" fontId="4" fillId="9" borderId="3" xfId="0" applyNumberFormat="1" applyFont="1" applyFill="1" applyBorder="1"/>
    <x:xf numFmtId="0" fontId="4" fillId="9" borderId="4" xfId="0" applyNumberFormat="1" applyFont="1" applyFill="1" applyBorder="1"/>
    <x:xf numFmtId="0" fontId="4" fillId="9" borderId="5" xfId="0" applyNumberFormat="1" applyFont="1" applyFill="1" applyBorder="1"/>
    <x:xf numFmtId="0" fontId="4" fillId="9" borderId="6" xfId="0" applyNumberFormat="1" applyFont="1" applyFill="1" applyBorder="1"/>
    <x:xf numFmtId="0" fontId="4" fillId="9" borderId="7" xfId="0" applyNumberFormat="1" applyFont="1" applyFill="1" applyBorder="1"/>
    <x:xf numFmtId="0" fontId="4" fillId="9" borderId="8" xfId="0" applyNumberFormat="1" applyFont="1" applyFill="1" applyBorder="1"/>
    <x:xf numFmtId="0" fontId="4" fillId="9" borderId="1" xfId="0" applyNumberFormat="1" applyFont="1" applyFill="1" applyBorder="1" applyAlignment="1">
      <x:alignment wrapText="1"/>
    </x:xf>
    <x:xf numFmtId="0" fontId="4" fillId="9" borderId="2" xfId="0" applyNumberFormat="1" applyFont="1" applyFill="1" applyBorder="1" applyAlignment="1">
      <x:alignment wrapText="1"/>
    </x:xf>
    <x:xf numFmtId="0" fontId="4" fillId="9" borderId="3" xfId="0" applyNumberFormat="1" applyFont="1" applyFill="1" applyBorder="1" applyAlignment="1">
      <x:alignment wrapText="1"/>
    </x:xf>
    <x:xf numFmtId="0" fontId="4" fillId="9" borderId="4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wrapText="1"/>
    </x:xf>
    <x:xf numFmtId="0" fontId="4" fillId="9" borderId="5" xfId="0" applyNumberFormat="1" applyFont="1" applyFill="1" applyBorder="1" applyAlignment="1">
      <x:alignment wrapText="1"/>
    </x:xf>
    <x:xf numFmtId="0" fontId="4" fillId="9" borderId="6" xfId="0" applyNumberFormat="1" applyFont="1" applyFill="1" applyBorder="1" applyAlignment="1">
      <x:alignment wrapText="1"/>
    </x:xf>
    <x:xf numFmtId="0" fontId="4" fillId="9" borderId="7" xfId="0" applyNumberFormat="1" applyFont="1" applyFill="1" applyBorder="1" applyAlignment="1">
      <x:alignment wrapText="1"/>
    </x:xf>
    <x:xf numFmtId="0" fontId="4" fillId="9" borderId="8" xfId="0" applyNumberFormat="1" applyFont="1" applyFill="1" applyBorder="1" applyAlignment="1">
      <x:alignment wrapText="1"/>
    </x:xf>
    <x:xf numFmtId="0" fontId="4" fillId="9" borderId="1" xfId="0" applyNumberFormat="1" applyFont="1" applyFill="1" applyBorder="1" applyAlignment="1">
      <x:alignment vertical="center" wrapText="1"/>
    </x:xf>
    <x:xf numFmtId="0" fontId="4" fillId="9" borderId="2" xfId="0" applyNumberFormat="1" applyFont="1" applyFill="1" applyBorder="1" applyAlignment="1">
      <x:alignment vertical="center" wrapText="1"/>
    </x:xf>
    <x:xf numFmtId="0" fontId="4" fillId="9" borderId="3" xfId="0" applyNumberFormat="1" applyFont="1" applyFill="1" applyBorder="1" applyAlignment="1">
      <x:alignment vertical="center" wrapText="1"/>
    </x:xf>
    <x:xf numFmtId="0" fontId="4" fillId="9" borderId="4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vertical="center" wrapText="1"/>
    </x:xf>
    <x:xf numFmtId="0" fontId="4" fillId="9" borderId="5" xfId="0" applyNumberFormat="1" applyFont="1" applyFill="1" applyBorder="1" applyAlignment="1">
      <x:alignment vertical="center" wrapText="1"/>
    </x:xf>
    <x:xf numFmtId="0" fontId="4" fillId="9" borderId="6" xfId="0" applyNumberFormat="1" applyFont="1" applyFill="1" applyBorder="1" applyAlignment="1">
      <x:alignment vertical="center" wrapText="1"/>
    </x:xf>
    <x:xf numFmtId="0" fontId="4" fillId="9" borderId="7" xfId="0" applyNumberFormat="1" applyFont="1" applyFill="1" applyBorder="1" applyAlignment="1">
      <x:alignment vertical="center" wrapText="1"/>
    </x:xf>
    <x:xf numFmtId="0" fontId="4" fillId="9" borderId="8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204" fontId="5" fillId="5" borderId="9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4" fillId="9" borderId="9" xfId="0" applyNumberFormat="1" applyFont="1" applyFill="1" applyBorder="1"/>
    <x:xf numFmtId="0" fontId="4" fillId="9" borderId="9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9" xfId="0" applyNumberFormat="1" applyFont="1" applyFill="1" applyBorder="1"/>
    <x:xf numFmtId="0" fontId="8" fillId="8" borderId="9" xfId="0" applyNumberFormat="1" applyFont="1" applyFill="1" applyBorder="1" applyAlignment="1">
      <x:alignment horizontal="right"/>
    </x:xf>
    <x:xf numFmtId="0" fontId="8" fillId="8" borderId="9" xfId="0" applyNumberFormat="1" applyFont="1" applyFill="1" applyBorder="1" applyAlignment="1">
      <x:alignment horizontal="right" vertical="center"/>
    </x:xf>
    <x:xf numFmtId="203" fontId="8" fillId="8" borderId="9" xfId="0" applyNumberFormat="1" applyFont="1" applyFill="1" applyBorder="1" applyAlignment="1">
      <x:alignment horizontal="right" vertical="center"/>
    </x:xf>
    <x:xf numFmtId="200" fontId="8" fillId="8" borderId="9" xfId="0" applyNumberFormat="1" applyFont="1" applyFill="1" applyBorder="1" applyAlignment="1">
      <x:alignment horizontal="right" vertical="center"/>
    </x:xf>
    <x:xf numFmtId="201" fontId="8" fillId="8" borderId="9" xfId="0" applyNumberFormat="1" applyFont="1" applyFill="1" applyBorder="1" applyAlignment="1">
      <x:alignment horizontal="right" vertical="center"/>
    </x:xf>
    <x:xf numFmtId="202" fontId="8" fillId="8" borderId="9" xfId="0" applyNumberFormat="1" applyFont="1" applyFill="1" applyBorder="1" applyAlignment="1">
      <x:alignment horizontal="right" vertical="center"/>
    </x:xf>
    <x:xf numFmtId="203" fontId="5" fillId="8" borderId="9" xfId="0" applyNumberFormat="1" applyFont="1" applyFill="1" applyBorder="1" applyAlignment="1">
      <x:alignment vertical="center"/>
    </x:xf>
    <x:xf numFmtId="200" fontId="5" fillId="8" borderId="9" xfId="0" applyNumberFormat="1" applyFont="1" applyFill="1" applyBorder="1" applyAlignment="1">
      <x:alignment vertical="center"/>
    </x:xf>
    <x:xf numFmtId="202" fontId="5" fillId="8" borderId="9" xfId="0" applyNumberFormat="1" applyFont="1" applyFill="1" applyBorder="1" applyAlignment="1">
      <x:alignment vertical="center"/>
    </x:xf>
    <x:xf numFmtId="0" fontId="5" fillId="6" borderId="9" xfId="0" applyNumberFormat="1" applyFont="1" applyFill="1" applyBorder="1" applyAlignment="1">
      <x:alignment vertical="center"/>
    </x:xf>
    <x:xf numFmtId="0" fontId="9" fillId="6" borderId="9" xfId="0" applyNumberFormat="1" applyFont="1" applyFill="1" applyBorder="1" applyAlignment="1">
      <x:alignment vertical="center"/>
    </x:xf>
    <x:xf numFmtId="0" fontId="9" fillId="6" borderId="9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/>
    <x:xf numFmtId="0" fontId="4" fillId="8" borderId="9" xfId="0" applyNumberFormat="1" applyFont="1" applyFill="1" applyBorder="1"/>
    <x:xf numFmtId="0" fontId="4" fillId="8" borderId="9" xfId="0" applyNumberFormat="1" applyFont="1" applyFill="1" applyBorder="1" applyAlignment="1">
      <x:alignment wrapText="1"/>
    </x:xf>
    <x:xf numFmtId="0" fontId="4" fillId="8" borderId="9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 wrapText="1"/>
    </x:xf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13" xfId="0" applyNumberFormat="1" applyFont="1" applyFill="1" applyBorder="1"/>
    <x:xf numFmtId="0" fontId="0" fillId="4" borderId="14" xfId="0" applyNumberFormat="1" applyFont="1" applyFill="1" applyBorder="1"/>
    <x:xf numFmtId="0" fontId="0" fillId="4" borderId="15" xfId="0" applyNumberFormat="1" applyFont="1" applyFill="1" applyBorder="1"/>
    <x:xf numFmtId="0" fontId="0" fillId="4" borderId="16" xfId="0" applyNumberFormat="1" applyFont="1" applyFill="1" applyBorder="1"/>
    <x:xf numFmtId="0" fontId="0" fillId="4" borderId="17" xfId="0" applyNumberFormat="1" applyFont="1" applyFill="1" applyBorder="1"/>
    <x:xf numFmtId="0" fontId="7" fillId="6" borderId="0" xfId="0" applyNumberFormat="1" applyFont="1" applyFill="1" applyBorder="1"/>
    <x:xf numFmtId="0" fontId="7" fillId="6" borderId="10" xfId="0" applyNumberFormat="1" applyFont="1" applyFill="1" applyBorder="1"/>
    <x:xf numFmtId="0" fontId="7" fillId="6" borderId="11" xfId="0" applyNumberFormat="1" applyFont="1" applyFill="1" applyBorder="1"/>
    <x:xf numFmtId="0" fontId="7" fillId="6" borderId="12" xfId="0" applyNumberFormat="1" applyFont="1" applyFill="1" applyBorder="1"/>
    <x:xf numFmtId="0" fontId="7" fillId="6" borderId="13" xfId="0" applyNumberFormat="1" applyFont="1" applyFill="1" applyBorder="1"/>
    <x:xf numFmtId="0" fontId="7" fillId="6" borderId="14" xfId="0" applyNumberFormat="1" applyFont="1" applyFill="1" applyBorder="1"/>
    <x:xf numFmtId="0" fontId="7" fillId="6" borderId="15" xfId="0" applyNumberFormat="1" applyFont="1" applyFill="1" applyBorder="1"/>
    <x:xf numFmtId="0" fontId="7" fillId="6" borderId="16" xfId="0" applyNumberFormat="1" applyFont="1" applyFill="1" applyBorder="1"/>
    <x:xf numFmtId="0" fontId="7" fillId="6" borderId="17" xfId="0" applyNumberFormat="1" applyFont="1" applyFill="1" applyBorder="1"/>
    <x:xf numFmtId="0" fontId="7" fillId="6" borderId="10" xfId="0" applyNumberFormat="1" applyFont="1" applyFill="1" applyBorder="1" applyAlignment="1">
      <x:alignment wrapText="1"/>
    </x:xf>
    <x:xf numFmtId="0" fontId="7" fillId="6" borderId="11" xfId="0" applyNumberFormat="1" applyFont="1" applyFill="1" applyBorder="1" applyAlignment="1">
      <x:alignment wrapText="1"/>
    </x:xf>
    <x:xf numFmtId="0" fontId="7" fillId="6" borderId="12" xfId="0" applyNumberFormat="1" applyFont="1" applyFill="1" applyBorder="1" applyAlignment="1">
      <x:alignment wrapText="1"/>
    </x:xf>
    <x:xf numFmtId="0" fontId="7" fillId="6" borderId="13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14" xfId="0" applyNumberFormat="1" applyFont="1" applyFill="1" applyBorder="1" applyAlignment="1">
      <x:alignment wrapText="1"/>
    </x:xf>
    <x:xf numFmtId="0" fontId="7" fillId="6" borderId="15" xfId="0" applyNumberFormat="1" applyFont="1" applyFill="1" applyBorder="1" applyAlignment="1">
      <x:alignment wrapText="1"/>
    </x:xf>
    <x:xf numFmtId="0" fontId="7" fillId="6" borderId="16" xfId="0" applyNumberFormat="1" applyFont="1" applyFill="1" applyBorder="1" applyAlignment="1">
      <x:alignment wrapText="1"/>
    </x:xf>
    <x:xf numFmtId="0" fontId="7" fillId="6" borderId="17" xfId="0" applyNumberFormat="1" applyFont="1" applyFill="1" applyBorder="1" applyAlignment="1">
      <x:alignment wrapText="1"/>
    </x:xf>
    <x:xf numFmtId="0" fontId="7" fillId="6" borderId="10" xfId="0" applyNumberFormat="1" applyFont="1" applyFill="1" applyBorder="1" applyAlignment="1">
      <x:alignment vertical="center" wrapText="1"/>
    </x:xf>
    <x:xf numFmtId="0" fontId="7" fillId="6" borderId="11" xfId="0" applyNumberFormat="1" applyFont="1" applyFill="1" applyBorder="1" applyAlignment="1">
      <x:alignment vertical="center" wrapText="1"/>
    </x:xf>
    <x:xf numFmtId="0" fontId="7" fillId="6" borderId="12" xfId="0" applyNumberFormat="1" applyFont="1" applyFill="1" applyBorder="1" applyAlignment="1">
      <x:alignment vertical="center" wrapText="1"/>
    </x:xf>
    <x:xf numFmtId="0" fontId="7" fillId="6" borderId="13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14" xfId="0" applyNumberFormat="1" applyFont="1" applyFill="1" applyBorder="1" applyAlignment="1">
      <x:alignment vertical="center" wrapText="1"/>
    </x:xf>
    <x:xf numFmtId="0" fontId="7" fillId="6" borderId="15" xfId="0" applyNumberFormat="1" applyFont="1" applyFill="1" applyBorder="1" applyAlignment="1">
      <x:alignment vertical="center" wrapText="1"/>
    </x:xf>
    <x:xf numFmtId="0" fontId="7" fillId="6" borderId="16" xfId="0" applyNumberFormat="1" applyFont="1" applyFill="1" applyBorder="1" applyAlignment="1">
      <x:alignment vertical="center" wrapText="1"/>
    </x:xf>
    <x:xf numFmtId="0" fontId="7" fillId="6" borderId="17" xfId="0" applyNumberFormat="1" applyFont="1" applyFill="1" applyBorder="1" applyAlignment="1">
      <x:alignment vertical="center" wrapText="1"/>
    </x:xf>
    <x:xf numFmtId="0" fontId="10" fillId="5" borderId="9" xfId="0" applyNumberFormat="1" applyFont="1" applyFill="1" applyBorder="1" applyAlignment="1">
      <x:alignment vertical="center"/>
    </x:xf>
    <x:xf numFmtId="0" fontId="10" fillId="5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b79509aeb84e21" /><Relationship Type="http://schemas.openxmlformats.org/officeDocument/2006/relationships/theme" Target="/xl/theme/theme1.xml" Id="R07d616a8a06242b5" /><Relationship Type="http://schemas.openxmlformats.org/officeDocument/2006/relationships/sharedStrings" Target="/xl/sharedStrings.xml" Id="R86f03cf4737b44a9" /><Relationship Type="http://schemas.openxmlformats.org/officeDocument/2006/relationships/worksheet" Target="/xl/worksheets/sheet1.xml" Id="R8e9de5b90af44991" /><Relationship Type="http://schemas.openxmlformats.org/officeDocument/2006/relationships/worksheet" Target="/xl/worksheets/sheet2.xml" Id="R1b00efa5e73e48ad" /><Relationship Type="http://schemas.openxmlformats.org/officeDocument/2006/relationships/worksheet" Target="/xl/worksheets/sheet3.xml" Id="Rd4ba3bccf0ed4e7f" /><Relationship Type="http://schemas.openxmlformats.org/officeDocument/2006/relationships/worksheet" Target="/xl/worksheets/sheet4.xml" Id="R1b55509093274517" /><Relationship Type="http://schemas.openxmlformats.org/officeDocument/2006/relationships/worksheet" Target="/xl/worksheets/sheet5.xml" Id="R2e81ca249c914959" /></Relationships>
</file>

<file path=xl/tables/table1.xml><?xml version="1.0" encoding="utf-8"?>
<x:table xmlns:x="http://schemas.openxmlformats.org/spreadsheetml/2006/main" id="1" name="LivePracticeData" displayName="LivePracticeData" ref="A6:H18" headerRowCount="1" totalsRowCount="0" totalsRowShown="0">
  <x:tableColumns count="8">
    <x:tableColumn id="1" name="Month"/>
    <x:tableColumn id="2" name="Service Line"/>
    <x:tableColumn id="3" name="Payer"/>
    <x:tableColumn id="4" name="Visits"/>
    <x:tableColumn id="5" name="Revenue"/>
    <x:tableColumn id="6" name="Avg Revenue / Visit"/>
    <x:tableColumn id="7" name="% of Revenue"/>
    <x:tableColumn id="8" name="Decision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85381d236845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7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2" ht="30" customHeight="1">
      <x:c r="B2" s="3" t="str">
        <x:v>BUS123 · EXCEL M04 · Management Visual Brief</x:v>
      </x:c>
    </x:row>
    <x:row r="4">
      <x:c r="B4" s="4" t="str">
        <x:v>Harborside Medical Center · Charts, summary choices, and a management recommendation</x:v>
      </x:c>
    </x:row>
    <x:row r="6">
      <x:c r="B6" s="7" t="str">
        <x:v>THE ASSIGNMENT</x:v>
      </x:c>
    </x:row>
    <x:row r="7">
      <x:c r="B7" s="27" t="str">
        <x:v>Audience: Vice President of Ambulatory Services. Business question: Which service line should receive management attention next month, and what evidence supports that choice? Build a concise visual brief from the supplied operational data.</x:v>
      </x:c>
      <x:c r="C7" s="28"/>
      <x:c r="D7" s="28"/>
      <x:c r="E7" s="28"/>
      <x:c r="F7" s="28"/>
      <x:c r="G7" s="28"/>
      <x:c r="H7" s="28"/>
      <x:c r="I7" s="28"/>
      <x:c r="J7" s="29"/>
    </x:row>
    <x:row r="8">
      <x:c r="B8" s="30"/>
      <x:c r="C8" s="31"/>
      <x:c r="D8" s="31"/>
      <x:c r="E8" s="31"/>
      <x:c r="F8" s="31"/>
      <x:c r="G8" s="31"/>
      <x:c r="H8" s="31"/>
      <x:c r="I8" s="31"/>
      <x:c r="J8" s="32"/>
    </x:row>
    <x:row r="9">
      <x:c r="B9" s="33"/>
      <x:c r="C9" s="34"/>
      <x:c r="D9" s="34"/>
      <x:c r="E9" s="34"/>
      <x:c r="F9" s="34"/>
      <x:c r="G9" s="34"/>
      <x:c r="H9" s="34"/>
      <x:c r="I9" s="34"/>
      <x:c r="J9" s="35"/>
    </x:row>
    <x:row r="11">
      <x:c r="B11" s="7" t="str">
        <x:v>WORKFLOW · BEGIN IN CLASS, FINISH AS HOMEWORK</x:v>
      </x:c>
    </x:row>
    <x:row r="12" ht="28" customHeight="1">
      <x:c r="B12" s="38" t="str">
        <x:v>1</x:v>
      </x:c>
      <x:c r="C12" s="43" t="str">
        <x:v>Complete the self-checking Live You Try It practice during the deck.</x:v>
      </x:c>
      <x:c r="D12" s="43"/>
      <x:c r="E12" s="43"/>
      <x:c r="F12" s="43"/>
      <x:c r="G12" s="43"/>
      <x:c r="H12" s="43"/>
      <x:c r="I12" s="43"/>
      <x:c r="J12" s="43"/>
    </x:row>
    <x:row r="13" ht="28" customHeight="1">
      <x:c r="B13" s="38" t="str">
        <x:v>2</x:v>
      </x:c>
      <x:c r="C13" s="43" t="str">
        <x:v>On Raw Data, convert the complete source range into one Excel Table with filters.</x:v>
      </x:c>
      <x:c r="D13" s="43"/>
      <x:c r="E13" s="43"/>
      <x:c r="F13" s="43"/>
      <x:c r="G13" s="43"/>
      <x:c r="H13" s="43"/>
      <x:c r="I13" s="43"/>
      <x:c r="J13" s="43"/>
    </x:row>
    <x:row r="14" ht="28" customHeight="1">
      <x:c r="B14" s="38" t="str">
        <x:v>3</x:v>
      </x:c>
      <x:c r="C14" s="43" t="str">
        <x:v>On Class Challenge, calculate the four KPI cards with Excel formulas.</x:v>
      </x:c>
      <x:c r="D14" s="43"/>
      <x:c r="E14" s="43"/>
      <x:c r="F14" s="43"/>
      <x:c r="G14" s="43"/>
      <x:c r="H14" s="43"/>
      <x:c r="I14" s="43"/>
      <x:c r="J14" s="43"/>
    </x:row>
    <x:row r="15" ht="28" customHeight="1">
      <x:c r="B15" s="38" t="str">
        <x:v>4</x:v>
      </x:c>
      <x:c r="C15" s="43" t="str">
        <x:v>Build or link the service-line summary using formulas, a PivotTable, or an equivalent summary.</x:v>
      </x:c>
      <x:c r="D15" s="43"/>
      <x:c r="E15" s="43"/>
      <x:c r="F15" s="43"/>
      <x:c r="G15" s="43"/>
      <x:c r="H15" s="43"/>
      <x:c r="I15" s="43"/>
      <x:c r="J15" s="43"/>
    </x:row>
    <x:row r="16" ht="28" customHeight="1">
      <x:c r="B16" s="38" t="str">
        <x:v>5</x:v>
      </x:c>
      <x:c r="C16" s="43" t="str">
        <x:v>Create one or more decision-appropriate charts. Choose the chart type and layout yourself.</x:v>
      </x:c>
      <x:c r="D16" s="43"/>
      <x:c r="E16" s="43"/>
      <x:c r="F16" s="43"/>
      <x:c r="G16" s="43"/>
      <x:c r="H16" s="43"/>
      <x:c r="I16" s="43"/>
      <x:c r="J16" s="43"/>
    </x:row>
    <x:row r="17" ht="28" customHeight="1">
      <x:c r="B17" s="38" t="str">
        <x:v>6</x:v>
      </x:c>
      <x:c r="C17" s="43" t="str">
        <x:v>Finish at home: polish the brief and write a concise recommendation for the VP.</x:v>
      </x:c>
      <x:c r="D17" s="43"/>
      <x:c r="E17" s="43"/>
      <x:c r="F17" s="43"/>
      <x:c r="G17" s="43"/>
      <x:c r="H17" s="43"/>
      <x:c r="I17" s="43"/>
      <x:c r="J17" s="43"/>
    </x:row>
    <x:row r="19">
      <x:c r="B19" s="7" t="str">
        <x:v>SUBMISSION CHECK · 30 POINTS</x:v>
      </x:c>
    </x:row>
    <x:row r="20" ht="29" customHeight="1">
      <x:c r="B20" s="48" t="str">
        <x:v>Automatic checks (27 points): required sheets, raw-data integrity, Excel Table, correct KPI formulas/results, correct service-line summary values, chart count, chart title, chart source, and recommendation presence.</x:v>
      </x:c>
      <x:c r="C20" s="48"/>
      <x:c r="D20" s="48"/>
      <x:c r="E20" s="48"/>
      <x:c r="F20" s="48"/>
      <x:c r="G20" s="48"/>
      <x:c r="H20" s="48"/>
      <x:c r="I20" s="48"/>
      <x:c r="J20" s="48"/>
    </x:row>
    <x:row r="21" ht="29" customHeight="1">
      <x:c r="B21" s="48" t="str">
        <x:v>Focused review (3 points): whether the visual answers the business question, number formats and labels are readable, and the recommendation is supported and concise.</x:v>
      </x:c>
      <x:c r="C21" s="48"/>
      <x:c r="D21" s="48"/>
      <x:c r="E21" s="48"/>
      <x:c r="F21" s="48"/>
      <x:c r="G21" s="48"/>
      <x:c r="H21" s="48"/>
      <x:c r="I21" s="48"/>
      <x:c r="J21" s="48"/>
    </x:row>
    <x:row r="22" ht="29" customHeight="1">
      <x:c r="B22" s="48" t="str">
        <x:v>The grader does not require exact chart coordinates, colors, theme, or one exact defensible chart type.</x:v>
      </x:c>
      <x:c r="C22" s="48"/>
      <x:c r="D22" s="48"/>
      <x:c r="E22" s="48"/>
      <x:c r="F22" s="48"/>
      <x:c r="G22" s="48"/>
      <x:c r="H22" s="48"/>
      <x:c r="I22" s="48"/>
      <x:c r="J22" s="48"/>
    </x:row>
    <x:row r="23" ht="29" customHeight="1">
      <x:c r="B23" s="48" t="str">
        <x:v>Save as .xlsx after checking chart titles and source ranges. If you use a PivotTable, Refresh All before submitting.</x:v>
      </x:c>
      <x:c r="C23" s="48"/>
      <x:c r="D23" s="48"/>
      <x:c r="E23" s="48"/>
      <x:c r="F23" s="48"/>
      <x:c r="G23" s="48"/>
      <x:c r="H23" s="48"/>
      <x:c r="I23" s="48"/>
      <x:c r="J23" s="48"/>
    </x:row>
  </x:sheetData>
  <x:mergeCells>
    <x:mergeCell ref="B2:J2"/>
    <x:mergeCell ref="B4:J4"/>
    <x:mergeCell ref="B6:J6"/>
    <x:mergeCell ref="B7:J9"/>
    <x:mergeCell ref="B11:J11"/>
    <x:mergeCell ref="C12:J12"/>
    <x:mergeCell ref="C13:J13"/>
    <x:mergeCell ref="C14:J14"/>
    <x:mergeCell ref="C15:J15"/>
    <x:mergeCell ref="C16:J16"/>
    <x:mergeCell ref="C17:J17"/>
    <x:mergeCell ref="B19:J19"/>
    <x:mergeCell ref="B20:J20"/>
    <x:mergeCell ref="B21:J21"/>
    <x:mergeCell ref="B22:J22"/>
    <x:mergeCell ref="B23:J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3" hidden="0" customWidth="1"/>
    <x:col min="4" max="4" width="10" hidden="0" customWidth="1"/>
    <x:col min="5" max="5" width="16" hidden="0" customWidth="1"/>
    <x:col min="6" max="6" width="16" hidden="0" customWidth="1"/>
    <x:col min="7" max="7" width="16" hidden="0" customWidth="1"/>
    <x:col min="8" max="8" width="20" hidden="0" customWidth="1"/>
    <x:col min="9" max="9" width="3" hidden="0" customWidth="1"/>
    <x:col min="10" max="10" width="24" hidden="0" customWidth="1"/>
    <x:col min="11" max="11" width="17" hidden="0" customWidth="1"/>
    <x:col min="12" max="12" width="25" hidden="0" customWidth="1"/>
    <x:col min="13" max="13" width="14" hidden="0" customWidth="1"/>
    <x:col min="14" max="14" width="24" hidden="0" customWidth="1"/>
  </x:cols>
  <x:sheetData>
    <x:row r="1" ht="30" customHeight="1">
      <x:c r="A1" s="3" t="str">
        <x:v>Live You Try It · Choose the visual, then build it</x:v>
      </x:c>
    </x:row>
    <x:row r="3">
      <x:c r="A3" s="50" t="str">
        <x:v>Self-checking class practice only · This tab is not graded</x:v>
      </x:c>
    </x:row>
    <x:row r="5">
      <x:c r="A5" s="7" t="str">
        <x:v>CLEAN SOURCE TABLE</x:v>
      </x:c>
      <x:c r="J5" s="7" t="str">
        <x:v>SELF-CHECK · QUESTION → TOOL</x:v>
      </x:c>
    </x:row>
    <x:row r="6">
      <x:c r="A6" s="56" t="str">
        <x:v>Month</x:v>
      </x:c>
      <x:c r="B6" s="56" t="str">
        <x:v>Service Line</x:v>
      </x:c>
      <x:c r="C6" s="56" t="str">
        <x:v>Payer</x:v>
      </x:c>
      <x:c r="D6" s="56" t="str">
        <x:v>Visits</x:v>
      </x:c>
      <x:c r="E6" s="56" t="str">
        <x:v>Revenue</x:v>
      </x:c>
      <x:c r="F6" s="56" t="str">
        <x:v>Avg Revenue / Visit</x:v>
      </x:c>
      <x:c r="G6" s="56" t="str">
        <x:v>% of Revenue</x:v>
      </x:c>
      <x:c r="H6" s="56" t="str">
        <x:v>Decision Note</x:v>
      </x:c>
      <x:c r="J6" s="56" t="str">
        <x:v>Manager question</x:v>
      </x:c>
      <x:c r="K6" s="56" t="str">
        <x:v>Your choice</x:v>
      </x:c>
      <x:c r="L6" s="56" t="str">
        <x:v>Feedback</x:v>
      </x:c>
      <x:c r="M6" s="56" t="str">
        <x:v>Build from</x:v>
      </x:c>
      <x:c r="N6" s="56" t="str">
        <x:v>Takeaway</x:v>
      </x:c>
    </x:row>
    <x:row r="7" ht="42" customHeight="1">
      <x:c r="A7" s="57" t="str">
        <x:v>Jan</x:v>
      </x:c>
      <x:c r="B7" s="57" t="str">
        <x:v>Urgent Care</x:v>
      </x:c>
      <x:c r="C7" s="57" t="str">
        <x:v>Private</x:v>
      </x:c>
      <x:c r="D7" s="58" t="n">
        <x:v>348</x:v>
      </x:c>
      <x:c r="E7" s="59" t="n">
        <x:v>174000</x:v>
      </x:c>
      <x:c r="F7" s="59" t="n">
        <x:v>500</x:v>
      </x:c>
      <x:c r="G7" s="60" t="n">
        <x:v>0.114</x:v>
      </x:c>
      <x:c r="H7" s="57" t="str"/>
      <x:c r="J7" s="43" t="str">
        <x:v>Which service line produced the most revenue?</x:v>
      </x:c>
      <x:c r="K7" s="62" t="str"/>
      <x:c r="L7" s="43" t="str">
        <x:f>IF(K7="","Choose a chart",IF(K7="Column or Bar","Ready","Recheck the category comparison"))</x:f>
        <x:v>Choose a chart</x:v>
      </x:c>
      <x:c r="M7" s="43" t="str">
        <x:v>A22:B26</x:v>
      </x:c>
      <x:c r="N7" s="62" t="str"/>
    </x:row>
    <x:row r="8" ht="42" customHeight="1">
      <x:c r="A8" s="57" t="str">
        <x:v>Jan</x:v>
      </x:c>
      <x:c r="B8" s="57" t="str">
        <x:v>Imaging</x:v>
      </x:c>
      <x:c r="C8" s="57" t="str">
        <x:v>Medicare</x:v>
      </x:c>
      <x:c r="D8" s="58" t="n">
        <x:v>226</x:v>
      </x:c>
      <x:c r="E8" s="59" t="n">
        <x:v>158200</x:v>
      </x:c>
      <x:c r="F8" s="59" t="n">
        <x:v>700</x:v>
      </x:c>
      <x:c r="G8" s="60" t="n">
        <x:v>0.103</x:v>
      </x:c>
      <x:c r="H8" s="57" t="str"/>
      <x:c r="J8" s="43" t="str">
        <x:v>Are urgent care visits rising by month?</x:v>
      </x:c>
      <x:c r="K8" s="62" t="str"/>
      <x:c r="L8" s="43" t="str">
        <x:f>IF(K8="","Choose a chart",IF(K8="Line","Ready","Recheck the time trend"))</x:f>
        <x:v>Choose a chart</x:v>
      </x:c>
      <x:c r="M8" s="43" t="str">
        <x:v>D22:E25</x:v>
      </x:c>
      <x:c r="N8" s="62" t="str"/>
    </x:row>
    <x:row r="9" ht="42" customHeight="1">
      <x:c r="A9" s="57" t="str">
        <x:v>Jan</x:v>
      </x:c>
      <x:c r="B9" s="57" t="str">
        <x:v>Lab</x:v>
      </x:c>
      <x:c r="C9" s="57" t="str">
        <x:v>Private</x:v>
      </x:c>
      <x:c r="D9" s="58" t="n">
        <x:v>420</x:v>
      </x:c>
      <x:c r="E9" s="59" t="n">
        <x:v>71400</x:v>
      </x:c>
      <x:c r="F9" s="59" t="n">
        <x:v>170</x:v>
      </x:c>
      <x:c r="G9" s="60" t="n">
        <x:v>0.047</x:v>
      </x:c>
      <x:c r="H9" s="57" t="str"/>
      <x:c r="J9" s="43" t="str">
        <x:v>What share of revenue came from each payer?</x:v>
      </x:c>
      <x:c r="K9" s="62" t="str"/>
      <x:c r="L9" s="43" t="str">
        <x:f>IF(K9="","Choose a chart",IF(K9="Pie or Donut","Ready","Recheck the parts of a whole"))</x:f>
        <x:v>Choose a chart</x:v>
      </x:c>
      <x:c r="M9" s="43" t="str">
        <x:v>G22:H25</x:v>
      </x:c>
      <x:c r="N9" s="62" t="str"/>
    </x:row>
    <x:row r="10">
      <x:c r="A10" s="57" t="str">
        <x:v>Jan</x:v>
      </x:c>
      <x:c r="B10" s="57" t="str">
        <x:v>Therapy</x:v>
      </x:c>
      <x:c r="C10" s="57" t="str">
        <x:v>Medicaid</x:v>
      </x:c>
      <x:c r="D10" s="58" t="n">
        <x:v>188</x:v>
      </x:c>
      <x:c r="E10" s="59" t="n">
        <x:v>75200</x:v>
      </x:c>
      <x:c r="F10" s="59" t="n">
        <x:v>400</x:v>
      </x:c>
      <x:c r="G10" s="60" t="n">
        <x:v>0.049</x:v>
      </x:c>
      <x:c r="H10" s="57" t="str"/>
    </x:row>
    <x:row r="11">
      <x:c r="A11" s="57" t="str">
        <x:v>Feb</x:v>
      </x:c>
      <x:c r="B11" s="57" t="str">
        <x:v>Urgent Care</x:v>
      </x:c>
      <x:c r="C11" s="57" t="str">
        <x:v>Medicare</x:v>
      </x:c>
      <x:c r="D11" s="58" t="n">
        <x:v>372</x:v>
      </x:c>
      <x:c r="E11" s="59" t="n">
        <x:v>181900</x:v>
      </x:c>
      <x:c r="F11" s="59" t="n">
        <x:v>488.9784946</x:v>
      </x:c>
      <x:c r="G11" s="60" t="n">
        <x:v>0.119</x:v>
      </x:c>
      <x:c r="H11" s="57" t="str"/>
    </x:row>
    <x:row r="12">
      <x:c r="A12" s="57" t="str">
        <x:v>Feb</x:v>
      </x:c>
      <x:c r="B12" s="57" t="str">
        <x:v>Imaging</x:v>
      </x:c>
      <x:c r="C12" s="57" t="str">
        <x:v>Private</x:v>
      </x:c>
      <x:c r="D12" s="58" t="n">
        <x:v>244</x:v>
      </x:c>
      <x:c r="E12" s="59" t="n">
        <x:v>168400</x:v>
      </x:c>
      <x:c r="F12" s="59" t="n">
        <x:v>690.1639344</x:v>
      </x:c>
      <x:c r="G12" s="60" t="n">
        <x:v>0.11</x:v>
      </x:c>
      <x:c r="H12" s="57" t="str"/>
      <x:c r="J12" s="7" t="str">
        <x:v>SELF-CHECK · PIVOTTABLE FIELD PLAN</x:v>
      </x:c>
    </x:row>
    <x:row r="13">
      <x:c r="A13" s="57" t="str">
        <x:v>Feb</x:v>
      </x:c>
      <x:c r="B13" s="57" t="str">
        <x:v>Lab</x:v>
      </x:c>
      <x:c r="C13" s="57" t="str">
        <x:v>Medicaid</x:v>
      </x:c>
      <x:c r="D13" s="58" t="n">
        <x:v>398</x:v>
      </x:c>
      <x:c r="E13" s="59" t="n">
        <x:v>67660</x:v>
      </x:c>
      <x:c r="F13" s="59" t="n">
        <x:v>170</x:v>
      </x:c>
      <x:c r="G13" s="60" t="n">
        <x:v>0.044</x:v>
      </x:c>
      <x:c r="H13" s="57" t="str"/>
      <x:c r="J13" s="56" t="str">
        <x:v>Question</x:v>
      </x:c>
      <x:c r="K13" s="56" t="str">
        <x:v>Rows</x:v>
      </x:c>
      <x:c r="L13" s="56" t="str">
        <x:v>Values</x:v>
      </x:c>
      <x:c r="M13" s="56" t="str">
        <x:v>Filter</x:v>
      </x:c>
      <x:c r="N13" s="56" t="str">
        <x:v>Feedback</x:v>
      </x:c>
    </x:row>
    <x:row r="14" ht="40" customHeight="1">
      <x:c r="A14" s="57" t="str">
        <x:v>Feb</x:v>
      </x:c>
      <x:c r="B14" s="57" t="str">
        <x:v>Therapy</x:v>
      </x:c>
      <x:c r="C14" s="57" t="str">
        <x:v>Private</x:v>
      </x:c>
      <x:c r="D14" s="58" t="n">
        <x:v>203</x:v>
      </x:c>
      <x:c r="E14" s="59" t="n">
        <x:v>85260</x:v>
      </x:c>
      <x:c r="F14" s="59" t="n">
        <x:v>420</x:v>
      </x:c>
      <x:c r="G14" s="60" t="n">
        <x:v>0.056</x:v>
      </x:c>
      <x:c r="H14" s="57" t="str"/>
      <x:c r="J14" s="43" t="str">
        <x:v>Revenue by service line, switchable by month</x:v>
      </x:c>
      <x:c r="K14" s="62" t="str"/>
      <x:c r="L14" s="62" t="str"/>
      <x:c r="M14" s="62" t="str"/>
      <x:c r="N14" s="43" t="str">
        <x:f>IF(AND(K14="Service Line",L14="Revenue",M14="Month"),"Ready","Map nouns to Rows, Values, and Filter")</x:f>
        <x:v>Map nouns to Rows, Values, and Filter</x:v>
      </x:c>
    </x:row>
    <x:row r="15" ht="40" customHeight="1">
      <x:c r="A15" s="57" t="str">
        <x:v>Mar</x:v>
      </x:c>
      <x:c r="B15" s="57" t="str">
        <x:v>Urgent Care</x:v>
      </x:c>
      <x:c r="C15" s="57" t="str">
        <x:v>Private</x:v>
      </x:c>
      <x:c r="D15" s="58" t="n">
        <x:v>389</x:v>
      </x:c>
      <x:c r="E15" s="59" t="n">
        <x:v>198390</x:v>
      </x:c>
      <x:c r="F15" s="59" t="n">
        <x:v>510</x:v>
      </x:c>
      <x:c r="G15" s="60" t="n">
        <x:v>0.13</x:v>
      </x:c>
      <x:c r="H15" s="57" t="str"/>
      <x:c r="J15" s="43" t="str">
        <x:v>Why Refresh All?</x:v>
      </x:c>
      <x:c r="K15" s="62" t="str"/>
      <x:c r="L15" s="62" t="str"/>
      <x:c r="M15" s="62" t="str"/>
      <x:c r="N15" s="43" t="str">
        <x:f>IF(AND(K15="Source changed",L15="Pivot cache may be stale"),"Ready","PivotTables use a cached snapshot")</x:f>
        <x:v>PivotTables use a cached snapshot</x:v>
      </x:c>
    </x:row>
    <x:row r="16">
      <x:c r="A16" s="57" t="str">
        <x:v>Mar</x:v>
      </x:c>
      <x:c r="B16" s="57" t="str">
        <x:v>Imaging</x:v>
      </x:c>
      <x:c r="C16" s="57" t="str">
        <x:v>Medicare</x:v>
      </x:c>
      <x:c r="D16" s="58" t="n">
        <x:v>252</x:v>
      </x:c>
      <x:c r="E16" s="59" t="n">
        <x:v>176400</x:v>
      </x:c>
      <x:c r="F16" s="59" t="n">
        <x:v>700</x:v>
      </x:c>
      <x:c r="G16" s="60" t="n">
        <x:v>0.115</x:v>
      </x:c>
      <x:c r="H16" s="57" t="str"/>
    </x:row>
    <x:row r="17">
      <x:c r="A17" s="57" t="str">
        <x:v>Mar</x:v>
      </x:c>
      <x:c r="B17" s="57" t="str">
        <x:v>Lab</x:v>
      </x:c>
      <x:c r="C17" s="57" t="str">
        <x:v>Private</x:v>
      </x:c>
      <x:c r="D17" s="58" t="n">
        <x:v>438</x:v>
      </x:c>
      <x:c r="E17" s="59" t="n">
        <x:v>78840</x:v>
      </x:c>
      <x:c r="F17" s="59" t="n">
        <x:v>180</x:v>
      </x:c>
      <x:c r="G17" s="60" t="n">
        <x:v>0.052</x:v>
      </x:c>
      <x:c r="H17" s="57" t="str"/>
    </x:row>
    <x:row r="18">
      <x:c r="A18" s="57" t="str">
        <x:v>Mar</x:v>
      </x:c>
      <x:c r="B18" s="57" t="str">
        <x:v>Therapy</x:v>
      </x:c>
      <x:c r="C18" s="57" t="str">
        <x:v>Medicare</x:v>
      </x:c>
      <x:c r="D18" s="58" t="n">
        <x:v>216</x:v>
      </x:c>
      <x:c r="E18" s="59" t="n">
        <x:v>95040</x:v>
      </x:c>
      <x:c r="F18" s="59" t="n">
        <x:v>440</x:v>
      </x:c>
      <x:c r="G18" s="60" t="n">
        <x:v>0.062</x:v>
      </x:c>
      <x:c r="H18" s="57" t="str"/>
      <x:c r="J18" s="83" t="str">
        <x:v>Build at least one practice chart during class. Add a clear title, readable number formats, and verify the source range before interpreting it.</x:v>
      </x:c>
      <x:c r="K18" s="84"/>
      <x:c r="L18" s="84"/>
      <x:c r="M18" s="84"/>
      <x:c r="N18" s="85"/>
    </x:row>
    <x:row r="19">
      <x:c r="J19" s="86"/>
      <x:c r="K19" s="87"/>
      <x:c r="L19" s="87"/>
      <x:c r="M19" s="87"/>
      <x:c r="N19" s="88"/>
    </x:row>
    <x:row r="20">
      <x:c r="J20" s="89"/>
      <x:c r="K20" s="90"/>
      <x:c r="L20" s="90"/>
      <x:c r="M20" s="90"/>
      <x:c r="N20" s="91"/>
    </x:row>
    <x:row r="21">
      <x:c r="A21" s="56" t="str">
        <x:v>Service Line</x:v>
      </x:c>
      <x:c r="B21" s="56" t="str">
        <x:v>Revenue</x:v>
      </x:c>
      <x:c r="D21" s="56" t="str">
        <x:v>Month</x:v>
      </x:c>
      <x:c r="E21" s="56" t="str">
        <x:v>Urgent Care Visits</x:v>
      </x:c>
      <x:c r="G21" s="56" t="str">
        <x:v>Payer</x:v>
      </x:c>
      <x:c r="H21" s="56" t="str">
        <x:v>Revenue</x:v>
      </x:c>
    </x:row>
    <x:row r="22">
      <x:c r="A22" s="57" t="str">
        <x:v>Urgent Care</x:v>
      </x:c>
      <x:c r="B22" s="63" t="n">
        <x:v>554290</x:v>
      </x:c>
      <x:c r="D22" s="57" t="str">
        <x:v>Jan</x:v>
      </x:c>
      <x:c r="E22" s="58" t="n">
        <x:v>348</x:v>
      </x:c>
      <x:c r="G22" s="57" t="str">
        <x:v>Private</x:v>
      </x:c>
      <x:c r="H22" s="63" t="n">
        <x:v>776290</x:v>
      </x:c>
    </x:row>
    <x:row r="23">
      <x:c r="A23" s="57" t="str">
        <x:v>Imaging</x:v>
      </x:c>
      <x:c r="B23" s="63" t="n">
        <x:v>503000</x:v>
      </x:c>
      <x:c r="D23" s="57" t="str">
        <x:v>Feb</x:v>
      </x:c>
      <x:c r="E23" s="58" t="n">
        <x:v>372</x:v>
      </x:c>
      <x:c r="G23" s="57" t="str">
        <x:v>Medicare</x:v>
      </x:c>
      <x:c r="H23" s="63" t="n">
        <x:v>611540</x:v>
      </x:c>
    </x:row>
    <x:row r="24">
      <x:c r="A24" s="57" t="str">
        <x:v>Lab</x:v>
      </x:c>
      <x:c r="B24" s="63" t="n">
        <x:v>217900</x:v>
      </x:c>
      <x:c r="D24" s="57" t="str">
        <x:v>Mar</x:v>
      </x:c>
      <x:c r="E24" s="58" t="n">
        <x:v>389</x:v>
      </x:c>
      <x:c r="G24" s="57" t="str">
        <x:v>Medicaid</x:v>
      </x:c>
      <x:c r="H24" s="63" t="n">
        <x:v>142860</x:v>
      </x:c>
    </x:row>
    <x:row r="25">
      <x:c r="A25" s="57" t="str">
        <x:v>Therapy</x:v>
      </x:c>
      <x:c r="B25" s="63" t="n">
        <x:v>255500</x:v>
      </x:c>
      <x:c r="D25" s="57" t="str"/>
      <x:c r="E25" s="58" t="str"/>
      <x:c r="G25" s="57" t="str"/>
      <x:c r="H25" s="63" t="str"/>
    </x:row>
    <x:row r="26">
      <x:c r="A26" s="57"/>
      <x:c r="B26" s="63"/>
    </x:row>
  </x:sheetData>
  <x:mergeCells>
    <x:mergeCell ref="A1:N1"/>
    <x:mergeCell ref="A3:N3"/>
    <x:mergeCell ref="A5:H5"/>
    <x:mergeCell ref="J5:N5"/>
    <x:mergeCell ref="J12:N12"/>
    <x:mergeCell ref="J18:N20"/>
  </x:mergeCells>
  <x:dataValidations count="4">
    <x:dataValidation type="list" sqref="K7:K9">
      <x:formula1>"Column or Bar,Line,Pie or Donut,Scatter"</x:formula1>
    </x:dataValidation>
    <x:dataValidation type="list" sqref="K14">
      <x:formula1>"Service Line,Payer,Month"</x:formula1>
    </x:dataValidation>
    <x:dataValidation type="list" sqref="L14">
      <x:formula1>"Revenue,Visits,Payer"</x:formula1>
    </x:dataValidation>
    <x:dataValidation type="list" sqref="M14">
      <x:formula1>"Month,Revenue,Service Line"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85381d236845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7" hidden="0" customWidth="1"/>
    <x:col min="5" max="5" width="10" hidden="0" customWidth="1"/>
    <x:col min="6" max="6" width="14" hidden="0" customWidth="1"/>
    <x:col min="7" max="7" width="10" hidden="0" customWidth="1"/>
    <x:col min="8" max="8" width="14" hidden="0" customWidth="1"/>
    <x:col min="9" max="9" width="13" hidden="0" customWidth="1"/>
  </x:cols>
  <x:sheetData>
    <x:row r="1" ht="30" customHeight="1">
      <x:c r="A1" s="3" t="str">
        <x:v>Harborside Ambulatory Operations · Tidy Source Data</x:v>
      </x:c>
    </x:row>
    <x:row r="3">
      <x:c r="A3" s="93" t="str">
        <x:v>One row = one month × service line × payer record. Do not change source values.</x:v>
      </x:c>
      <x:c r="B3" s="93"/>
      <x:c r="C3" s="93"/>
      <x:c r="D3" s="93"/>
      <x:c r="E3" s="93"/>
      <x:c r="F3" s="93"/>
      <x:c r="G3" s="93"/>
      <x:c r="H3" s="93"/>
      <x:c r="I3" s="93"/>
    </x:row>
    <x:row r="4">
      <x:c r="A4" s="93" t="str">
        <x:v>Class Challenge Step 1: convert A6:I78 to one Excel Table with filters. Any readable table style is acceptable.</x:v>
      </x:c>
      <x:c r="B4" s="93"/>
      <x:c r="C4" s="93"/>
      <x:c r="D4" s="93"/>
      <x:c r="E4" s="93"/>
      <x:c r="F4" s="93"/>
      <x:c r="G4" s="93"/>
      <x:c r="H4" s="93"/>
      <x:c r="I4" s="93"/>
    </x:row>
    <x:row r="6">
      <x:c r="A6" s="56" t="str">
        <x:v>Report Month</x:v>
      </x:c>
      <x:c r="B6" s="56" t="str">
        <x:v>Service Line</x:v>
      </x:c>
      <x:c r="C6" s="56" t="str">
        <x:v>Payer</x:v>
      </x:c>
      <x:c r="D6" s="56" t="str">
        <x:v>Access Channel</x:v>
      </x:c>
      <x:c r="E6" s="56" t="str">
        <x:v>Visits</x:v>
      </x:c>
      <x:c r="F6" s="56" t="str">
        <x:v>Revenue</x:v>
      </x:c>
      <x:c r="G6" s="56" t="str">
        <x:v>No-Shows</x:v>
      </x:c>
      <x:c r="H6" s="56" t="str">
        <x:v>Avg Wait (min)</x:v>
      </x:c>
      <x:c r="I6" s="56" t="str">
        <x:v>Satisfaction</x:v>
      </x:c>
    </x:row>
    <x:row r="7">
      <x:c r="A7" s="94" t="n">
        <x:v>46023.5</x:v>
      </x:c>
      <x:c r="B7" s="57" t="str">
        <x:v>Urgent Care</x:v>
      </x:c>
      <x:c r="C7" s="57" t="str">
        <x:v>Private</x:v>
      </x:c>
      <x:c r="D7" s="57" t="str">
        <x:v>Walk-in</x:v>
      </x:c>
      <x:c r="E7" s="58" t="n">
        <x:v>189</x:v>
      </x:c>
      <x:c r="F7" s="63" t="n">
        <x:v>103175</x:v>
      </x:c>
      <x:c r="G7" s="58" t="n">
        <x:v>12</x:v>
      </x:c>
      <x:c r="H7" s="58" t="n">
        <x:v>37</x:v>
      </x:c>
      <x:c r="I7" s="60" t="n">
        <x:v>0.836</x:v>
      </x:c>
    </x:row>
    <x:row r="8">
      <x:c r="A8" s="94" t="n">
        <x:v>46023.5</x:v>
      </x:c>
      <x:c r="B8" s="57" t="str">
        <x:v>Urgent Care</x:v>
      </x:c>
      <x:c r="C8" s="57" t="str">
        <x:v>Medicare</x:v>
      </x:c>
      <x:c r="D8" s="57" t="str">
        <x:v>Referral</x:v>
      </x:c>
      <x:c r="E8" s="58" t="n">
        <x:v>131</x:v>
      </x:c>
      <x:c r="F8" s="63" t="n">
        <x:v>66116</x:v>
      </x:c>
      <x:c r="G8" s="58" t="n">
        <x:v>9</x:v>
      </x:c>
      <x:c r="H8" s="58" t="n">
        <x:v>36</x:v>
      </x:c>
      <x:c r="I8" s="60" t="n">
        <x:v>0.84</x:v>
      </x:c>
    </x:row>
    <x:row r="9">
      <x:c r="A9" s="94" t="n">
        <x:v>46023.5</x:v>
      </x:c>
      <x:c r="B9" s="57" t="str">
        <x:v>Urgent Care</x:v>
      </x:c>
      <x:c r="C9" s="57" t="str">
        <x:v>Medicaid</x:v>
      </x:c>
      <x:c r="D9" s="57" t="str">
        <x:v>Scheduled</x:v>
      </x:c>
      <x:c r="E9" s="58" t="n">
        <x:v>66</x:v>
      </x:c>
      <x:c r="F9" s="63" t="n">
        <x:v>29911</x:v>
      </x:c>
      <x:c r="G9" s="58" t="n">
        <x:v>5</x:v>
      </x:c>
      <x:c r="H9" s="58" t="n">
        <x:v>36</x:v>
      </x:c>
      <x:c r="I9" s="60" t="n">
        <x:v>0.84</x:v>
      </x:c>
    </x:row>
    <x:row r="10">
      <x:c r="A10" s="94" t="n">
        <x:v>46023.5</x:v>
      </x:c>
      <x:c r="B10" s="57" t="str">
        <x:v>Imaging</x:v>
      </x:c>
      <x:c r="C10" s="57" t="str">
        <x:v>Private</x:v>
      </x:c>
      <x:c r="D10" s="57" t="str">
        <x:v>Referral</x:v>
      </x:c>
      <x:c r="E10" s="58" t="n">
        <x:v>107</x:v>
      </x:c>
      <x:c r="F10" s="63" t="n">
        <x:v>80528</x:v>
      </x:c>
      <x:c r="G10" s="58" t="n">
        <x:v>4</x:v>
      </x:c>
      <x:c r="H10" s="58" t="n">
        <x:v>25</x:v>
      </x:c>
      <x:c r="I10" s="60" t="n">
        <x:v>0.906</x:v>
      </x:c>
    </x:row>
    <x:row r="11">
      <x:c r="A11" s="94" t="n">
        <x:v>46023.5</x:v>
      </x:c>
      <x:c r="B11" s="57" t="str">
        <x:v>Imaging</x:v>
      </x:c>
      <x:c r="C11" s="57" t="str">
        <x:v>Medicare</x:v>
      </x:c>
      <x:c r="D11" s="57" t="str">
        <x:v>Scheduled</x:v>
      </x:c>
      <x:c r="E11" s="58" t="n">
        <x:v>74</x:v>
      </x:c>
      <x:c r="F11" s="63" t="n">
        <x:v>51489</x:v>
      </x:c>
      <x:c r="G11" s="58" t="n">
        <x:v>3</x:v>
      </x:c>
      <x:c r="H11" s="58" t="n">
        <x:v>24</x:v>
      </x:c>
      <x:c r="I11" s="60" t="n">
        <x:v>0.91</x:v>
      </x:c>
    </x:row>
    <x:row r="12">
      <x:c r="A12" s="94" t="n">
        <x:v>46023.5</x:v>
      </x:c>
      <x:c r="B12" s="57" t="str">
        <x:v>Imaging</x:v>
      </x:c>
      <x:c r="C12" s="57" t="str">
        <x:v>Medicaid</x:v>
      </x:c>
      <x:c r="D12" s="57" t="str">
        <x:v>Walk-in</x:v>
      </x:c>
      <x:c r="E12" s="58" t="n">
        <x:v>37</x:v>
      </x:c>
      <x:c r="F12" s="63" t="n">
        <x:v>23118</x:v>
      </x:c>
      <x:c r="G12" s="58" t="n">
        <x:v>2</x:v>
      </x:c>
      <x:c r="H12" s="58" t="n">
        <x:v>24</x:v>
      </x:c>
      <x:c r="I12" s="60" t="n">
        <x:v>0.91</x:v>
      </x:c>
    </x:row>
    <x:row r="13">
      <x:c r="A13" s="94" t="n">
        <x:v>46023.5</x:v>
      </x:c>
      <x:c r="B13" s="57" t="str">
        <x:v>Lab</x:v>
      </x:c>
      <x:c r="C13" s="57" t="str">
        <x:v>Private</x:v>
      </x:c>
      <x:c r="D13" s="57" t="str">
        <x:v>Scheduled</x:v>
      </x:c>
      <x:c r="E13" s="58" t="n">
        <x:v>160</x:v>
      </x:c>
      <x:c r="F13" s="63" t="n">
        <x:v>31885</x:v>
      </x:c>
      <x:c r="G13" s="58" t="n">
        <x:v>8</x:v>
      </x:c>
      <x:c r="H13" s="58" t="n">
        <x:v>19</x:v>
      </x:c>
      <x:c r="I13" s="60" t="n">
        <x:v>0.886</x:v>
      </x:c>
    </x:row>
    <x:row r="14">
      <x:c r="A14" s="94" t="n">
        <x:v>46023.5</x:v>
      </x:c>
      <x:c r="B14" s="57" t="str">
        <x:v>Lab</x:v>
      </x:c>
      <x:c r="C14" s="57" t="str">
        <x:v>Medicare</x:v>
      </x:c>
      <x:c r="D14" s="57" t="str">
        <x:v>Walk-in</x:v>
      </x:c>
      <x:c r="E14" s="58" t="n">
        <x:v>111</x:v>
      </x:c>
      <x:c r="F14" s="63" t="n">
        <x:v>20451</x:v>
      </x:c>
      <x:c r="G14" s="58" t="n">
        <x:v>6</x:v>
      </x:c>
      <x:c r="H14" s="58" t="n">
        <x:v>18</x:v>
      </x:c>
      <x:c r="I14" s="60" t="n">
        <x:v>0.89</x:v>
      </x:c>
    </x:row>
    <x:row r="15">
      <x:c r="A15" s="94" t="n">
        <x:v>46023.5</x:v>
      </x:c>
      <x:c r="B15" s="57" t="str">
        <x:v>Lab</x:v>
      </x:c>
      <x:c r="C15" s="57" t="str">
        <x:v>Medicaid</x:v>
      </x:c>
      <x:c r="D15" s="57" t="str">
        <x:v>Referral</x:v>
      </x:c>
      <x:c r="E15" s="58" t="n">
        <x:v>56</x:v>
      </x:c>
      <x:c r="F15" s="63" t="n">
        <x:v>9265</x:v>
      </x:c>
      <x:c r="G15" s="58" t="n">
        <x:v>4</x:v>
      </x:c>
      <x:c r="H15" s="58" t="n">
        <x:v>18</x:v>
      </x:c>
      <x:c r="I15" s="60" t="n">
        <x:v>0.89</x:v>
      </x:c>
    </x:row>
    <x:row r="16">
      <x:c r="A16" s="94" t="n">
        <x:v>46023.5</x:v>
      </x:c>
      <x:c r="B16" s="57" t="str">
        <x:v>Therapy</x:v>
      </x:c>
      <x:c r="C16" s="57" t="str">
        <x:v>Private</x:v>
      </x:c>
      <x:c r="D16" s="57" t="str">
        <x:v>Walk-in</x:v>
      </x:c>
      <x:c r="E16" s="58" t="n">
        <x:v>92</x:v>
      </x:c>
      <x:c r="F16" s="63" t="n">
        <x:v>41446</x:v>
      </x:c>
      <x:c r="G16" s="58" t="n">
        <x:v>11</x:v>
      </x:c>
      <x:c r="H16" s="58" t="n">
        <x:v>16</x:v>
      </x:c>
      <x:c r="I16" s="60" t="n">
        <x:v>0.926</x:v>
      </x:c>
    </x:row>
    <x:row r="17">
      <x:c r="A17" s="94" t="n">
        <x:v>46023.5</x:v>
      </x:c>
      <x:c r="B17" s="57" t="str">
        <x:v>Therapy</x:v>
      </x:c>
      <x:c r="C17" s="57" t="str">
        <x:v>Medicare</x:v>
      </x:c>
      <x:c r="D17" s="57" t="str">
        <x:v>Referral</x:v>
      </x:c>
      <x:c r="E17" s="58" t="n">
        <x:v>64</x:v>
      </x:c>
      <x:c r="F17" s="63" t="n">
        <x:v>26656</x:v>
      </x:c>
      <x:c r="G17" s="58" t="n">
        <x:v>8</x:v>
      </x:c>
      <x:c r="H17" s="58" t="n">
        <x:v>15</x:v>
      </x:c>
      <x:c r="I17" s="60" t="n">
        <x:v>0.93</x:v>
      </x:c>
    </x:row>
    <x:row r="18">
      <x:c r="A18" s="94" t="n">
        <x:v>46023.5</x:v>
      </x:c>
      <x:c r="B18" s="57" t="str">
        <x:v>Therapy</x:v>
      </x:c>
      <x:c r="C18" s="57" t="str">
        <x:v>Medicaid</x:v>
      </x:c>
      <x:c r="D18" s="57" t="str">
        <x:v>Scheduled</x:v>
      </x:c>
      <x:c r="E18" s="58" t="n">
        <x:v>32</x:v>
      </x:c>
      <x:c r="F18" s="63" t="n">
        <x:v>11968</x:v>
      </x:c>
      <x:c r="G18" s="58" t="n">
        <x:v>4</x:v>
      </x:c>
      <x:c r="H18" s="58" t="n">
        <x:v>15</x:v>
      </x:c>
      <x:c r="I18" s="60" t="n">
        <x:v>0.93</x:v>
      </x:c>
    </x:row>
    <x:row r="19">
      <x:c r="A19" s="94" t="n">
        <x:v>46054.5</x:v>
      </x:c>
      <x:c r="B19" s="57" t="str">
        <x:v>Urgent Care</x:v>
      </x:c>
      <x:c r="C19" s="57" t="str">
        <x:v>Private</x:v>
      </x:c>
      <x:c r="D19" s="57" t="str">
        <x:v>Walk-in</x:v>
      </x:c>
      <x:c r="E19" s="58" t="n">
        <x:v>198</x:v>
      </x:c>
      <x:c r="F19" s="63" t="n">
        <x:v>108088</x:v>
      </x:c>
      <x:c r="G19" s="58" t="n">
        <x:v>13</x:v>
      </x:c>
      <x:c r="H19" s="58" t="n">
        <x:v>37</x:v>
      </x:c>
      <x:c r="I19" s="60" t="n">
        <x:v>0.836</x:v>
      </x:c>
    </x:row>
    <x:row r="20">
      <x:c r="A20" s="94" t="n">
        <x:v>46054.5</x:v>
      </x:c>
      <x:c r="B20" s="57" t="str">
        <x:v>Urgent Care</x:v>
      </x:c>
      <x:c r="C20" s="57" t="str">
        <x:v>Medicare</x:v>
      </x:c>
      <x:c r="D20" s="57" t="str">
        <x:v>Referral</x:v>
      </x:c>
      <x:c r="E20" s="58" t="n">
        <x:v>137</x:v>
      </x:c>
      <x:c r="F20" s="63" t="n">
        <x:v>69144</x:v>
      </x:c>
      <x:c r="G20" s="58" t="n">
        <x:v>9</x:v>
      </x:c>
      <x:c r="H20" s="58" t="n">
        <x:v>36</x:v>
      </x:c>
      <x:c r="I20" s="60" t="n">
        <x:v>0.84</x:v>
      </x:c>
    </x:row>
    <x:row r="21">
      <x:c r="A21" s="94" t="n">
        <x:v>46054.5</x:v>
      </x:c>
      <x:c r="B21" s="57" t="str">
        <x:v>Urgent Care</x:v>
      </x:c>
      <x:c r="C21" s="57" t="str">
        <x:v>Medicaid</x:v>
      </x:c>
      <x:c r="D21" s="57" t="str">
        <x:v>Scheduled</x:v>
      </x:c>
      <x:c r="E21" s="58" t="n">
        <x:v>69</x:v>
      </x:c>
      <x:c r="F21" s="63" t="n">
        <x:v>31271</x:v>
      </x:c>
      <x:c r="G21" s="58" t="n">
        <x:v>5</x:v>
      </x:c>
      <x:c r="H21" s="58" t="n">
        <x:v>36</x:v>
      </x:c>
      <x:c r="I21" s="60" t="n">
        <x:v>0.84</x:v>
      </x:c>
    </x:row>
    <x:row r="22">
      <x:c r="A22" s="94" t="n">
        <x:v>46054.5</x:v>
      </x:c>
      <x:c r="B22" s="57" t="str">
        <x:v>Imaging</x:v>
      </x:c>
      <x:c r="C22" s="57" t="str">
        <x:v>Private</x:v>
      </x:c>
      <x:c r="D22" s="57" t="str">
        <x:v>Referral</x:v>
      </x:c>
      <x:c r="E22" s="58" t="n">
        <x:v>112</x:v>
      </x:c>
      <x:c r="F22" s="63" t="n">
        <x:v>84291</x:v>
      </x:c>
      <x:c r="G22" s="58" t="n">
        <x:v>4</x:v>
      </x:c>
      <x:c r="H22" s="58" t="n">
        <x:v>25</x:v>
      </x:c>
      <x:c r="I22" s="60" t="n">
        <x:v>0.906</x:v>
      </x:c>
    </x:row>
    <x:row r="23">
      <x:c r="A23" s="94" t="n">
        <x:v>46054.5</x:v>
      </x:c>
      <x:c r="B23" s="57" t="str">
        <x:v>Imaging</x:v>
      </x:c>
      <x:c r="C23" s="57" t="str">
        <x:v>Medicare</x:v>
      </x:c>
      <x:c r="D23" s="57" t="str">
        <x:v>Scheduled</x:v>
      </x:c>
      <x:c r="E23" s="58" t="n">
        <x:v>78</x:v>
      </x:c>
      <x:c r="F23" s="63" t="n">
        <x:v>54272</x:v>
      </x:c>
      <x:c r="G23" s="58" t="n">
        <x:v>3</x:v>
      </x:c>
      <x:c r="H23" s="58" t="n">
        <x:v>24</x:v>
      </x:c>
      <x:c r="I23" s="60" t="n">
        <x:v>0.91</x:v>
      </x:c>
    </x:row>
    <x:row r="24">
      <x:c r="A24" s="94" t="n">
        <x:v>46054.5</x:v>
      </x:c>
      <x:c r="B24" s="57" t="str">
        <x:v>Imaging</x:v>
      </x:c>
      <x:c r="C24" s="57" t="str">
        <x:v>Medicaid</x:v>
      </x:c>
      <x:c r="D24" s="57" t="str">
        <x:v>Walk-in</x:v>
      </x:c>
      <x:c r="E24" s="58" t="n">
        <x:v>39</x:v>
      </x:c>
      <x:c r="F24" s="63" t="n">
        <x:v>24367</x:v>
      </x:c>
      <x:c r="G24" s="58" t="n">
        <x:v>2</x:v>
      </x:c>
      <x:c r="H24" s="58" t="n">
        <x:v>24</x:v>
      </x:c>
      <x:c r="I24" s="60" t="n">
        <x:v>0.91</x:v>
      </x:c>
    </x:row>
    <x:row r="25">
      <x:c r="A25" s="94" t="n">
        <x:v>46054.5</x:v>
      </x:c>
      <x:c r="B25" s="57" t="str">
        <x:v>Lab</x:v>
      </x:c>
      <x:c r="C25" s="57" t="str">
        <x:v>Private</x:v>
      </x:c>
      <x:c r="D25" s="57" t="str">
        <x:v>Scheduled</x:v>
      </x:c>
      <x:c r="E25" s="58" t="n">
        <x:v>167</x:v>
      </x:c>
      <x:c r="F25" s="63" t="n">
        <x:v>33280</x:v>
      </x:c>
      <x:c r="G25" s="58" t="n">
        <x:v>9</x:v>
      </x:c>
      <x:c r="H25" s="58" t="n">
        <x:v>19</x:v>
      </x:c>
      <x:c r="I25" s="60" t="n">
        <x:v>0.886</x:v>
      </x:c>
    </x:row>
    <x:row r="26">
      <x:c r="A26" s="94" t="n">
        <x:v>46054.5</x:v>
      </x:c>
      <x:c r="B26" s="57" t="str">
        <x:v>Lab</x:v>
      </x:c>
      <x:c r="C26" s="57" t="str">
        <x:v>Medicare</x:v>
      </x:c>
      <x:c r="D26" s="57" t="str">
        <x:v>Walk-in</x:v>
      </x:c>
      <x:c r="E26" s="58" t="n">
        <x:v>116</x:v>
      </x:c>
      <x:c r="F26" s="63" t="n">
        <x:v>21372</x:v>
      </x:c>
      <x:c r="G26" s="58" t="n">
        <x:v>6</x:v>
      </x:c>
      <x:c r="H26" s="58" t="n">
        <x:v>18</x:v>
      </x:c>
      <x:c r="I26" s="60" t="n">
        <x:v>0.89</x:v>
      </x:c>
    </x:row>
    <x:row r="27">
      <x:c r="A27" s="94" t="n">
        <x:v>46054.5</x:v>
      </x:c>
      <x:c r="B27" s="57" t="str">
        <x:v>Lab</x:v>
      </x:c>
      <x:c r="C27" s="57" t="str">
        <x:v>Medicaid</x:v>
      </x:c>
      <x:c r="D27" s="57" t="str">
        <x:v>Referral</x:v>
      </x:c>
      <x:c r="E27" s="58" t="n">
        <x:v>58</x:v>
      </x:c>
      <x:c r="F27" s="63" t="n">
        <x:v>9596</x:v>
      </x:c>
      <x:c r="G27" s="58" t="n">
        <x:v>4</x:v>
      </x:c>
      <x:c r="H27" s="58" t="n">
        <x:v>18</x:v>
      </x:c>
      <x:c r="I27" s="60" t="n">
        <x:v>0.89</x:v>
      </x:c>
    </x:row>
    <x:row r="28">
      <x:c r="A28" s="94" t="n">
        <x:v>46054.5</x:v>
      </x:c>
      <x:c r="B28" s="57" t="str">
        <x:v>Therapy</x:v>
      </x:c>
      <x:c r="C28" s="57" t="str">
        <x:v>Private</x:v>
      </x:c>
      <x:c r="D28" s="57" t="str">
        <x:v>Walk-in</x:v>
      </x:c>
      <x:c r="E28" s="58" t="n">
        <x:v>96</x:v>
      </x:c>
      <x:c r="F28" s="63" t="n">
        <x:v>43248</x:v>
      </x:c>
      <x:c r="G28" s="58" t="n">
        <x:v>11</x:v>
      </x:c>
      <x:c r="H28" s="58" t="n">
        <x:v>16</x:v>
      </x:c>
      <x:c r="I28" s="60" t="n">
        <x:v>0.926</x:v>
      </x:c>
    </x:row>
    <x:row r="29">
      <x:c r="A29" s="94" t="n">
        <x:v>46054.5</x:v>
      </x:c>
      <x:c r="B29" s="57" t="str">
        <x:v>Therapy</x:v>
      </x:c>
      <x:c r="C29" s="57" t="str">
        <x:v>Medicare</x:v>
      </x:c>
      <x:c r="D29" s="57" t="str">
        <x:v>Referral</x:v>
      </x:c>
      <x:c r="E29" s="58" t="n">
        <x:v>67</x:v>
      </x:c>
      <x:c r="F29" s="63" t="n">
        <x:v>27906</x:v>
      </x:c>
      <x:c r="G29" s="58" t="n">
        <x:v>8</x:v>
      </x:c>
      <x:c r="H29" s="58" t="n">
        <x:v>15</x:v>
      </x:c>
      <x:c r="I29" s="60" t="n">
        <x:v>0.93</x:v>
      </x:c>
    </x:row>
    <x:row r="30">
      <x:c r="A30" s="94" t="n">
        <x:v>46054.5</x:v>
      </x:c>
      <x:c r="B30" s="57" t="str">
        <x:v>Therapy</x:v>
      </x:c>
      <x:c r="C30" s="57" t="str">
        <x:v>Medicaid</x:v>
      </x:c>
      <x:c r="D30" s="57" t="str">
        <x:v>Scheduled</x:v>
      </x:c>
      <x:c r="E30" s="58" t="n">
        <x:v>33</x:v>
      </x:c>
      <x:c r="F30" s="63" t="n">
        <x:v>12342</x:v>
      </x:c>
      <x:c r="G30" s="58" t="n">
        <x:v>4</x:v>
      </x:c>
      <x:c r="H30" s="58" t="n">
        <x:v>15</x:v>
      </x:c>
      <x:c r="I30" s="60" t="n">
        <x:v>0.93</x:v>
      </x:c>
    </x:row>
    <x:row r="31">
      <x:c r="A31" s="94" t="n">
        <x:v>46082.5</x:v>
      </x:c>
      <x:c r="B31" s="57" t="str">
        <x:v>Urgent Care</x:v>
      </x:c>
      <x:c r="C31" s="57" t="str">
        <x:v>Private</x:v>
      </x:c>
      <x:c r="D31" s="57" t="str">
        <x:v>Walk-in</x:v>
      </x:c>
      <x:c r="E31" s="58" t="n">
        <x:v>210</x:v>
      </x:c>
      <x:c r="F31" s="63" t="n">
        <x:v>114639</x:v>
      </x:c>
      <x:c r="G31" s="58" t="n">
        <x:v>14</x:v>
      </x:c>
      <x:c r="H31" s="58" t="n">
        <x:v>37</x:v>
      </x:c>
      <x:c r="I31" s="60" t="n">
        <x:v>0.836</x:v>
      </x:c>
    </x:row>
    <x:row r="32">
      <x:c r="A32" s="94" t="n">
        <x:v>46082.5</x:v>
      </x:c>
      <x:c r="B32" s="57" t="str">
        <x:v>Urgent Care</x:v>
      </x:c>
      <x:c r="C32" s="57" t="str">
        <x:v>Medicare</x:v>
      </x:c>
      <x:c r="D32" s="57" t="str">
        <x:v>Referral</x:v>
      </x:c>
      <x:c r="E32" s="58" t="n">
        <x:v>146</x:v>
      </x:c>
      <x:c r="F32" s="63" t="n">
        <x:v>73686</x:v>
      </x:c>
      <x:c r="G32" s="58" t="n">
        <x:v>10</x:v>
      </x:c>
      <x:c r="H32" s="58" t="n">
        <x:v>36</x:v>
      </x:c>
      <x:c r="I32" s="60" t="n">
        <x:v>0.84</x:v>
      </x:c>
    </x:row>
    <x:row r="33">
      <x:c r="A33" s="94" t="n">
        <x:v>46082.5</x:v>
      </x:c>
      <x:c r="B33" s="57" t="str">
        <x:v>Urgent Care</x:v>
      </x:c>
      <x:c r="C33" s="57" t="str">
        <x:v>Medicaid</x:v>
      </x:c>
      <x:c r="D33" s="57" t="str">
        <x:v>Scheduled</x:v>
      </x:c>
      <x:c r="E33" s="58" t="n">
        <x:v>73</x:v>
      </x:c>
      <x:c r="F33" s="63" t="n">
        <x:v>33084</x:v>
      </x:c>
      <x:c r="G33" s="58" t="n">
        <x:v>6</x:v>
      </x:c>
      <x:c r="H33" s="58" t="n">
        <x:v>36</x:v>
      </x:c>
      <x:c r="I33" s="60" t="n">
        <x:v>0.84</x:v>
      </x:c>
    </x:row>
    <x:row r="34">
      <x:c r="A34" s="94" t="n">
        <x:v>46082.5</x:v>
      </x:c>
      <x:c r="B34" s="57" t="str">
        <x:v>Imaging</x:v>
      </x:c>
      <x:c r="C34" s="57" t="str">
        <x:v>Private</x:v>
      </x:c>
      <x:c r="D34" s="57" t="str">
        <x:v>Referral</x:v>
      </x:c>
      <x:c r="E34" s="58" t="n">
        <x:v>119</x:v>
      </x:c>
      <x:c r="F34" s="63" t="n">
        <x:v>89559</x:v>
      </x:c>
      <x:c r="G34" s="58" t="n">
        <x:v>5</x:v>
      </x:c>
      <x:c r="H34" s="58" t="n">
        <x:v>25</x:v>
      </x:c>
      <x:c r="I34" s="60" t="n">
        <x:v>0.906</x:v>
      </x:c>
    </x:row>
    <x:row r="35">
      <x:c r="A35" s="94" t="n">
        <x:v>46082.5</x:v>
      </x:c>
      <x:c r="B35" s="57" t="str">
        <x:v>Imaging</x:v>
      </x:c>
      <x:c r="C35" s="57" t="str">
        <x:v>Medicare</x:v>
      </x:c>
      <x:c r="D35" s="57" t="str">
        <x:v>Scheduled</x:v>
      </x:c>
      <x:c r="E35" s="58" t="n">
        <x:v>83</x:v>
      </x:c>
      <x:c r="F35" s="63" t="n">
        <x:v>57751</x:v>
      </x:c>
      <x:c r="G35" s="58" t="n">
        <x:v>4</x:v>
      </x:c>
      <x:c r="H35" s="58" t="n">
        <x:v>24</x:v>
      </x:c>
      <x:c r="I35" s="60" t="n">
        <x:v>0.91</x:v>
      </x:c>
    </x:row>
    <x:row r="36">
      <x:c r="A36" s="94" t="n">
        <x:v>46082.5</x:v>
      </x:c>
      <x:c r="B36" s="57" t="str">
        <x:v>Imaging</x:v>
      </x:c>
      <x:c r="C36" s="57" t="str">
        <x:v>Medicaid</x:v>
      </x:c>
      <x:c r="D36" s="57" t="str">
        <x:v>Walk-in</x:v>
      </x:c>
      <x:c r="E36" s="58" t="n">
        <x:v>41</x:v>
      </x:c>
      <x:c r="F36" s="63" t="n">
        <x:v>25617</x:v>
      </x:c>
      <x:c r="G36" s="58" t="n">
        <x:v>2</x:v>
      </x:c>
      <x:c r="H36" s="58" t="n">
        <x:v>24</x:v>
      </x:c>
      <x:c r="I36" s="60" t="n">
        <x:v>0.91</x:v>
      </x:c>
    </x:row>
    <x:row r="37">
      <x:c r="A37" s="94" t="n">
        <x:v>46082.5</x:v>
      </x:c>
      <x:c r="B37" s="57" t="str">
        <x:v>Lab</x:v>
      </x:c>
      <x:c r="C37" s="57" t="str">
        <x:v>Private</x:v>
      </x:c>
      <x:c r="D37" s="57" t="str">
        <x:v>Scheduled</x:v>
      </x:c>
      <x:c r="E37" s="58" t="n">
        <x:v>178</x:v>
      </x:c>
      <x:c r="F37" s="63" t="n">
        <x:v>35472</x:v>
      </x:c>
      <x:c r="G37" s="58" t="n">
        <x:v>9</x:v>
      </x:c>
      <x:c r="H37" s="58" t="n">
        <x:v>19</x:v>
      </x:c>
      <x:c r="I37" s="60" t="n">
        <x:v>0.886</x:v>
      </x:c>
    </x:row>
    <x:row r="38">
      <x:c r="A38" s="94" t="n">
        <x:v>46082.5</x:v>
      </x:c>
      <x:c r="B38" s="57" t="str">
        <x:v>Lab</x:v>
      </x:c>
      <x:c r="C38" s="57" t="str">
        <x:v>Medicare</x:v>
      </x:c>
      <x:c r="D38" s="57" t="str">
        <x:v>Walk-in</x:v>
      </x:c>
      <x:c r="E38" s="58" t="n">
        <x:v>123</x:v>
      </x:c>
      <x:c r="F38" s="63" t="n">
        <x:v>22662</x:v>
      </x:c>
      <x:c r="G38" s="58" t="n">
        <x:v>7</x:v>
      </x:c>
      <x:c r="H38" s="58" t="n">
        <x:v>18</x:v>
      </x:c>
      <x:c r="I38" s="60" t="n">
        <x:v>0.89</x:v>
      </x:c>
    </x:row>
    <x:row r="39">
      <x:c r="A39" s="94" t="n">
        <x:v>46082.5</x:v>
      </x:c>
      <x:c r="B39" s="57" t="str">
        <x:v>Lab</x:v>
      </x:c>
      <x:c r="C39" s="57" t="str">
        <x:v>Medicaid</x:v>
      </x:c>
      <x:c r="D39" s="57" t="str">
        <x:v>Referral</x:v>
      </x:c>
      <x:c r="E39" s="58" t="n">
        <x:v>62</x:v>
      </x:c>
      <x:c r="F39" s="63" t="n">
        <x:v>10257</x:v>
      </x:c>
      <x:c r="G39" s="58" t="n">
        <x:v>4</x:v>
      </x:c>
      <x:c r="H39" s="58" t="n">
        <x:v>18</x:v>
      </x:c>
      <x:c r="I39" s="60" t="n">
        <x:v>0.89</x:v>
      </x:c>
    </x:row>
    <x:row r="40">
      <x:c r="A40" s="94" t="n">
        <x:v>46082.5</x:v>
      </x:c>
      <x:c r="B40" s="57" t="str">
        <x:v>Therapy</x:v>
      </x:c>
      <x:c r="C40" s="57" t="str">
        <x:v>Private</x:v>
      </x:c>
      <x:c r="D40" s="57" t="str">
        <x:v>Walk-in</x:v>
      </x:c>
      <x:c r="E40" s="58" t="n">
        <x:v>102</x:v>
      </x:c>
      <x:c r="F40" s="63" t="n">
        <x:v>45951</x:v>
      </x:c>
      <x:c r="G40" s="58" t="n">
        <x:v>12</x:v>
      </x:c>
      <x:c r="H40" s="58" t="n">
        <x:v>16</x:v>
      </x:c>
      <x:c r="I40" s="60" t="n">
        <x:v>0.926</x:v>
      </x:c>
    </x:row>
    <x:row r="41">
      <x:c r="A41" s="94" t="n">
        <x:v>46082.5</x:v>
      </x:c>
      <x:c r="B41" s="57" t="str">
        <x:v>Therapy</x:v>
      </x:c>
      <x:c r="C41" s="57" t="str">
        <x:v>Medicare</x:v>
      </x:c>
      <x:c r="D41" s="57" t="str">
        <x:v>Referral</x:v>
      </x:c>
      <x:c r="E41" s="58" t="n">
        <x:v>71</x:v>
      </x:c>
      <x:c r="F41" s="63" t="n">
        <x:v>29572</x:v>
      </x:c>
      <x:c r="G41" s="58" t="n">
        <x:v>8</x:v>
      </x:c>
      <x:c r="H41" s="58" t="n">
        <x:v>15</x:v>
      </x:c>
      <x:c r="I41" s="60" t="n">
        <x:v>0.93</x:v>
      </x:c>
    </x:row>
    <x:row r="42">
      <x:c r="A42" s="94" t="n">
        <x:v>46082.5</x:v>
      </x:c>
      <x:c r="B42" s="57" t="str">
        <x:v>Therapy</x:v>
      </x:c>
      <x:c r="C42" s="57" t="str">
        <x:v>Medicaid</x:v>
      </x:c>
      <x:c r="D42" s="57" t="str">
        <x:v>Scheduled</x:v>
      </x:c>
      <x:c r="E42" s="58" t="n">
        <x:v>35</x:v>
      </x:c>
      <x:c r="F42" s="63" t="n">
        <x:v>13090</x:v>
      </x:c>
      <x:c r="G42" s="58" t="n">
        <x:v>4</x:v>
      </x:c>
      <x:c r="H42" s="58" t="n">
        <x:v>15</x:v>
      </x:c>
      <x:c r="I42" s="60" t="n">
        <x:v>0.93</x:v>
      </x:c>
    </x:row>
    <x:row r="43">
      <x:c r="A43" s="94" t="n">
        <x:v>46113.5</x:v>
      </x:c>
      <x:c r="B43" s="57" t="str">
        <x:v>Urgent Care</x:v>
      </x:c>
      <x:c r="C43" s="57" t="str">
        <x:v>Private</x:v>
      </x:c>
      <x:c r="D43" s="57" t="str">
        <x:v>Walk-in</x:v>
      </x:c>
      <x:c r="E43" s="58" t="n">
        <x:v>222</x:v>
      </x:c>
      <x:c r="F43" s="63" t="n">
        <x:v>121190</x:v>
      </x:c>
      <x:c r="G43" s="58" t="n">
        <x:v>14</x:v>
      </x:c>
      <x:c r="H43" s="58" t="n">
        <x:v>40</x:v>
      </x:c>
      <x:c r="I43" s="60" t="n">
        <x:v>0.824</x:v>
      </x:c>
    </x:row>
    <x:row r="44">
      <x:c r="A44" s="94" t="n">
        <x:v>46113.5</x:v>
      </x:c>
      <x:c r="B44" s="57" t="str">
        <x:v>Urgent Care</x:v>
      </x:c>
      <x:c r="C44" s="57" t="str">
        <x:v>Medicare</x:v>
      </x:c>
      <x:c r="D44" s="57" t="str">
        <x:v>Referral</x:v>
      </x:c>
      <x:c r="E44" s="58" t="n">
        <x:v>154</x:v>
      </x:c>
      <x:c r="F44" s="63" t="n">
        <x:v>77724</x:v>
      </x:c>
      <x:c r="G44" s="58" t="n">
        <x:v>11</x:v>
      </x:c>
      <x:c r="H44" s="58" t="n">
        <x:v>39</x:v>
      </x:c>
      <x:c r="I44" s="60" t="n">
        <x:v>0.828</x:v>
      </x:c>
    </x:row>
    <x:row r="45">
      <x:c r="A45" s="94" t="n">
        <x:v>46113.5</x:v>
      </x:c>
      <x:c r="B45" s="57" t="str">
        <x:v>Urgent Care</x:v>
      </x:c>
      <x:c r="C45" s="57" t="str">
        <x:v>Medicaid</x:v>
      </x:c>
      <x:c r="D45" s="57" t="str">
        <x:v>Scheduled</x:v>
      </x:c>
      <x:c r="E45" s="58" t="n">
        <x:v>77</x:v>
      </x:c>
      <x:c r="F45" s="63" t="n">
        <x:v>34896</x:v>
      </x:c>
      <x:c r="G45" s="58" t="n">
        <x:v>6</x:v>
      </x:c>
      <x:c r="H45" s="58" t="n">
        <x:v>39</x:v>
      </x:c>
      <x:c r="I45" s="60" t="n">
        <x:v>0.828</x:v>
      </x:c>
    </x:row>
    <x:row r="46">
      <x:c r="A46" s="94" t="n">
        <x:v>46113.5</x:v>
      </x:c>
      <x:c r="B46" s="57" t="str">
        <x:v>Imaging</x:v>
      </x:c>
      <x:c r="C46" s="57" t="str">
        <x:v>Private</x:v>
      </x:c>
      <x:c r="D46" s="57" t="str">
        <x:v>Referral</x:v>
      </x:c>
      <x:c r="E46" s="58" t="n">
        <x:v>126</x:v>
      </x:c>
      <x:c r="F46" s="63" t="n">
        <x:v>94828</x:v>
      </x:c>
      <x:c r="G46" s="58" t="n">
        <x:v>5</x:v>
      </x:c>
      <x:c r="H46" s="58" t="n">
        <x:v>28</x:v>
      </x:c>
      <x:c r="I46" s="60" t="n">
        <x:v>0.894</x:v>
      </x:c>
    </x:row>
    <x:row r="47">
      <x:c r="A47" s="94" t="n">
        <x:v>46113.5</x:v>
      </x:c>
      <x:c r="B47" s="57" t="str">
        <x:v>Imaging</x:v>
      </x:c>
      <x:c r="C47" s="57" t="str">
        <x:v>Medicare</x:v>
      </x:c>
      <x:c r="D47" s="57" t="str">
        <x:v>Scheduled</x:v>
      </x:c>
      <x:c r="E47" s="58" t="n">
        <x:v>87</x:v>
      </x:c>
      <x:c r="F47" s="63" t="n">
        <x:v>60535</x:v>
      </x:c>
      <x:c r="G47" s="58" t="n">
        <x:v>4</x:v>
      </x:c>
      <x:c r="H47" s="58" t="n">
        <x:v>27</x:v>
      </x:c>
      <x:c r="I47" s="60" t="n">
        <x:v>0.898</x:v>
      </x:c>
    </x:row>
    <x:row r="48">
      <x:c r="A48" s="94" t="n">
        <x:v>46113.5</x:v>
      </x:c>
      <x:c r="B48" s="57" t="str">
        <x:v>Imaging</x:v>
      </x:c>
      <x:c r="C48" s="57" t="str">
        <x:v>Medicaid</x:v>
      </x:c>
      <x:c r="D48" s="57" t="str">
        <x:v>Walk-in</x:v>
      </x:c>
      <x:c r="E48" s="58" t="n">
        <x:v>44</x:v>
      </x:c>
      <x:c r="F48" s="63" t="n">
        <x:v>27491</x:v>
      </x:c>
      <x:c r="G48" s="58" t="n">
        <x:v>2</x:v>
      </x:c>
      <x:c r="H48" s="58" t="n">
        <x:v>27</x:v>
      </x:c>
      <x:c r="I48" s="60" t="n">
        <x:v>0.898</x:v>
      </x:c>
    </x:row>
    <x:row r="49">
      <x:c r="A49" s="94" t="n">
        <x:v>46113.5</x:v>
      </x:c>
      <x:c r="B49" s="57" t="str">
        <x:v>Lab</x:v>
      </x:c>
      <x:c r="C49" s="57" t="str">
        <x:v>Private</x:v>
      </x:c>
      <x:c r="D49" s="57" t="str">
        <x:v>Scheduled</x:v>
      </x:c>
      <x:c r="E49" s="58" t="n">
        <x:v>188</x:v>
      </x:c>
      <x:c r="F49" s="63" t="n">
        <x:v>37465</x:v>
      </x:c>
      <x:c r="G49" s="58" t="n">
        <x:v>10</x:v>
      </x:c>
      <x:c r="H49" s="58" t="n">
        <x:v>22</x:v>
      </x:c>
      <x:c r="I49" s="60" t="n">
        <x:v>0.874</x:v>
      </x:c>
    </x:row>
    <x:row r="50">
      <x:c r="A50" s="94" t="n">
        <x:v>46113.5</x:v>
      </x:c>
      <x:c r="B50" s="57" t="str">
        <x:v>Lab</x:v>
      </x:c>
      <x:c r="C50" s="57" t="str">
        <x:v>Medicare</x:v>
      </x:c>
      <x:c r="D50" s="57" t="str">
        <x:v>Walk-in</x:v>
      </x:c>
      <x:c r="E50" s="58" t="n">
        <x:v>131</x:v>
      </x:c>
      <x:c r="F50" s="63" t="n">
        <x:v>24135</x:v>
      </x:c>
      <x:c r="G50" s="58" t="n">
        <x:v>7</x:v>
      </x:c>
      <x:c r="H50" s="58" t="n">
        <x:v>21</x:v>
      </x:c>
      <x:c r="I50" s="60" t="n">
        <x:v>0.878</x:v>
      </x:c>
    </x:row>
    <x:row r="51">
      <x:c r="A51" s="94" t="n">
        <x:v>46113.5</x:v>
      </x:c>
      <x:c r="B51" s="57" t="str">
        <x:v>Lab</x:v>
      </x:c>
      <x:c r="C51" s="57" t="str">
        <x:v>Medicaid</x:v>
      </x:c>
      <x:c r="D51" s="57" t="str">
        <x:v>Referral</x:v>
      </x:c>
      <x:c r="E51" s="58" t="n">
        <x:v>65</x:v>
      </x:c>
      <x:c r="F51" s="63" t="n">
        <x:v>10754</x:v>
      </x:c>
      <x:c r="G51" s="58" t="n">
        <x:v>4</x:v>
      </x:c>
      <x:c r="H51" s="58" t="n">
        <x:v>21</x:v>
      </x:c>
      <x:c r="I51" s="60" t="n">
        <x:v>0.878</x:v>
      </x:c>
    </x:row>
    <x:row r="52">
      <x:c r="A52" s="94" t="n">
        <x:v>46113.5</x:v>
      </x:c>
      <x:c r="B52" s="57" t="str">
        <x:v>Therapy</x:v>
      </x:c>
      <x:c r="C52" s="57" t="str">
        <x:v>Private</x:v>
      </x:c>
      <x:c r="D52" s="57" t="str">
        <x:v>Walk-in</x:v>
      </x:c>
      <x:c r="E52" s="58" t="n">
        <x:v>108</x:v>
      </x:c>
      <x:c r="F52" s="63" t="n">
        <x:v>48654</x:v>
      </x:c>
      <x:c r="G52" s="58" t="n">
        <x:v>12</x:v>
      </x:c>
      <x:c r="H52" s="58" t="n">
        <x:v>19</x:v>
      </x:c>
      <x:c r="I52" s="60" t="n">
        <x:v>0.914</x:v>
      </x:c>
    </x:row>
    <x:row r="53">
      <x:c r="A53" s="94" t="n">
        <x:v>46113.5</x:v>
      </x:c>
      <x:c r="B53" s="57" t="str">
        <x:v>Therapy</x:v>
      </x:c>
      <x:c r="C53" s="57" t="str">
        <x:v>Medicare</x:v>
      </x:c>
      <x:c r="D53" s="57" t="str">
        <x:v>Referral</x:v>
      </x:c>
      <x:c r="E53" s="58" t="n">
        <x:v>75</x:v>
      </x:c>
      <x:c r="F53" s="63" t="n">
        <x:v>31238</x:v>
      </x:c>
      <x:c r="G53" s="58" t="n">
        <x:v>9</x:v>
      </x:c>
      <x:c r="H53" s="58" t="n">
        <x:v>18</x:v>
      </x:c>
      <x:c r="I53" s="60" t="n">
        <x:v>0.918</x:v>
      </x:c>
    </x:row>
    <x:row r="54">
      <x:c r="A54" s="94" t="n">
        <x:v>46113.5</x:v>
      </x:c>
      <x:c r="B54" s="57" t="str">
        <x:v>Therapy</x:v>
      </x:c>
      <x:c r="C54" s="57" t="str">
        <x:v>Medicaid</x:v>
      </x:c>
      <x:c r="D54" s="57" t="str">
        <x:v>Scheduled</x:v>
      </x:c>
      <x:c r="E54" s="58" t="n">
        <x:v>37</x:v>
      </x:c>
      <x:c r="F54" s="63" t="n">
        <x:v>13838</x:v>
      </x:c>
      <x:c r="G54" s="58" t="n">
        <x:v>5</x:v>
      </x:c>
      <x:c r="H54" s="58" t="n">
        <x:v>18</x:v>
      </x:c>
      <x:c r="I54" s="60" t="n">
        <x:v>0.918</x:v>
      </x:c>
    </x:row>
    <x:row r="55">
      <x:c r="A55" s="94" t="n">
        <x:v>46143.5</x:v>
      </x:c>
      <x:c r="B55" s="57" t="str">
        <x:v>Urgent Care</x:v>
      </x:c>
      <x:c r="C55" s="57" t="str">
        <x:v>Private</x:v>
      </x:c>
      <x:c r="D55" s="57" t="str">
        <x:v>Walk-in</x:v>
      </x:c>
      <x:c r="E55" s="58" t="n">
        <x:v>230</x:v>
      </x:c>
      <x:c r="F55" s="63" t="n">
        <x:v>125557</x:v>
      </x:c>
      <x:c r="G55" s="58" t="n">
        <x:v>15</x:v>
      </x:c>
      <x:c r="H55" s="58" t="n">
        <x:v>40</x:v>
      </x:c>
      <x:c r="I55" s="60" t="n">
        <x:v>0.824</x:v>
      </x:c>
    </x:row>
    <x:row r="56">
      <x:c r="A56" s="94" t="n">
        <x:v>46143.5</x:v>
      </x:c>
      <x:c r="B56" s="57" t="str">
        <x:v>Urgent Care</x:v>
      </x:c>
      <x:c r="C56" s="57" t="str">
        <x:v>Medicare</x:v>
      </x:c>
      <x:c r="D56" s="57" t="str">
        <x:v>Referral</x:v>
      </x:c>
      <x:c r="E56" s="58" t="n">
        <x:v>160</x:v>
      </x:c>
      <x:c r="F56" s="63" t="n">
        <x:v>80752</x:v>
      </x:c>
      <x:c r="G56" s="58" t="n">
        <x:v>11</x:v>
      </x:c>
      <x:c r="H56" s="58" t="n">
        <x:v>39</x:v>
      </x:c>
      <x:c r="I56" s="60" t="n">
        <x:v>0.828</x:v>
      </x:c>
    </x:row>
    <x:row r="57">
      <x:c r="A57" s="94" t="n">
        <x:v>46143.5</x:v>
      </x:c>
      <x:c r="B57" s="57" t="str">
        <x:v>Urgent Care</x:v>
      </x:c>
      <x:c r="C57" s="57" t="str">
        <x:v>Medicaid</x:v>
      </x:c>
      <x:c r="D57" s="57" t="str">
        <x:v>Scheduled</x:v>
      </x:c>
      <x:c r="E57" s="58" t="n">
        <x:v>80</x:v>
      </x:c>
      <x:c r="F57" s="63" t="n">
        <x:v>36256</x:v>
      </x:c>
      <x:c r="G57" s="58" t="n">
        <x:v>6</x:v>
      </x:c>
      <x:c r="H57" s="58" t="n">
        <x:v>39</x:v>
      </x:c>
      <x:c r="I57" s="60" t="n">
        <x:v>0.828</x:v>
      </x:c>
    </x:row>
    <x:row r="58">
      <x:c r="A58" s="94" t="n">
        <x:v>46143.5</x:v>
      </x:c>
      <x:c r="B58" s="57" t="str">
        <x:v>Imaging</x:v>
      </x:c>
      <x:c r="C58" s="57" t="str">
        <x:v>Private</x:v>
      </x:c>
      <x:c r="D58" s="57" t="str">
        <x:v>Referral</x:v>
      </x:c>
      <x:c r="E58" s="58" t="n">
        <x:v>131</x:v>
      </x:c>
      <x:c r="F58" s="63" t="n">
        <x:v>98591</x:v>
      </x:c>
      <x:c r="G58" s="58" t="n">
        <x:v>5</x:v>
      </x:c>
      <x:c r="H58" s="58" t="n">
        <x:v>28</x:v>
      </x:c>
      <x:c r="I58" s="60" t="n">
        <x:v>0.894</x:v>
      </x:c>
    </x:row>
    <x:row r="59">
      <x:c r="A59" s="94" t="n">
        <x:v>46143.5</x:v>
      </x:c>
      <x:c r="B59" s="57" t="str">
        <x:v>Imaging</x:v>
      </x:c>
      <x:c r="C59" s="57" t="str">
        <x:v>Medicare</x:v>
      </x:c>
      <x:c r="D59" s="57" t="str">
        <x:v>Scheduled</x:v>
      </x:c>
      <x:c r="E59" s="58" t="n">
        <x:v>91</x:v>
      </x:c>
      <x:c r="F59" s="63" t="n">
        <x:v>63318</x:v>
      </x:c>
      <x:c r="G59" s="58" t="n">
        <x:v>4</x:v>
      </x:c>
      <x:c r="H59" s="58" t="n">
        <x:v>27</x:v>
      </x:c>
      <x:c r="I59" s="60" t="n">
        <x:v>0.898</x:v>
      </x:c>
    </x:row>
    <x:row r="60">
      <x:c r="A60" s="94" t="n">
        <x:v>46143.5</x:v>
      </x:c>
      <x:c r="B60" s="57" t="str">
        <x:v>Imaging</x:v>
      </x:c>
      <x:c r="C60" s="57" t="str">
        <x:v>Medicaid</x:v>
      </x:c>
      <x:c r="D60" s="57" t="str">
        <x:v>Walk-in</x:v>
      </x:c>
      <x:c r="E60" s="58" t="n">
        <x:v>45</x:v>
      </x:c>
      <x:c r="F60" s="63" t="n">
        <x:v>28116</x:v>
      </x:c>
      <x:c r="G60" s="58" t="n">
        <x:v>2</x:v>
      </x:c>
      <x:c r="H60" s="58" t="n">
        <x:v>27</x:v>
      </x:c>
      <x:c r="I60" s="60" t="n">
        <x:v>0.898</x:v>
      </x:c>
    </x:row>
    <x:row r="61">
      <x:c r="A61" s="94" t="n">
        <x:v>46143.5</x:v>
      </x:c>
      <x:c r="B61" s="57" t="str">
        <x:v>Lab</x:v>
      </x:c>
      <x:c r="C61" s="57" t="str">
        <x:v>Private</x:v>
      </x:c>
      <x:c r="D61" s="57" t="str">
        <x:v>Scheduled</x:v>
      </x:c>
      <x:c r="E61" s="58" t="n">
        <x:v>195</x:v>
      </x:c>
      <x:c r="F61" s="63" t="n">
        <x:v>38860</x:v>
      </x:c>
      <x:c r="G61" s="58" t="n">
        <x:v>10</x:v>
      </x:c>
      <x:c r="H61" s="58" t="n">
        <x:v>22</x:v>
      </x:c>
      <x:c r="I61" s="60" t="n">
        <x:v>0.874</x:v>
      </x:c>
    </x:row>
    <x:row r="62">
      <x:c r="A62" s="94" t="n">
        <x:v>46143.5</x:v>
      </x:c>
      <x:c r="B62" s="57" t="str">
        <x:v>Lab</x:v>
      </x:c>
      <x:c r="C62" s="57" t="str">
        <x:v>Medicare</x:v>
      </x:c>
      <x:c r="D62" s="57" t="str">
        <x:v>Walk-in</x:v>
      </x:c>
      <x:c r="E62" s="58" t="n">
        <x:v>136</x:v>
      </x:c>
      <x:c r="F62" s="63" t="n">
        <x:v>25057</x:v>
      </x:c>
      <x:c r="G62" s="58" t="n">
        <x:v>8</x:v>
      </x:c>
      <x:c r="H62" s="58" t="n">
        <x:v>21</x:v>
      </x:c>
      <x:c r="I62" s="60" t="n">
        <x:v>0.878</x:v>
      </x:c>
    </x:row>
    <x:row r="63">
      <x:c r="A63" s="94" t="n">
        <x:v>46143.5</x:v>
      </x:c>
      <x:c r="B63" s="57" t="str">
        <x:v>Lab</x:v>
      </x:c>
      <x:c r="C63" s="57" t="str">
        <x:v>Medicaid</x:v>
      </x:c>
      <x:c r="D63" s="57" t="str">
        <x:v>Referral</x:v>
      </x:c>
      <x:c r="E63" s="58" t="n">
        <x:v>68</x:v>
      </x:c>
      <x:c r="F63" s="63" t="n">
        <x:v>11250</x:v>
      </x:c>
      <x:c r="G63" s="58" t="n">
        <x:v>4</x:v>
      </x:c>
      <x:c r="H63" s="58" t="n">
        <x:v>21</x:v>
      </x:c>
      <x:c r="I63" s="60" t="n">
        <x:v>0.878</x:v>
      </x:c>
    </x:row>
    <x:row r="64">
      <x:c r="A64" s="94" t="n">
        <x:v>46143.5</x:v>
      </x:c>
      <x:c r="B64" s="57" t="str">
        <x:v>Therapy</x:v>
      </x:c>
      <x:c r="C64" s="57" t="str">
        <x:v>Private</x:v>
      </x:c>
      <x:c r="D64" s="57" t="str">
        <x:v>Walk-in</x:v>
      </x:c>
      <x:c r="E64" s="58" t="n">
        <x:v>112</x:v>
      </x:c>
      <x:c r="F64" s="63" t="n">
        <x:v>50456</x:v>
      </x:c>
      <x:c r="G64" s="58" t="n">
        <x:v>13</x:v>
      </x:c>
      <x:c r="H64" s="58" t="n">
        <x:v>19</x:v>
      </x:c>
      <x:c r="I64" s="60" t="n">
        <x:v>0.914</x:v>
      </x:c>
    </x:row>
    <x:row r="65">
      <x:c r="A65" s="94" t="n">
        <x:v>46143.5</x:v>
      </x:c>
      <x:c r="B65" s="57" t="str">
        <x:v>Therapy</x:v>
      </x:c>
      <x:c r="C65" s="57" t="str">
        <x:v>Medicare</x:v>
      </x:c>
      <x:c r="D65" s="57" t="str">
        <x:v>Referral</x:v>
      </x:c>
      <x:c r="E65" s="58" t="n">
        <x:v>78</x:v>
      </x:c>
      <x:c r="F65" s="63" t="n">
        <x:v>32487</x:v>
      </x:c>
      <x:c r="G65" s="58" t="n">
        <x:v>9</x:v>
      </x:c>
      <x:c r="H65" s="58" t="n">
        <x:v>18</x:v>
      </x:c>
      <x:c r="I65" s="60" t="n">
        <x:v>0.918</x:v>
      </x:c>
    </x:row>
    <x:row r="66">
      <x:c r="A66" s="94" t="n">
        <x:v>46143.5</x:v>
      </x:c>
      <x:c r="B66" s="57" t="str">
        <x:v>Therapy</x:v>
      </x:c>
      <x:c r="C66" s="57" t="str">
        <x:v>Medicaid</x:v>
      </x:c>
      <x:c r="D66" s="57" t="str">
        <x:v>Scheduled</x:v>
      </x:c>
      <x:c r="E66" s="58" t="n">
        <x:v>39</x:v>
      </x:c>
      <x:c r="F66" s="63" t="n">
        <x:v>14586</x:v>
      </x:c>
      <x:c r="G66" s="58" t="n">
        <x:v>5</x:v>
      </x:c>
      <x:c r="H66" s="58" t="n">
        <x:v>18</x:v>
      </x:c>
      <x:c r="I66" s="60" t="n">
        <x:v>0.918</x:v>
      </x:c>
    </x:row>
    <x:row r="67">
      <x:c r="A67" s="94" t="n">
        <x:v>46174.5</x:v>
      </x:c>
      <x:c r="B67" s="57" t="str">
        <x:v>Urgent Care</x:v>
      </x:c>
      <x:c r="C67" s="57" t="str">
        <x:v>Private</x:v>
      </x:c>
      <x:c r="D67" s="57" t="str">
        <x:v>Walk-in</x:v>
      </x:c>
      <x:c r="E67" s="58" t="n">
        <x:v>216</x:v>
      </x:c>
      <x:c r="F67" s="63" t="n">
        <x:v>117914</x:v>
      </x:c>
      <x:c r="G67" s="58" t="n">
        <x:v>14</x:v>
      </x:c>
      <x:c r="H67" s="58" t="n">
        <x:v>40</x:v>
      </x:c>
      <x:c r="I67" s="60" t="n">
        <x:v>0.824</x:v>
      </x:c>
    </x:row>
    <x:row r="68">
      <x:c r="A68" s="94" t="n">
        <x:v>46174.5</x:v>
      </x:c>
      <x:c r="B68" s="57" t="str">
        <x:v>Urgent Care</x:v>
      </x:c>
      <x:c r="C68" s="57" t="str">
        <x:v>Medicare</x:v>
      </x:c>
      <x:c r="D68" s="57" t="str">
        <x:v>Referral</x:v>
      </x:c>
      <x:c r="E68" s="58" t="n">
        <x:v>150</x:v>
      </x:c>
      <x:c r="F68" s="63" t="n">
        <x:v>75705</x:v>
      </x:c>
      <x:c r="G68" s="58" t="n">
        <x:v>10</x:v>
      </x:c>
      <x:c r="H68" s="58" t="n">
        <x:v>39</x:v>
      </x:c>
      <x:c r="I68" s="60" t="n">
        <x:v>0.828</x:v>
      </x:c>
    </x:row>
    <x:row r="69">
      <x:c r="A69" s="94" t="n">
        <x:v>46174.5</x:v>
      </x:c>
      <x:c r="B69" s="57" t="str">
        <x:v>Urgent Care</x:v>
      </x:c>
      <x:c r="C69" s="57" t="str">
        <x:v>Medicaid</x:v>
      </x:c>
      <x:c r="D69" s="57" t="str">
        <x:v>Scheduled</x:v>
      </x:c>
      <x:c r="E69" s="58" t="n">
        <x:v>75</x:v>
      </x:c>
      <x:c r="F69" s="63" t="n">
        <x:v>33990</x:v>
      </x:c>
      <x:c r="G69" s="58" t="n">
        <x:v>6</x:v>
      </x:c>
      <x:c r="H69" s="58" t="n">
        <x:v>39</x:v>
      </x:c>
      <x:c r="I69" s="60" t="n">
        <x:v>0.828</x:v>
      </x:c>
    </x:row>
    <x:row r="70">
      <x:c r="A70" s="94" t="n">
        <x:v>46174.5</x:v>
      </x:c>
      <x:c r="B70" s="57" t="str">
        <x:v>Imaging</x:v>
      </x:c>
      <x:c r="C70" s="57" t="str">
        <x:v>Private</x:v>
      </x:c>
      <x:c r="D70" s="57" t="str">
        <x:v>Referral</x:v>
      </x:c>
      <x:c r="E70" s="58" t="n">
        <x:v>122</x:v>
      </x:c>
      <x:c r="F70" s="63" t="n">
        <x:v>91817</x:v>
      </x:c>
      <x:c r="G70" s="58" t="n">
        <x:v>5</x:v>
      </x:c>
      <x:c r="H70" s="58" t="n">
        <x:v>28</x:v>
      </x:c>
      <x:c r="I70" s="60" t="n">
        <x:v>0.894</x:v>
      </x:c>
    </x:row>
    <x:row r="71">
      <x:c r="A71" s="94" t="n">
        <x:v>46174.5</x:v>
      </x:c>
      <x:c r="B71" s="57" t="str">
        <x:v>Imaging</x:v>
      </x:c>
      <x:c r="C71" s="57" t="str">
        <x:v>Medicare</x:v>
      </x:c>
      <x:c r="D71" s="57" t="str">
        <x:v>Scheduled</x:v>
      </x:c>
      <x:c r="E71" s="58" t="n">
        <x:v>85</x:v>
      </x:c>
      <x:c r="F71" s="63" t="n">
        <x:v>59143</x:v>
      </x:c>
      <x:c r="G71" s="58" t="n">
        <x:v>4</x:v>
      </x:c>
      <x:c r="H71" s="58" t="n">
        <x:v>27</x:v>
      </x:c>
      <x:c r="I71" s="60" t="n">
        <x:v>0.898</x:v>
      </x:c>
    </x:row>
    <x:row r="72">
      <x:c r="A72" s="94" t="n">
        <x:v>46174.5</x:v>
      </x:c>
      <x:c r="B72" s="57" t="str">
        <x:v>Imaging</x:v>
      </x:c>
      <x:c r="C72" s="57" t="str">
        <x:v>Medicaid</x:v>
      </x:c>
      <x:c r="D72" s="57" t="str">
        <x:v>Walk-in</x:v>
      </x:c>
      <x:c r="E72" s="58" t="n">
        <x:v>42</x:v>
      </x:c>
      <x:c r="F72" s="63" t="n">
        <x:v>26242</x:v>
      </x:c>
      <x:c r="G72" s="58" t="n">
        <x:v>2</x:v>
      </x:c>
      <x:c r="H72" s="58" t="n">
        <x:v>27</x:v>
      </x:c>
      <x:c r="I72" s="60" t="n">
        <x:v>0.898</x:v>
      </x:c>
    </x:row>
    <x:row r="73">
      <x:c r="A73" s="94" t="n">
        <x:v>46174.5</x:v>
      </x:c>
      <x:c r="B73" s="57" t="str">
        <x:v>Lab</x:v>
      </x:c>
      <x:c r="C73" s="57" t="str">
        <x:v>Private</x:v>
      </x:c>
      <x:c r="D73" s="57" t="str">
        <x:v>Scheduled</x:v>
      </x:c>
      <x:c r="E73" s="58" t="n">
        <x:v>183</x:v>
      </x:c>
      <x:c r="F73" s="63" t="n">
        <x:v>36468</x:v>
      </x:c>
      <x:c r="G73" s="58" t="n">
        <x:v>10</x:v>
      </x:c>
      <x:c r="H73" s="58" t="n">
        <x:v>22</x:v>
      </x:c>
      <x:c r="I73" s="60" t="n">
        <x:v>0.874</x:v>
      </x:c>
    </x:row>
    <x:row r="74">
      <x:c r="A74" s="94" t="n">
        <x:v>46174.5</x:v>
      </x:c>
      <x:c r="B74" s="57" t="str">
        <x:v>Lab</x:v>
      </x:c>
      <x:c r="C74" s="57" t="str">
        <x:v>Medicare</x:v>
      </x:c>
      <x:c r="D74" s="57" t="str">
        <x:v>Walk-in</x:v>
      </x:c>
      <x:c r="E74" s="58" t="n">
        <x:v>127</x:v>
      </x:c>
      <x:c r="F74" s="63" t="n">
        <x:v>23398</x:v>
      </x:c>
      <x:c r="G74" s="58" t="n">
        <x:v>7</x:v>
      </x:c>
      <x:c r="H74" s="58" t="n">
        <x:v>21</x:v>
      </x:c>
      <x:c r="I74" s="60" t="n">
        <x:v>0.878</x:v>
      </x:c>
    </x:row>
    <x:row r="75">
      <x:c r="A75" s="94" t="n">
        <x:v>46174.5</x:v>
      </x:c>
      <x:c r="B75" s="57" t="str">
        <x:v>Lab</x:v>
      </x:c>
      <x:c r="C75" s="57" t="str">
        <x:v>Medicaid</x:v>
      </x:c>
      <x:c r="D75" s="57" t="str">
        <x:v>Referral</x:v>
      </x:c>
      <x:c r="E75" s="58" t="n">
        <x:v>64</x:v>
      </x:c>
      <x:c r="F75" s="63" t="n">
        <x:v>10588</x:v>
      </x:c>
      <x:c r="G75" s="58" t="n">
        <x:v>4</x:v>
      </x:c>
      <x:c r="H75" s="58" t="n">
        <x:v>21</x:v>
      </x:c>
      <x:c r="I75" s="60" t="n">
        <x:v>0.878</x:v>
      </x:c>
    </x:row>
    <x:row r="76">
      <x:c r="A76" s="94" t="n">
        <x:v>46174.5</x:v>
      </x:c>
      <x:c r="B76" s="57" t="str">
        <x:v>Therapy</x:v>
      </x:c>
      <x:c r="C76" s="57" t="str">
        <x:v>Private</x:v>
      </x:c>
      <x:c r="D76" s="57" t="str">
        <x:v>Walk-in</x:v>
      </x:c>
      <x:c r="E76" s="58" t="n">
        <x:v>105</x:v>
      </x:c>
      <x:c r="F76" s="63" t="n">
        <x:v>47303</x:v>
      </x:c>
      <x:c r="G76" s="58" t="n">
        <x:v>12</x:v>
      </x:c>
      <x:c r="H76" s="58" t="n">
        <x:v>19</x:v>
      </x:c>
      <x:c r="I76" s="60" t="n">
        <x:v>0.914</x:v>
      </x:c>
    </x:row>
    <x:row r="77">
      <x:c r="A77" s="94" t="n">
        <x:v>46174.5</x:v>
      </x:c>
      <x:c r="B77" s="57" t="str">
        <x:v>Therapy</x:v>
      </x:c>
      <x:c r="C77" s="57" t="str">
        <x:v>Medicare</x:v>
      </x:c>
      <x:c r="D77" s="57" t="str">
        <x:v>Referral</x:v>
      </x:c>
      <x:c r="E77" s="58" t="n">
        <x:v>73</x:v>
      </x:c>
      <x:c r="F77" s="63" t="n">
        <x:v>30405</x:v>
      </x:c>
      <x:c r="G77" s="58" t="n">
        <x:v>9</x:v>
      </x:c>
      <x:c r="H77" s="58" t="n">
        <x:v>18</x:v>
      </x:c>
      <x:c r="I77" s="60" t="n">
        <x:v>0.918</x:v>
      </x:c>
    </x:row>
    <x:row r="78">
      <x:c r="A78" s="94" t="n">
        <x:v>46174.5</x:v>
      </x:c>
      <x:c r="B78" s="57" t="str">
        <x:v>Therapy</x:v>
      </x:c>
      <x:c r="C78" s="57" t="str">
        <x:v>Medicaid</x:v>
      </x:c>
      <x:c r="D78" s="57" t="str">
        <x:v>Scheduled</x:v>
      </x:c>
      <x:c r="E78" s="58" t="n">
        <x:v>36</x:v>
      </x:c>
      <x:c r="F78" s="63" t="n">
        <x:v>13464</x:v>
      </x:c>
      <x:c r="G78" s="58" t="n">
        <x:v>5</x:v>
      </x:c>
      <x:c r="H78" s="58" t="n">
        <x:v>18</x:v>
      </x:c>
      <x:c r="I78" s="60" t="n">
        <x:v>0.918</x:v>
      </x:c>
    </x:row>
  </x:sheetData>
  <x:mergeCells>
    <x:mergeCell ref="A1:I1"/>
    <x:mergeCell ref="A3:I3"/>
    <x:mergeCell ref="A4:I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18" hidden="0" customWidth="1"/>
    <x:col min="3" max="3" width="16" hidden="0" customWidth="1"/>
    <x:col min="4" max="4" width="16" hidden="0" customWidth="1"/>
    <x:col min="5" max="5" width="14" hidden="0" customWidth="1"/>
    <x:col min="6" max="6" width="3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</x:cols>
  <x:sheetData>
    <x:row r="1" ht="30" customHeight="1">
      <x:c r="B1" s="3" t="str">
        <x:v>Class Challenge · Management Visual Brief</x:v>
      </x:c>
    </x:row>
    <x:row r="3">
      <x:c r="B3" s="97" t="str">
        <x:v>Audience: VP of Ambulatory Services · Question: Which service line should receive management attention next month, and why?</x:v>
      </x:c>
    </x:row>
    <x:row r="4">
      <x:c r="B4" s="99" t="str">
        <x:v>Begin in class through the KPI/summary setup. Finish the chart(s), recommendation, and final polish as homework.</x:v>
      </x:c>
    </x:row>
    <x:row r="6">
      <x:c r="B6" s="7" t="str">
        <x:v>CORE KPI CARDS</x:v>
      </x:c>
      <x:c r="G6" s="7" t="str">
        <x:v>YOUR VISUAL BRIEF · ONE OR MORE CHARTS</x:v>
      </x:c>
    </x:row>
    <x:row r="7">
      <x:c r="B7" s="101" t="str">
        <x:v>Total Revenue</x:v>
      </x:c>
      <x:c r="C7" s="101" t="str">
        <x:v>Required formula</x:v>
      </x:c>
      <x:c r="D7" s="107"/>
      <x:c r="G7" s="83" t="str">
        <x:v>Choose the chart type and layout that best answer the business question. At least one chart must use the accurate service-line summary above. Add a specific chart title, readable number formats, and verify the categories and values in Select Data. Do not use a chart just because it is decorative.</x:v>
      </x:c>
      <x:c r="H7" s="84"/>
      <x:c r="I7" s="84"/>
      <x:c r="J7" s="84"/>
      <x:c r="K7" s="84"/>
      <x:c r="L7" s="84"/>
      <x:c r="M7" s="84"/>
      <x:c r="N7" s="84"/>
      <x:c r="O7" s="84"/>
      <x:c r="P7" s="84"/>
      <x:c r="Q7" s="84"/>
      <x:c r="R7" s="85"/>
    </x:row>
    <x:row r="8">
      <x:c r="B8" s="101" t="str">
        <x:v>Total Visits</x:v>
      </x:c>
      <x:c r="C8" s="101" t="str">
        <x:v>Required formula</x:v>
      </x:c>
      <x:c r="D8" s="108"/>
      <x:c r="G8" s="86"/>
      <x:c r="H8" s="87"/>
      <x:c r="I8" s="87"/>
      <x:c r="J8" s="87"/>
      <x:c r="K8" s="87"/>
      <x:c r="L8" s="87"/>
      <x:c r="M8" s="87"/>
      <x:c r="N8" s="87"/>
      <x:c r="O8" s="87"/>
      <x:c r="P8" s="87"/>
      <x:c r="Q8" s="87"/>
      <x:c r="R8" s="88"/>
    </x:row>
    <x:row r="9">
      <x:c r="B9" s="101" t="str">
        <x:v>Revenue per Visit</x:v>
      </x:c>
      <x:c r="C9" s="101" t="str">
        <x:v>Required formula</x:v>
      </x:c>
      <x:c r="D9" s="109"/>
      <x:c r="G9" s="89"/>
      <x:c r="H9" s="90"/>
      <x:c r="I9" s="90"/>
      <x:c r="J9" s="90"/>
      <x:c r="K9" s="90"/>
      <x:c r="L9" s="90"/>
      <x:c r="M9" s="90"/>
      <x:c r="N9" s="90"/>
      <x:c r="O9" s="90"/>
      <x:c r="P9" s="90"/>
      <x:c r="Q9" s="90"/>
      <x:c r="R9" s="91"/>
    </x:row>
    <x:row r="10">
      <x:c r="B10" s="101" t="str">
        <x:v>Overall No-Show Rate</x:v>
      </x:c>
      <x:c r="C10" s="101" t="str">
        <x:v>Required formula</x:v>
      </x:c>
      <x:c r="D10" s="110"/>
      <x:c r="G10" s="124"/>
      <x:c r="H10" s="125"/>
      <x:c r="I10" s="125"/>
      <x:c r="J10" s="125"/>
      <x:c r="K10" s="125"/>
      <x:c r="L10" s="125"/>
      <x:c r="M10" s="125"/>
      <x:c r="N10" s="125"/>
      <x:c r="O10" s="125"/>
      <x:c r="P10" s="125"/>
      <x:c r="Q10" s="125"/>
      <x:c r="R10" s="126"/>
    </x:row>
    <x:row r="11">
      <x:c r="G11" s="127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128"/>
    </x:row>
    <x:row r="12">
      <x:c r="G12" s="127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128"/>
    </x:row>
    <x:row r="13">
      <x:c r="B13" s="7" t="str">
        <x:v>SERVICE-LINE SUMMARY · REQUIRED OUTPUT BLOCK</x:v>
      </x:c>
      <x:c r="G13" s="127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128"/>
    </x:row>
    <x:row r="14">
      <x:c r="B14" s="56" t="str">
        <x:v>Service Line</x:v>
      </x:c>
      <x:c r="C14" s="56" t="str">
        <x:v>Total Revenue</x:v>
      </x:c>
      <x:c r="D14" s="56" t="str">
        <x:v>Total Visits</x:v>
      </x:c>
      <x:c r="E14" s="56" t="str">
        <x:v>No-Show Rate</x:v>
      </x:c>
      <x:c r="G14" s="127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128"/>
    </x:row>
    <x:row r="15">
      <x:c r="B15" s="57" t="str">
        <x:v>Urgent Care</x:v>
      </x:c>
      <x:c r="C15" s="111"/>
      <x:c r="D15" s="112"/>
      <x:c r="E15" s="113"/>
      <x:c r="G15" s="127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128"/>
    </x:row>
    <x:row r="16">
      <x:c r="B16" s="57" t="str">
        <x:v>Imaging</x:v>
      </x:c>
      <x:c r="C16" s="111"/>
      <x:c r="D16" s="112"/>
      <x:c r="E16" s="113"/>
      <x:c r="G16" s="127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128"/>
    </x:row>
    <x:row r="17">
      <x:c r="B17" s="57" t="str">
        <x:v>Lab</x:v>
      </x:c>
      <x:c r="C17" s="111"/>
      <x:c r="D17" s="112"/>
      <x:c r="E17" s="113"/>
      <x:c r="G17" s="127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128"/>
    </x:row>
    <x:row r="18">
      <x:c r="B18" s="57" t="str">
        <x:v>Therapy</x:v>
      </x:c>
      <x:c r="C18" s="111"/>
      <x:c r="D18" s="112"/>
      <x:c r="E18" s="113"/>
      <x:c r="G18" s="127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128"/>
    </x:row>
    <x:row r="19" ht="42" customHeight="1">
      <x:c r="B19" s="116" t="str">
        <x:v>Build this summary with formulas, a PivotTable plus cell links, or another accurate Excel summary. Keep these final outputs in this block so the brief can be graded consistently.</x:v>
      </x:c>
      <x:c r="C19" s="116"/>
      <x:c r="D19" s="116"/>
      <x:c r="E19" s="116"/>
      <x:c r="G19" s="127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128"/>
    </x:row>
    <x:row r="20">
      <x:c r="G20" s="127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128"/>
    </x:row>
    <x:row r="21">
      <x:c r="G21" s="127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128"/>
    </x:row>
    <x:row r="22">
      <x:c r="B22" s="7" t="str">
        <x:v>RECOMMENDATION · 18–45 WORDS</x:v>
      </x:c>
      <x:c r="G22" s="127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128"/>
    </x:row>
    <x:row r="23">
      <x:c r="B23" s="120" t="str"/>
      <x:c r="C23" s="120"/>
      <x:c r="D23" s="120"/>
      <x:c r="E23" s="120"/>
      <x:c r="G23" s="127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128"/>
    </x:row>
    <x:row r="24">
      <x:c r="B24" s="120"/>
      <x:c r="C24" s="120"/>
      <x:c r="D24" s="120"/>
      <x:c r="E24" s="120"/>
      <x:c r="G24" s="127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128"/>
    </x:row>
    <x:row r="25">
      <x:c r="B25" s="120"/>
      <x:c r="C25" s="120"/>
      <x:c r="D25" s="120"/>
      <x:c r="E25" s="120"/>
      <x:c r="G25" s="127"/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128"/>
    </x:row>
    <x:row r="26">
      <x:c r="B26" s="120"/>
      <x:c r="C26" s="120"/>
      <x:c r="D26" s="120"/>
      <x:c r="E26" s="120"/>
      <x:c r="G26" s="127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128"/>
    </x:row>
    <x:row r="27">
      <x:c r="B27" s="123" t="str">
        <x:v>Cite at least two results from the brief. More than one recommendation can be defensible: capacity, no-shows, payer mix, or another management issue supported by the data.</x:v>
      </x:c>
      <x:c r="C27" s="123"/>
      <x:c r="D27" s="123"/>
      <x:c r="E27" s="123"/>
      <x:c r="G27" s="127"/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128"/>
    </x:row>
    <x:row r="28">
      <x:c r="B28" s="123"/>
      <x:c r="C28" s="123"/>
      <x:c r="D28" s="123"/>
      <x:c r="E28" s="123"/>
      <x:c r="G28" s="127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128"/>
    </x:row>
    <x:row r="29">
      <x:c r="B29" s="123"/>
      <x:c r="C29" s="123"/>
      <x:c r="D29" s="123"/>
      <x:c r="E29" s="123"/>
      <x:c r="G29" s="129"/>
      <x:c r="H29" s="130"/>
      <x:c r="I29" s="130"/>
      <x:c r="J29" s="130"/>
      <x:c r="K29" s="130"/>
      <x:c r="L29" s="130"/>
      <x:c r="M29" s="130"/>
      <x:c r="N29" s="130"/>
      <x:c r="O29" s="130"/>
      <x:c r="P29" s="130"/>
      <x:c r="Q29" s="130"/>
      <x:c r="R29" s="131"/>
    </x:row>
    <x:row r="31">
      <x:c r="B31" s="150" t="str">
        <x:v>Final check before submission: Table present · four KPI formulas calculate · summary values reconcile · chart title is specific · chart source points to the summary · number formats are readable · recommendation is concise · PivotTable refreshed if used.</x:v>
      </x:c>
      <x:c r="C31" s="151"/>
      <x:c r="D31" s="151"/>
      <x:c r="E31" s="151"/>
      <x:c r="F31" s="151"/>
      <x:c r="G31" s="151"/>
      <x:c r="H31" s="151"/>
      <x:c r="I31" s="151"/>
      <x:c r="J31" s="151"/>
      <x:c r="K31" s="151"/>
      <x:c r="L31" s="151"/>
      <x:c r="M31" s="151"/>
      <x:c r="N31" s="151"/>
      <x:c r="O31" s="151"/>
      <x:c r="P31" s="151"/>
      <x:c r="Q31" s="151"/>
      <x:c r="R31" s="152"/>
    </x:row>
    <x:row r="32">
      <x:c r="B32" s="153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5"/>
    </x:row>
    <x:row r="33">
      <x:c r="B33" s="156"/>
      <x:c r="C33" s="157"/>
      <x:c r="D33" s="157"/>
      <x:c r="E33" s="157"/>
      <x:c r="F33" s="157"/>
      <x:c r="G33" s="157"/>
      <x:c r="H33" s="157"/>
      <x:c r="I33" s="157"/>
      <x:c r="J33" s="157"/>
      <x:c r="K33" s="157"/>
      <x:c r="L33" s="157"/>
      <x:c r="M33" s="157"/>
      <x:c r="N33" s="157"/>
      <x:c r="O33" s="157"/>
      <x:c r="P33" s="157"/>
      <x:c r="Q33" s="157"/>
      <x:c r="R33" s="158"/>
    </x:row>
  </x:sheetData>
  <x:mergeCells>
    <x:mergeCell ref="B1:R1"/>
    <x:mergeCell ref="B3:R3"/>
    <x:mergeCell ref="B4:R4"/>
    <x:mergeCell ref="B6:E6"/>
    <x:mergeCell ref="B13:E13"/>
    <x:mergeCell ref="B19:E19"/>
    <x:mergeCell ref="B22:E22"/>
    <x:mergeCell ref="B23:E26"/>
    <x:mergeCell ref="B27:E29"/>
    <x:mergeCell ref="G6:R6"/>
    <x:mergeCell ref="G7:R9"/>
    <x:mergeCell ref="B31:R3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19" hidden="0" customWidth="1"/>
    <x:col min="3" max="3" width="30" hidden="0" customWidth="1"/>
    <x:col min="4" max="4" width="36" hidden="0" customWidth="1"/>
    <x:col min="5" max="5" width="34" hidden="0" customWidth="1"/>
  </x:cols>
  <x:sheetData>
    <x:row r="2" ht="30" customHeight="1">
      <x:c r="B2" s="3" t="str">
        <x:v>Excel M04 · Visual Brief Reference Card</x:v>
      </x:c>
    </x:row>
    <x:row r="4">
      <x:c r="B4" s="56" t="str">
        <x:v>Tool / habit</x:v>
      </x:c>
      <x:c r="C4" s="56" t="str">
        <x:v>Excel pattern</x:v>
      </x:c>
      <x:c r="D4" s="56" t="str">
        <x:v>Why it matters</x:v>
      </x:c>
      <x:c r="E4" s="56" t="str">
        <x:v>Watch out for</x:v>
      </x:c>
    </x:row>
    <x:row r="5" ht="38" customHeight="1">
      <x:c r="B5" s="160" t="str">
        <x:v>Excel Table</x:v>
      </x:c>
      <x:c r="C5" s="43" t="str">
        <x:v>Select source → Ctrl+T</x:v>
      </x:c>
      <x:c r="D5" s="43" t="str">
        <x:v>Defines a clean expandable source with filters</x:v>
      </x:c>
      <x:c r="E5" s="43" t="str">
        <x:v>Exclude totals and blank headers</x:v>
      </x:c>
    </x:row>
    <x:row r="6" ht="38" customHeight="1">
      <x:c r="B6" s="160" t="str">
        <x:v>Total KPI</x:v>
      </x:c>
      <x:c r="C6" s="43" t="str">
        <x:v>=SUM(range)</x:v>
      </x:c>
      <x:c r="D6" s="43" t="str">
        <x:v>Reconciles the size of the business activity</x:v>
      </x:c>
      <x:c r="E6" s="43" t="str">
        <x:v>Use the complete source range</x:v>
      </x:c>
    </x:row>
    <x:row r="7" ht="38" customHeight="1">
      <x:c r="B7" s="160" t="str">
        <x:v>Conditional summary</x:v>
      </x:c>
      <x:c r="C7" s="43" t="str">
        <x:v>=SUMIFS(sum_range, criteria_range, criterion)</x:v>
      </x:c>
      <x:c r="D7" s="43" t="str">
        <x:v>Builds a manager-ready category summary</x:v>
      </x:c>
      <x:c r="E7" s="43" t="str">
        <x:v>Sum and criteria ranges must align</x:v>
      </x:c>
    </x:row>
    <x:row r="8" ht="38" customHeight="1">
      <x:c r="B8" s="160" t="str">
        <x:v>PivotTable</x:v>
      </x:c>
      <x:c r="C8" s="43" t="str">
        <x:v>Insert → PivotTable</x:v>
      </x:c>
      <x:c r="D8" s="43" t="str">
        <x:v>Rearranges a clean source by Rows, Values, Filters</x:v>
      </x:c>
      <x:c r="E8" s="43" t="str">
        <x:v>Check Sum versus Count</x:v>
      </x:c>
    </x:row>
    <x:row r="9" ht="38" customHeight="1">
      <x:c r="B9" s="160" t="str">
        <x:v>Refresh</x:v>
      </x:c>
      <x:c r="C9" s="43" t="str">
        <x:v>Data → Refresh All</x:v>
      </x:c>
      <x:c r="D9" s="43" t="str">
        <x:v>Updates a PivotTable's cached view</x:v>
      </x:c>
      <x:c r="E9" s="43" t="str">
        <x:v>A stale PivotTable can look correct</x:v>
      </x:c>
    </x:row>
    <x:row r="10" ht="38" customHeight="1">
      <x:c r="B10" s="160" t="str">
        <x:v>Chart source</x:v>
      </x:c>
      <x:c r="C10" s="43" t="str">
        <x:v>Chart Design → Select Data</x:v>
      </x:c>
      <x:c r="D10" s="43" t="str">
        <x:v>Confirms category labels and numeric series</x:v>
      </x:c>
      <x:c r="E10" s="43" t="str">
        <x:v>Do not chart an accidental partial range</x:v>
      </x:c>
    </x:row>
    <x:row r="11" ht="38" customHeight="1">
      <x:c r="B11" s="160" t="str">
        <x:v>Chart title</x:v>
      </x:c>
      <x:c r="C11" s="43" t="str">
        <x:v>State the measure and comparison</x:v>
      </x:c>
      <x:c r="D11" s="43" t="str">
        <x:v>Helps a manager interpret the visual quickly</x:v>
      </x:c>
      <x:c r="E11" s="43" t="str">
        <x:v>Replace Chart 1</x:v>
      </x:c>
    </x:row>
    <x:row r="12" ht="38" customHeight="1">
      <x:c r="B12" s="160" t="str">
        <x:v>Recommendation</x:v>
      </x:c>
      <x:c r="C12" s="43" t="str">
        <x:v>Evidence + implication + action</x:v>
      </x:c>
      <x:c r="D12" s="43" t="str">
        <x:v>Turns analysis into a decision brief</x:v>
      </x:c>
      <x:c r="E12" s="43" t="str">
        <x:v>Do not claim more than the data supports</x:v>
      </x:c>
    </x:row>
  </x:sheetData>
  <x:mergeCells>
    <x:mergeCell ref="B2:E2"/>
  </x:mergeCells>
  <x:pageMargins left="0.7" right="0.7" top="0.75" bottom="0.75" header="0.3" footer="0.3"/>
</x:worksheet>
</file>