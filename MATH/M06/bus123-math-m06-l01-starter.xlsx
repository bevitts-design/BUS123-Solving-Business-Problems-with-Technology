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ea3be7473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520b89658574836"/>
    <x:sheet xmlns:r="http://schemas.openxmlformats.org/officeDocument/2006/relationships" name="Live You Try It" sheetId="6" r:id="R4b3f578979c14d7c"/>
    <x:sheet xmlns:r="http://schemas.openxmlformats.org/officeDocument/2006/relationships" name="Raw Data" sheetId="2" r:id="R6c4f99ddd28c440b"/>
    <x:sheet xmlns:r="http://schemas.openxmlformats.org/officeDocument/2006/relationships" name="Management Model" sheetId="3" r:id="R0464044c3ae84690"/>
    <x:sheet xmlns:r="http://schemas.openxmlformats.org/officeDocument/2006/relationships" name="Decision Brief" sheetId="4" r:id="Rd60b16beb1e64bce"/>
    <x:sheet xmlns:r="http://schemas.openxmlformats.org/officeDocument/2006/relationships" name="Formula Reference" sheetId="5" r:id="Rfbf7744187784bc4"/>
  </x:sheets>
</x:workbook>
</file>

<file path=xl/sharedStrings.xml><?xml version="1.0" encoding="utf-8"?>
<x:sst xmlns:x="http://schemas.openxmlformats.org/spreadsheetml/2006/main">
  <x:si>
    <x:t xml:space="preserve">BUS123 · MATH-M06 · Tidal Goods Co. — Inventory, COGS &amp; Overhead</x:t>
  </x:si>
  <x:si>
    <x:t xml:space="preserve">How to Use This Workbook</x:t>
  </x:si>
  <x:si>
    <x:t xml:space="preserve">Step</x:t>
  </x:si>
  <x:si>
    <x:t xml:space="preserve">Sheet</x:t>
  </x:si>
  <x:si>
    <x:t xml:space="preserve">Student move</x:t>
  </x:si>
  <x:si>
    <x:t xml:space="preserve">Evidence of completion</x:t>
  </x:si>
  <x:si>
    <x:t xml:space="preserve">Raw Data</x:t>
  </x:si>
  <x:si>
    <x:t xml:space="preserve">You can explain the unit and cost totals.</x:t>
  </x:si>
  <x:si>
    <x:t xml:space="preserve">Final check</x:t>
  </x:si>
  <x:si>
    <x:t xml:space="preserve">Your recommendation changes if the evidence changes.</x:t>
  </x:si>
  <x:si>
    <x:t xml:space="preserve">Learning Targets</x:t>
  </x:si>
  <x:si>
    <x:t xml:space="preserve">I can</x:t>
  </x:si>
  <x:si>
    <x:t xml:space="preserve">calculate FIFO and weighted-average COGS with unequal purchase quantities.</x:t>
  </x:si>
  <x:si>
    <x:t xml:space="preserve">build and reconcile a complete COGS schedule.</x:t>
  </x:si>
  <x:si>
    <x:t xml:space="preserve">choose a defensible allocation driver for each overhead cost pool.</x:t>
  </x:si>
  <x:si>
    <x:t xml:space="preserve">recommend an action and name the risk and control behind it.</x:t>
  </x:si>
  <x:si>
    <x:t xml:space="preserve">Color Key</x:t>
  </x:si>
  <x:si>
    <x:t xml:space="preserve">BLUE</x:t>
  </x:si>
  <x:si>
    <x:t xml:space="preserve">YELLOW</x:t>
  </x:si>
  <x:si>
    <x:t xml:space="preserve">GREEN</x:t>
  </x:si>
  <x:si>
    <x:t xml:space="preserve">Control passed</x:t>
  </x:si>
  <x:si>
    <x:t xml:space="preserve">RED</x:t>
  </x:si>
  <x:si>
    <x:t xml:space="preserve">Review the model</x:t>
  </x:si>
  <x:si>
    <x:t xml:space="preserve">WHITE</x:t>
  </x:si>
  <x:si>
    <x:t xml:space="preserve">Instruction or explanation</x:t>
  </x:si>
  <x:si>
    <x:t xml:space="preserve">M06 · L01 — Raw Data | Tidal Goods Co.</x:t>
  </x:si>
  <x:si>
    <x:t xml:space="preserve">Inventory &amp; Sales Inputs</x:t>
  </x:si>
  <x:si>
    <x:t xml:space="preserve">Inventory layer</x:t>
  </x:si>
  <x:si>
    <x:t xml:space="preserve">Quantity</x:t>
  </x:si>
  <x:si>
    <x:t xml:space="preserve">Unit cost</x:t>
  </x:si>
  <x:si>
    <x:t xml:space="preserve">Layer cost</x:t>
  </x:si>
  <x:si>
    <x:t xml:space="preserve">Goods available</x:t>
  </x:si>
  <x:si>
    <x:t xml:space="preserve">Sales input</x:t>
  </x:si>
  <x:si>
    <x:t xml:space="preserve">Value</x:t>
  </x:si>
  <x:si>
    <x:t xml:space="preserve">Units sold</x:t>
  </x:si>
  <x:si>
    <x:t xml:space="preserve">Selling price per unit</x:t>
  </x:si>
  <x:si>
    <x:t xml:space="preserve">Department Driver Data</x:t>
  </x:si>
  <x:si>
    <x:t xml:space="preserve">Driver</x:t>
  </x:si>
  <x:si>
    <x:t xml:space="preserve">Online Warehouse</x:t>
  </x:si>
  <x:si>
    <x:t xml:space="preserve">Square footage</x:t>
  </x:si>
  <x:si>
    <x:t xml:space="preserve">Revenue</x:t>
  </x:si>
  <x:si>
    <x:t xml:space="preserve">Direct labor hours</x:t>
  </x:si>
  <x:si>
    <x:t xml:space="preserve">Monthly Overhead Cost Pools</x:t>
  </x:si>
  <x:si>
    <x:t xml:space="preserve">Cost pool</x:t>
  </x:si>
  <x:si>
    <x:t xml:space="preserve">Amount</x:t>
  </x:si>
  <x:si>
    <x:t xml:space="preserve">Likely driver from reading</x:t>
  </x:si>
  <x:si>
    <x:t xml:space="preserve">Rent</x:t>
  </x:si>
  <x:si>
    <x:t xml:space="preserve">Utilities</x:t>
  </x:si>
  <x:si>
    <x:t xml:space="preserve">Square footage or measured usage</x:t>
  </x:si>
  <x:si>
    <x:t xml:space="preserve">Insurance</x:t>
  </x:si>
  <x:si>
    <x:t xml:space="preserve">Square footage or insured value</x:t>
  </x:si>
  <x:si>
    <x:t xml:space="preserve">Indirect labor</x:t>
  </x:si>
  <x:si>
    <x:t xml:space="preserve">Direct labor hours or headcount</x:t>
  </x:si>
  <x:si>
    <x:t xml:space="preserve">Maintenance</x:t>
  </x:si>
  <x:si>
    <x:t xml:space="preserve">Maintenance hours or square footage</x:t>
  </x:si>
  <x:si>
    <x:t xml:space="preserve">Total overhead</x:t>
  </x:si>
  <x:si>
    <x:t xml:space="preserve">Reporting Boundary</x:t>
  </x:si>
  <x:si>
    <x:t xml:space="preserve">Internal allocation can support department and product decisions. It does not automatically change external financial-statement classification. Purchase price and freight-in are commonly inventoriable; store rent, selling, and administrative costs are commonly period expenses under applicable reporting rules.</x:t>
  </x:si>
  <x:si>
    <x:t xml:space="preserve">M06 · L01 — Management Model | Tidal Goods Co.</x:t>
  </x:si>
  <x:si>
    <x:t xml:space="preserve">1 · Inventory Layers</x:t>
  </x:si>
  <x:si>
    <x:t xml:space="preserve">Layer</x:t>
  </x:si>
  <x:si>
    <x:t xml:space="preserve">Qty</x:t>
  </x:si>
  <x:si>
    <x:t xml:space="preserve">FIFO units to COGS</x:t>
  </x:si>
  <x:si>
    <x:t xml:space="preserve">FIFO COGS</x:t>
  </x:si>
  <x:si>
    <x:t xml:space="preserve">Units ending</x:t>
  </x:si>
  <x:si>
    <x:t xml:space="preserve">Ending inventory</x:t>
  </x:si>
  <x:si>
    <x:t xml:space="preserve">Layer check</x:t>
  </x:si>
  <x:si>
    <x:t xml:space="preserve">Totals</x:t>
  </x:si>
  <x:si>
    <x:t xml:space="preserve">2 · Weighted Average</x:t>
  </x:si>
  <x:si>
    <x:t xml:space="preserve">Metric</x:t>
  </x:si>
  <x:si>
    <x:t xml:space="preserve">Value / formula</x:t>
  </x:si>
  <x:si>
    <x:t xml:space="preserve">Check or meaning</x:t>
  </x:si>
  <x:si>
    <x:t xml:space="preserve">Control</x:t>
  </x:si>
  <x:si>
    <x:t xml:space="preserve">Result</x:t>
  </x:si>
  <x:si>
    <x:t xml:space="preserve">Target</x:t>
  </x:si>
  <x:si>
    <x:t xml:space="preserve">Variance</x:t>
  </x:si>
  <x:si>
    <x:t xml:space="preserve">Status</x:t>
  </x:si>
  <x:si>
    <x:t xml:space="preserve">Total units available</x:t>
  </x:si>
  <x:si>
    <x:t xml:space="preserve">Units assigned</x:t>
  </x:si>
  <x:si>
    <x:t xml:space="preserve">Total cost available</x:t>
  </x:si>
  <x:si>
    <x:t xml:space="preserve">FIFO cost reconciliation</x:t>
  </x:si>
  <x:si>
    <x:t xml:space="preserve">WAC unit cost</x:t>
  </x:si>
  <x:si>
    <x:t xml:space="preserve">Quantity-weighted cost</x:t>
  </x:si>
  <x:si>
    <x:t xml:space="preserve">WAC cost reconciliation</x:t>
  </x:si>
  <x:si>
    <x:t xml:space="preserve">Source value</x:t>
  </x:si>
  <x:si>
    <x:t xml:space="preserve">WAC COGS</x:t>
  </x:si>
  <x:si>
    <x:t xml:space="preserve">Units sold × WAC cost</x:t>
  </x:si>
  <x:si>
    <x:t xml:space="preserve">Ending units</x:t>
  </x:si>
  <x:si>
    <x:t xml:space="preserve">Available − sold</x:t>
  </x:si>
  <x:si>
    <x:t xml:space="preserve">WAC ending inventory</x:t>
  </x:si>
  <x:si>
    <x:t xml:space="preserve">Ending units × WAC cost</x:t>
  </x:si>
  <x:si>
    <x:t xml:space="preserve">3 · Parallel COGS Schedules</x:t>
  </x:si>
  <x:si>
    <x:t xml:space="preserve">Schedule line</x:t>
  </x:si>
  <x:si>
    <x:t xml:space="preserve">FIFO</x:t>
  </x:si>
  <x:si>
    <x:t xml:space="preserve">Weighted average</x:t>
  </x:si>
  <x:si>
    <x:t xml:space="preserve">Interpretation cue</x:t>
  </x:si>
  <x:si>
    <x:t xml:space="preserve">Schedule control</x:t>
  </x:si>
  <x:si>
    <x:t xml:space="preserve">WAC</x:t>
  </x:si>
  <x:si>
    <x:t xml:space="preserve">Beginning inventory</x:t>
  </x:si>
  <x:si>
    <x:t xml:space="preserve">Source beginning layer</x:t>
  </x:si>
  <x:si>
    <x:t xml:space="preserve">Purchases</x:t>
  </x:si>
  <x:si>
    <x:t xml:space="preserve">COGS + ending</x:t>
  </x:si>
  <x:si>
    <x:t xml:space="preserve">Beginning + purchases</x:t>
  </x:si>
  <x:si>
    <x:t xml:space="preserve">Both schedules reconcile</x:t>
  </x:si>
  <x:si>
    <x:t xml:space="preserve">Method-specific balance</x:t>
  </x:si>
  <x:si>
    <x:t xml:space="preserve">COGS</x:t>
  </x:si>
  <x:si>
    <x:t xml:space="preserve">Goods available − ending</x:t>
  </x:si>
  <x:si>
    <x:t xml:space="preserve">Units sold × price</x:t>
  </x:si>
  <x:si>
    <x:t xml:space="preserve">Gross profit</x:t>
  </x:si>
  <x:si>
    <x:t xml:space="preserve">Revenue − COGS</x:t>
  </x:si>
  <x:si>
    <x:t xml:space="preserve">Gross margin</x:t>
  </x:si>
  <x:si>
    <x:t xml:space="preserve">Gross profit ÷ revenue</x:t>
  </x:si>
  <x:si>
    <x:t xml:space="preserve">4 · Overhead Allocation &amp; Downside</x:t>
  </x:si>
  <x:si>
    <x:t xml:space="preserve">Driver choice</x:t>
  </x:si>
  <x:si>
    <x:t xml:space="preserve">Online basis</x:t>
  </x:si>
  <x:si>
    <x:t xml:space="preserve">Total basis</x:t>
  </x:si>
  <x:si>
    <x:t xml:space="preserve">Online allocation</x:t>
  </x:si>
  <x:si>
    <x:t xml:space="preserve">Check</x:t>
  </x:si>
  <x:si>
    <x:t xml:space="preserve">Total</x:t>
  </x:si>
  <x:si>
    <x:t xml:space="preserve">Scenario metric</x:t>
  </x:si>
  <x:si>
    <x:t xml:space="preserve">Base case</x:t>
  </x:si>
  <x:si>
    <x:t xml:space="preserve">10% revenue downside</x:t>
  </x:si>
  <x:si>
    <x:t xml:space="preserve">Management question</x:t>
  </x:si>
  <x:si>
    <x:t xml:space="preserve">Assume fixed within the relevant range</x:t>
  </x:si>
  <x:si>
    <x:t xml:space="preserve">Overhead rate</x:t>
  </x:si>
  <x:si>
    <x:t xml:space="preserve">M06 · L01 — Decision Brief | Tidal Goods Co.</x:t>
  </x:si>
  <x:si>
    <x:t xml:space="preserve">Use the completed model to recommend an action · include evidence, risk, and control</x:t>
  </x:si>
  <x:si>
    <x:t xml:space="preserve">Management Recommendation</x:t>
  </x:si>
  <x:si>
    <x:t xml:space="preserve">Decision element</x:t>
  </x:si>
  <x:si>
    <x:t xml:space="preserve">Your response</x:t>
  </x:si>
  <x:si>
    <x:t xml:space="preserve">Recommended inventory method for internal reporting</x:t>
  </x:si>
  <x:si>
    <x:t xml:space="preserve">Effect on COGS, gross profit, and ending inventory</x:t>
  </x:si>
  <x:si>
    <x:t xml:space="preserve">Overhead-driver rationale</x:t>
  </x:si>
  <x:si>
    <x:t xml:space="preserve">Risk or limitation</x:t>
  </x:si>
  <x:si>
    <x:t xml:space="preserve">Control or follow-up action</x:t>
  </x:si>
  <x:si>
    <x:t xml:space="preserve">10% Revenue Downside</x:t>
  </x:si>
  <x:si>
    <x:t xml:space="preserve">What changes in the overhead rate?</x:t>
  </x:si>
  <x:si>
    <x:t xml:space="preserve">What management risk does this create?</x:t>
  </x:si>
  <x:si>
    <x:t xml:space="preserve">What action would you take first?</x:t>
  </x:si>
  <x:si>
    <x:t xml:space="preserve">Which number would you monitor next?</x:t>
  </x:si>
  <x:si>
    <x:t xml:space="preserve">Quality Check</x:t>
  </x:si>
  <x:si>
    <x:t xml:space="preserve">Yes / Not yet</x:t>
  </x:si>
  <x:si>
    <x:t xml:space="preserve">Evidence location</x:t>
  </x:si>
  <x:si>
    <x:t xml:space="preserve">Why it matters</x:t>
  </x:si>
  <x:si>
    <x:t xml:space="preserve">All model controls pass</x:t>
  </x:si>
  <x:si>
    <x:t xml:space="preserve">Prevents explaining an unreconciled model</x:t>
  </x:si>
  <x:si>
    <x:t xml:space="preserve">Recommendation cites at least two numbers</x:t>
  </x:si>
  <x:si>
    <x:t xml:space="preserve">Connects action to evidence</x:t>
  </x:si>
  <x:si>
    <x:t xml:space="preserve">Risk and control are specific</x:t>
  </x:si>
  <x:si>
    <x:t xml:space="preserve">Makes the recommendation usable</x:t>
  </x:si>
  <x:si>
    <x:t xml:space="preserve">BUS123 · MATH-M06 — Formula Reference</x:t>
  </x:si>
  <x:si>
    <x:t xml:space="preserve">Use only after choosing the business question, cost flow, and denominator</x:t>
  </x:si>
  <x:si>
    <x:t xml:space="preserve">Concept</x:t>
  </x:si>
  <x:si>
    <x:t xml:space="preserve">Excel pattern</x:t>
  </x:si>
  <x:si>
    <x:t xml:space="preserve">Plain-English meaning</x:t>
  </x:si>
  <x:si>
    <x:t xml:space="preserve">Watch out for</x:t>
  </x:si>
  <x:si>
    <x:t xml:space="preserve">=Quantity*UnitCost</x:t>
  </x:si>
  <x:si>
    <x:t xml:space="preserve">Calculates cost in one purchase layer.</x:t>
  </x:si>
  <x:si>
    <x:t xml:space="preserve">Reference cells; do not type the answer into the formula.</x:t>
  </x:si>
  <x:si>
    <x:t xml:space="preserve">FIFO layer COGS</x:t>
  </x:si>
  <x:si>
    <x:t xml:space="preserve">=UnitsAssignedToCOGS*UnitCost</x:t>
  </x:si>
  <x:si>
    <x:t xml:space="preserve">Costs the specific units assigned from each layer.</x:t>
  </x:si>
  <x:si>
    <x:t xml:space="preserve">Sold units + ending units must equal layer quantity.</x:t>
  </x:si>
  <x:si>
    <x:t xml:space="preserve">A simple average is wrong when quantities differ.</x:t>
  </x:si>
  <x:si>
    <x:t xml:space="preserve">=BeginningInventory+Purchases-EndingInventory</x:t>
  </x:si>
  <x:si>
    <x:t xml:space="preserve">Calculates product cost sold during the period.</x:t>
  </x:si>
  <x:si>
    <x:t xml:space="preserve">Ending inventory is subtracted.</x:t>
  </x:si>
  <x:si>
    <x:t xml:space="preserve">=BeginningInventory+Purchases</x:t>
  </x:si>
  <x:si>
    <x:t xml:space="preserve">Shows inventory cost available to sell.</x:t>
  </x:si>
  <x:si>
    <x:t xml:space="preserve">COGS + ending inventory must reconcile to this amount.</x:t>
  </x:si>
  <x:si>
    <x:t xml:space="preserve">=Revenue-COGS</x:t>
  </x:si>
  <x:si>
    <x:t xml:space="preserve">Shows profit before operating and overhead costs.</x:t>
  </x:si>
  <x:si>
    <x:t xml:space="preserve">Revenue and COGS must cover the same period.</x:t>
  </x:si>
  <x:si>
    <x:t xml:space="preserve">=GrossProfit/Revenue</x:t>
  </x:si>
  <x:si>
    <x:t xml:space="preserve">Shows the share of revenue remaining after product cost.</x:t>
  </x:si>
  <x:si>
    <x:t xml:space="preserve">Margin divides by revenue.</x:t>
  </x:si>
  <x:si>
    <x:t xml:space="preserve">Markup</x:t>
  </x:si>
  <x:si>
    <x:t xml:space="preserve">=(Price-Cost)/Cost</x:t>
  </x:si>
  <x:si>
    <x:t xml:space="preserve">Shows the amount added relative to cost.</x:t>
  </x:si>
  <x:si>
    <x:t xml:space="preserve">Markup divides by cost—not revenue.</x:t>
  </x:si>
  <x:si>
    <x:t xml:space="preserve">Overhead allocation</x:t>
  </x:si>
  <x:si>
    <x:t xml:space="preserve">=CostPool*(DepartmentBase/TotalBase)</x:t>
  </x:si>
  <x:si>
    <x:t xml:space="preserve">Assigns a shared cost using the selected driver.</x:t>
  </x:si>
  <x:si>
    <x:t xml:space="preserve">The base must fit the cost pool.</x:t>
  </x:si>
  <x:si>
    <x:t xml:space="preserve">=TotalOverhead/Revenue</x:t>
  </x:si>
  <x:si>
    <x:t xml:space="preserve">Shows overhead used by each revenue dollar.</x:t>
  </x:si>
  <x:si>
    <x:t xml:space="preserve">A higher rate may reflect cost growth or revenue decline.</x:t>
  </x:si>
  <x:si>
    <x:t xml:space="preserve">Model Controls</x:t>
  </x:si>
  <x:si>
    <x:t xml:space="preserve">Units</x:t>
  </x:si>
  <x:si>
    <x:t xml:space="preserve">Sold units + ending units = available units</x:t>
  </x:si>
  <x:si>
    <x:t xml:space="preserve">Confirms no unit was lost or duplicated</x:t>
  </x:si>
  <x:si>
    <x:t xml:space="preserve">Check each layer and the total</x:t>
  </x:si>
  <x:si>
    <x:t xml:space="preserve">FIFO cost</x:t>
  </x:si>
  <x:si>
    <x:t xml:space="preserve">FIFO COGS + FIFO ending inventory = goods available</x:t>
  </x:si>
  <x:si>
    <x:t xml:space="preserve">Confirms all layer costs are assigned</x:t>
  </x:si>
  <x:si>
    <x:t xml:space="preserve">Allow only small rounding differences</x:t>
  </x:si>
  <x:si>
    <x:t xml:space="preserve">WAC cost</x:t>
  </x:si>
  <x:si>
    <x:t xml:space="preserve">WAC COGS + WAC ending inventory = goods available</x:t>
  </x:si>
  <x:si>
    <x:t xml:space="preserve">Confirms the average cost was applied consistently</x:t>
  </x:si>
  <x:si>
    <x:t xml:space="preserve">Keep full precision in formulas</x:t>
  </x:si>
  <x:si>
    <x:t xml:space="preserve">Allocation</x:t>
  </x:si>
  <x:si>
    <x:t xml:space="preserve">Department allocations = the full cost pool</x:t>
  </x:si>
  <x:si>
    <x:t xml:space="preserve">Confirms shared costs are fully assigned</x:t>
  </x:si>
  <x:si>
    <x:t xml:space="preserve">A passing total does not prove the driver is fair</x:t>
  </x:si>
</x:sst>
</file>

<file path=xl/styles.xml><?xml version="1.0" encoding="utf-8"?>
<x:styleSheet xmlns:x="http://schemas.openxmlformats.org/spreadsheetml/2006/main">
  <x:numFmts count="6">
    <x:numFmt numFmtId="164" formatCode="\$#,##0.00"/>
    <x:numFmt numFmtId="165" formatCode="\$#,##0"/>
    <x:numFmt numFmtId="166" formatCode="0.0%"/>
    <x:numFmt numFmtId="167" formatCode="&quot;$&quot;#,##0.00"/>
    <x:numFmt numFmtId="168" formatCode="&quot;$&quot;#,##0"/>
    <x:numFmt numFmtId="200" formatCode="0"/>
  </x:numFmts>
  <x:fonts count="12">
    <x:font>
      <x:sz val="11"/>
      <x:name val="Carlito"/>
    </x:font>
    <x:font>
      <x:sz val="11"/>
      <x:color rgb="FF1A1F2C"/>
      <x:name val="Aptos"/>
    </x:font>
    <x:font>
      <x:b/>
      <x:sz val="22"/>
      <x:color rgb="FFFFFFFF"/>
      <x:name val="Aptos Display"/>
    </x:font>
    <x:font>
      <x:i/>
      <x:sz val="11"/>
      <x:color rgb="FF4A5567"/>
      <x:name val="Aptos"/>
    </x:font>
    <x:font>
      <x:b/>
      <x:sz val="13"/>
      <x:color rgb="FFFFFFFF"/>
      <x:name val="Aptos Display"/>
    </x:font>
    <x:font>
      <x:b/>
      <x:sz val="10"/>
      <x:color rgb="FFFFFFFF"/>
      <x:name val="Aptos"/>
    </x:font>
    <x:font>
      <x:b/>
      <x:sz val="11"/>
      <x:color rgb="FF4A7C5E"/>
      <x:name val="Aptos"/>
    </x:font>
    <x:font>
      <x:b/>
      <x:sz val="11"/>
      <x:color rgb="FF1A1F2C"/>
      <x:name val="Aptos"/>
    </x:font>
    <x:font>
      <x:sz val="11"/>
      <x:color rgb="FF355773"/>
      <x:name val="Aptos"/>
    </x:font>
    <x:font>
      <x:b/>
      <x:sz val="11"/>
      <x:color rgb="FF355773"/>
      <x:name val="Aptos"/>
    </x:font>
    <x:font>
      <x:sz val="10"/>
      <x:color rgb="FF355773"/>
      <x:name val="Consolas"/>
      <x:family val="2"/>
    </x:font>
    <x:font>
      <x:b/>
      <x:sz val="14"/>
      <x:color rgb="FFFFFFFF"/>
      <x:name val="Aptos"/>
    </x:font>
  </x:fonts>
  <x:fills count="3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E1116"/>
      </x:patternFill>
    </x:fill>
    <x:fill>
      <x:patternFill patternType="solid">
        <x:fgColor rgb="FFF2EEE5"/>
      </x:patternFill>
    </x:fill>
    <x:fill>
      <x:patternFill patternType="solid">
        <x:fgColor rgb="FF4A7C5E"/>
      </x:patternFill>
    </x:fill>
    <x:fill>
      <x:patternFill patternType="solid">
        <x:fgColor rgb="FFB8843D"/>
      </x:patternFill>
    </x:fill>
    <x:fill>
      <x:patternFill patternType="solid">
        <x:fgColor rgb="FFEAF3EC"/>
      </x:patternFill>
    </x:fill>
    <x:fill>
      <x:patternFill patternType="solid">
        <x:fgColor rgb="FF355773"/>
      </x:patternFill>
    </x:fill>
    <x:fill>
      <x:patternFill patternType="solid">
        <x:fgColor rgb="FFE8EFF5"/>
      </x:patternFill>
    </x:fill>
    <x:fill>
      <x:patternFill patternType="solid">
        <x:fgColor rgb="FFFFF2B2"/>
      </x:patternFill>
    </x:fill>
    <x:fill>
      <x:patternFill patternType="solid">
        <x:fgColor rgb="FFDDEFE2"/>
      </x:patternFill>
    </x:fill>
    <x:fill>
      <x:patternFill patternType="solid">
        <x:fgColor rgb="FFF6E8E1"/>
      </x:patternFill>
    </x:fill>
    <x:fill>
      <x:patternFill patternType="solid">
        <x:fgColor rgb="FF9C4A2B"/>
      </x:patternFill>
    </x:fill>
    <x:fill>
      <x:patternFill patternType="solid">
        <x:fgColor rgb="FFEAF3EC"/>
      </x:patternFill>
    </x:fill>
    <x:fill>
      <x:patternFill patternType="solid">
        <x:fgColor rgb="FFFFFFFF"/>
      </x:patternFill>
    </x:fill>
    <x:fill>
      <x:patternFill patternType="solid">
        <x:fgColor rgb="FF355773"/>
      </x:patternFill>
    </x:fill>
    <x:fill>
      <x:patternFill patternType="solid">
        <x:fgColor rgb="FFDDEBF7"/>
      </x:patternFill>
    </x:fill>
    <x:fill>
      <x:patternFill patternType="solid">
        <x:fgColor rgb="FFFFF2B2"/>
      </x:patternFill>
    </x:fill>
    <x:fill>
      <x:patternFill patternType="solid">
        <x:fgColor rgb="FFF2EEE5"/>
      </x:patternFill>
    </x:fill>
    <x:fill>
      <x:patternFill patternType="solid">
        <x:fgColor rgb="FFEAF3EC"/>
      </x:patternFill>
    </x:fill>
    <x:fill>
      <x:patternFill patternType="solid">
        <x:fgColor rgb="FFFFFFFF"/>
      </x:patternFill>
    </x:fill>
    <x:fill>
      <x:patternFill patternType="solid">
        <x:fgColor rgb="FF355773"/>
      </x:patternFill>
    </x:fill>
    <x:fill>
      <x:patternFill patternType="solid">
        <x:fgColor rgb="FFDDEBF7"/>
      </x:patternFill>
    </x:fill>
    <x:fill>
      <x:patternFill patternType="solid">
        <x:fgColor rgb="FFFFF2B2"/>
      </x:patternFill>
    </x:fill>
    <x:fill>
      <x:patternFill patternType="solid">
        <x:fgColor rgb="FFF2EEE5"/>
      </x:patternFill>
    </x:fill>
    <x:fill>
      <x:patternFill patternType="solid">
        <x:fgColor rgb="FFEAF3EC"/>
      </x:patternFill>
    </x:fill>
    <x:fill>
      <x:patternFill patternType="solid">
        <x:fgColor rgb="FFFFFFFF"/>
      </x:patternFill>
    </x:fill>
    <x:fill>
      <x:patternFill patternType="solid">
        <x:fgColor rgb="FF355773"/>
      </x:patternFill>
    </x:fill>
    <x:fill>
      <x:patternFill patternType="solid">
        <x:fgColor rgb="FFDDEBF7"/>
      </x:patternFill>
    </x:fill>
    <x:fill>
      <x:patternFill patternType="solid">
        <x:fgColor rgb="FFFFF2B2"/>
      </x:patternFill>
    </x:fill>
    <x:fill>
      <x:patternFill patternType="solid">
        <x:fgColor rgb="FFF2EEE5"/>
      </x:patternFill>
    </x:fill>
  </x:fills>
  <x:borders count="11">
    <x:border>
      <x:left/>
      <x:right/>
      <x:top/>
      <x:bottom/>
      <x:diagonal/>
    </x:border>
    <x:border>
      <x:left style="thin">
        <x:color rgb="FFDCD7CA"/>
      </x:left>
      <x:right style="thin">
        <x:color rgb="FFDCD7CA"/>
      </x:right>
      <x:top style="thin">
        <x:color rgb="FFDCD7CA"/>
      </x:top>
      <x:bottom style="thin">
        <x:color rgb="FFDCD7CA"/>
      </x:bottom>
      <x:diagonal/>
    </x:border>
    <x:border>
      <x:left style="thin">
        <x:color rgb="FF355773"/>
      </x:left>
      <x:right/>
      <x:top style="thin">
        <x:color rgb="FF355773"/>
      </x:top>
      <x:bottom/>
      <x:diagonal/>
    </x:border>
    <x:border>
      <x:left/>
      <x:right/>
      <x:top style="thin">
        <x:color rgb="FF355773"/>
      </x:top>
      <x:bottom/>
      <x:diagonal/>
    </x:border>
    <x:border>
      <x:left/>
      <x:right style="thin">
        <x:color rgb="FF355773"/>
      </x:right>
      <x:top style="thin">
        <x:color rgb="FF355773"/>
      </x:top>
      <x:bottom/>
      <x:diagonal/>
    </x:border>
    <x:border>
      <x:left style="thin">
        <x:color rgb="FF355773"/>
      </x:left>
      <x:right/>
      <x:top/>
      <x:bottom/>
      <x:diagonal/>
    </x:border>
    <x:border>
      <x:left/>
      <x:right style="thin">
        <x:color rgb="FF355773"/>
      </x:right>
      <x:top/>
      <x:bottom/>
      <x:diagonal/>
    </x:border>
    <x:border>
      <x:left style="thin">
        <x:color rgb="FF355773"/>
      </x:left>
      <x:right/>
      <x:top/>
      <x:bottom style="thin">
        <x:color rgb="FF355773"/>
      </x:bottom>
      <x:diagonal/>
    </x:border>
    <x:border>
      <x:left/>
      <x:right/>
      <x:top/>
      <x:bottom style="thin">
        <x:color rgb="FF355773"/>
      </x:bottom>
      <x:diagonal/>
    </x:border>
    <x:border>
      <x:left/>
      <x:right style="thin">
        <x:color rgb="FF355773"/>
      </x:right>
      <x:top/>
      <x:bottom style="thin">
        <x:color rgb="FF355773"/>
      </x:bottom>
      <x:diagonal/>
    </x:border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E5E1D6"/>
      </x:bottom>
      <x:diagonal/>
    </x:border>
  </x:borders>
  <x:cellStyleXfs count="1">
    <x:xf numFmtId="0" fontId="0" fillId="0" borderId="0"/>
  </x:cellStyleXfs>
  <x:cellXfs count="132">
    <x:xf numFmtId="0" fontId="0" fillId="0" borderId="0" xfId="0"/>
    <x:xf numFmtId="0" fontId="1" fillId="2" borderId="0" xfId="0" applyFont="1" applyFill="1"/>
    <x:xf numFmtId="0" fontId="5" fillId="3" borderId="1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6" fillId="7" borderId="1" xfId="0" applyFont="1" applyFill="1" applyBorder="1" applyAlignment="1">
      <x:alignment horizontal="center" vertical="center" wrapText="1"/>
    </x:xf>
    <x:xf numFmtId="0" fontId="1" fillId="9" borderId="1" xfId="0" applyFont="1" applyFill="1" applyBorder="1" applyAlignment="1">
      <x:alignment vertical="center" wrapText="1"/>
    </x:xf>
    <x:xf numFmtId="0" fontId="1" fillId="10" borderId="1" xfId="0" applyFont="1" applyFill="1" applyBorder="1" applyAlignment="1">
      <x:alignment vertical="center" wrapText="1"/>
    </x:xf>
    <x:xf numFmtId="0" fontId="1" fillId="11" borderId="1" xfId="0" applyFont="1" applyFill="1" applyBorder="1" applyAlignment="1">
      <x:alignment vertical="center" wrapText="1"/>
    </x:xf>
    <x:xf numFmtId="0" fontId="1" fillId="12" borderId="1" xfId="0" applyFont="1" applyFill="1" applyBorder="1" applyAlignment="1">
      <x:alignment vertical="center" wrapText="1"/>
    </x:xf>
    <x:xf numFmtId="0" fontId="7" fillId="2" borderId="1" xfId="0" applyFont="1" applyFill="1" applyBorder="1" applyAlignment="1">
      <x:alignment vertical="center" wrapText="1"/>
    </x:xf>
    <x:xf numFmtId="164" fontId="1" fillId="2" borderId="1" xfId="0" applyNumberFormat="1" applyFont="1" applyFill="1" applyBorder="1" applyAlignment="1">
      <x:alignment vertical="center" wrapText="1"/>
    </x:xf>
    <x:xf numFmtId="164" fontId="7" fillId="2" borderId="1" xfId="0" applyNumberFormat="1" applyFont="1" applyFill="1" applyBorder="1" applyAlignment="1">
      <x:alignment vertical="center" wrapText="1"/>
    </x:xf>
    <x:xf numFmtId="165" fontId="1" fillId="2" borderId="1" xfId="0" applyNumberFormat="1" applyFont="1" applyFill="1" applyBorder="1" applyAlignment="1">
      <x:alignment vertical="center" wrapText="1"/>
    </x:xf>
    <x:xf numFmtId="165" fontId="7" fillId="2" borderId="1" xfId="0" applyNumberFormat="1" applyFont="1" applyFill="1" applyBorder="1" applyAlignment="1">
      <x:alignment vertical="center" wrapText="1"/>
    </x:xf>
    <x:xf numFmtId="0" fontId="8" fillId="9" borderId="1" xfId="0" applyFont="1" applyFill="1" applyBorder="1" applyAlignment="1">
      <x:alignment vertical="center"/>
    </x:xf>
    <x:xf numFmtId="0" fontId="1" fillId="10" borderId="1" xfId="0" applyFont="1" applyFill="1" applyBorder="1" applyAlignment="1">
      <x:alignment vertical="center"/>
    </x:xf>
    <x:xf numFmtId="0" fontId="9" fillId="9" borderId="1" xfId="0" applyFont="1" applyFill="1" applyBorder="1" applyAlignment="1">
      <x:alignment vertical="center" wrapText="1"/>
    </x:xf>
    <x:xf numFmtId="164" fontId="8" fillId="9" borderId="1" xfId="0" applyNumberFormat="1" applyFont="1" applyFill="1" applyBorder="1" applyAlignment="1">
      <x:alignment vertical="center"/>
    </x:xf>
    <x:xf numFmtId="164" fontId="1" fillId="10" borderId="1" xfId="0" applyNumberFormat="1" applyFont="1" applyFill="1" applyBorder="1" applyAlignment="1">
      <x:alignment vertical="center"/>
    </x:xf>
    <x:xf numFmtId="164" fontId="9" fillId="9" borderId="1" xfId="0" applyNumberFormat="1" applyFont="1" applyFill="1" applyBorder="1" applyAlignment="1">
      <x:alignment vertical="center" wrapText="1"/>
    </x:xf>
    <x:xf numFmtId="0" fontId="8" fillId="9" borderId="1" xfId="0" applyFont="1" applyFill="1" applyBorder="1" applyAlignment="1">
      <x:alignment vertical="center" wrapText="1"/>
    </x:xf>
    <x:xf numFmtId="164" fontId="1" fillId="10" borderId="1" xfId="0" applyNumberFormat="1" applyFont="1" applyFill="1" applyBorder="1" applyAlignment="1">
      <x:alignment vertical="center" wrapText="1"/>
    </x:xf>
    <x:xf numFmtId="164" fontId="8" fillId="9" borderId="1" xfId="0" applyNumberFormat="1" applyFont="1" applyFill="1" applyBorder="1" applyAlignment="1">
      <x:alignment vertical="center" wrapText="1"/>
    </x:xf>
    <x:xf numFmtId="166" fontId="1" fillId="10" borderId="1" xfId="0" applyNumberFormat="1" applyFont="1" applyFill="1" applyBorder="1" applyAlignment="1">
      <x:alignment vertical="center" wrapText="1"/>
    </x:xf>
    <x:xf numFmtId="166" fontId="1" fillId="2" borderId="1" xfId="0" applyNumberFormat="1" applyFont="1" applyFill="1" applyBorder="1" applyAlignment="1">
      <x:alignment vertical="center" wrapText="1"/>
    </x:xf>
    <x:xf numFmtId="0" fontId="10" fillId="7" borderId="1" xfId="0" applyFont="1" applyFill="1" applyBorder="1" applyAlignment="1">
      <x:alignment vertical="center" wrapText="1"/>
    </x:xf>
    <x:xf numFmtId="0" fontId="1" fillId="2" borderId="0" xfId="0" applyFont="1" applyFill="1" applyAlignment="1">
      <x:alignment wrapText="1"/>
    </x:xf>
    <x:xf numFmtId="0" fontId="1" fillId="15" borderId="10" xfId="0" applyFont="1" applyFill="1" applyBorder="1" applyAlignment="1">
      <x:alignment vertical="center" wrapText="1"/>
    </x:xf>
    <x:xf numFmtId="0" fontId="1" fillId="14" borderId="10" xfId="0" applyFont="1" applyFill="1" applyBorder="1" applyAlignment="1">
      <x:alignment vertical="center" wrapText="1"/>
    </x:xf>
    <x:xf numFmtId="0" fontId="7" fillId="14" borderId="10" xfId="0" applyFont="1" applyFill="1" applyBorder="1" applyAlignment="1">
      <x:alignment vertical="center" wrapText="1"/>
    </x:xf>
    <x:xf numFmtId="0" fontId="1" fillId="17" borderId="10" xfId="0" applyFont="1" applyFill="1" applyBorder="1" applyAlignment="1">
      <x:alignment vertical="center" wrapText="1"/>
    </x:xf>
    <x:xf numFmtId="0" fontId="7" fillId="15" borderId="10" xfId="0" applyFont="1" applyFill="1" applyBorder="1" applyAlignment="1">
      <x:alignment vertical="center" wrapText="1"/>
    </x:xf>
    <x:xf numFmtId="168" fontId="1" fillId="17" borderId="10" xfId="0" applyNumberFormat="1" applyFont="1" applyFill="1" applyBorder="1" applyAlignment="1">
      <x:alignment vertical="center" wrapText="1"/>
    </x:xf>
    <x:xf numFmtId="167" fontId="1" fillId="18" borderId="10" xfId="0" applyNumberFormat="1" applyFont="1" applyFill="1" applyBorder="1" applyAlignment="1">
      <x:alignment vertical="center" wrapText="1"/>
    </x:xf>
    <x:xf numFmtId="167" fontId="7" fillId="18" borderId="10" xfId="0" applyNumberFormat="1" applyFont="1" applyFill="1" applyBorder="1" applyAlignment="1">
      <x:alignment vertical="center" wrapText="1"/>
    </x:xf>
    <x:xf numFmtId="167" fontId="1" fillId="15" borderId="10" xfId="0" applyNumberFormat="1" applyFont="1" applyFill="1" applyBorder="1" applyAlignment="1">
      <x:alignment vertical="center" wrapText="1"/>
    </x:xf>
    <x:xf numFmtId="1" fontId="1" fillId="17" borderId="10" xfId="0" applyNumberFormat="1" applyFont="1" applyFill="1" applyBorder="1" applyAlignment="1">
      <x:alignment vertical="center" wrapText="1"/>
    </x:xf>
    <x:xf numFmtId="1" fontId="7" fillId="15" borderId="10" xfId="0" applyNumberFormat="1" applyFont="1" applyFill="1" applyBorder="1" applyAlignment="1">
      <x:alignment vertical="center" wrapText="1"/>
    </x:xf>
    <x:xf numFmtId="1" fontId="1" fillId="15" borderId="10" xfId="0" applyNumberFormat="1" applyFont="1" applyFill="1" applyBorder="1" applyAlignment="1">
      <x:alignment vertical="center" wrapText="1"/>
    </x:xf>
    <x:xf numFmtId="1" fontId="1" fillId="18" borderId="10" xfId="0" applyNumberFormat="1" applyFont="1" applyFill="1" applyBorder="1" applyAlignment="1">
      <x:alignment vertical="center" wrapText="1"/>
    </x:xf>
    <x:xf numFmtId="1" fontId="7" fillId="18" borderId="10" xfId="0" applyNumberFormat="1" applyFont="1" applyFill="1" applyBorder="1" applyAlignment="1">
      <x:alignment vertical="center" wrapText="1"/>
    </x:xf>
    <x:xf numFmtId="167" fontId="1" fillId="17" borderId="10" xfId="0" applyNumberFormat="1" applyFont="1" applyFill="1" applyBorder="1" applyAlignment="1">
      <x:alignment vertical="center" wrapText="1"/>
    </x:xf>
    <x:xf numFmtId="164" fontId="1" fillId="19" borderId="1" xfId="0" applyNumberFormat="1" applyFont="1" applyFill="1" applyBorder="1" applyAlignment="1">
      <x:alignment vertical="center"/>
    </x:xf>
    <x:xf numFmtId="0" fontId="1" fillId="19" borderId="1" xfId="0" applyFont="1" applyFill="1" applyBorder="1" applyAlignment="1">
      <x:alignment vertical="center"/>
    </x:xf>
    <x:xf numFmtId="164" fontId="7" fillId="19" borderId="1" xfId="0" applyNumberFormat="1" applyFont="1" applyFill="1" applyBorder="1" applyAlignment="1">
      <x:alignment vertical="center" wrapText="1"/>
    </x:xf>
    <x:xf numFmtId="0" fontId="7" fillId="19" borderId="1" xfId="0" applyFont="1" applyFill="1" applyBorder="1" applyAlignment="1">
      <x:alignment vertical="center" wrapText="1"/>
    </x:xf>
    <x:xf numFmtId="164" fontId="1" fillId="19" borderId="1" xfId="0" applyNumberFormat="1" applyFont="1" applyFill="1" applyBorder="1" applyAlignment="1">
      <x:alignment vertical="center" wrapText="1"/>
    </x:xf>
    <x:xf numFmtId="1" fontId="1" fillId="19" borderId="1" xfId="0" applyNumberFormat="1" applyFont="1" applyFill="1" applyBorder="1" applyAlignment="1">
      <x:alignment vertical="center" wrapText="1"/>
    </x:xf>
    <x:xf numFmtId="0" fontId="1" fillId="2" borderId="1" xfId="0" applyFont="1" applyFill="1" applyBorder="1" applyAlignment="1">
      <x:alignment vertical="center" wrapText="1"/>
    </x:xf>
    <x:xf numFmtId="0" fontId="4" fillId="8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3" fillId="4" borderId="0" xfId="0" applyFont="1" applyFill="1" applyAlignment="1">
      <x:alignment vertical="center"/>
    </x:xf>
    <x:xf numFmtId="0" fontId="4" fillId="5" borderId="0" xfId="0" applyFont="1" applyFill="1" applyAlignment="1">
      <x:alignment vertical="center"/>
    </x:xf>
    <x:xf numFmtId="0" fontId="4" fillId="6" borderId="0" xfId="0" applyFont="1" applyFill="1" applyAlignment="1">
      <x:alignment vertical="center"/>
    </x:xf>
    <x:xf numFmtId="0" fontId="8" fillId="9" borderId="2" xfId="0" applyFont="1" applyFill="1" applyBorder="1" applyAlignment="1">
      <x:alignment vertical="center" wrapText="1"/>
    </x:xf>
    <x:xf numFmtId="0" fontId="8" fillId="9" borderId="3" xfId="0" applyFont="1" applyFill="1" applyBorder="1" applyAlignment="1">
      <x:alignment vertical="center" wrapText="1"/>
    </x:xf>
    <x:xf numFmtId="0" fontId="8" fillId="9" borderId="4" xfId="0" applyFont="1" applyFill="1" applyBorder="1" applyAlignment="1">
      <x:alignment vertical="center" wrapText="1"/>
    </x:xf>
    <x:xf numFmtId="0" fontId="8" fillId="9" borderId="5" xfId="0" applyFont="1" applyFill="1" applyBorder="1" applyAlignment="1">
      <x:alignment vertical="center" wrapText="1"/>
    </x:xf>
    <x:xf numFmtId="0" fontId="8" fillId="9" borderId="0" xfId="0" applyFont="1" applyFill="1" applyAlignment="1">
      <x:alignment vertical="center" wrapText="1"/>
    </x:xf>
    <x:xf numFmtId="0" fontId="8" fillId="9" borderId="6" xfId="0" applyFont="1" applyFill="1" applyBorder="1" applyAlignment="1">
      <x:alignment vertical="center" wrapText="1"/>
    </x:xf>
    <x:xf numFmtId="0" fontId="8" fillId="9" borderId="7" xfId="0" applyFont="1" applyFill="1" applyBorder="1" applyAlignment="1">
      <x:alignment vertical="center" wrapText="1"/>
    </x:xf>
    <x:xf numFmtId="0" fontId="8" fillId="9" borderId="8" xfId="0" applyFont="1" applyFill="1" applyBorder="1" applyAlignment="1">
      <x:alignment vertical="center" wrapText="1"/>
    </x:xf>
    <x:xf numFmtId="0" fontId="8" fillId="9" borderId="9" xfId="0" applyFont="1" applyFill="1" applyBorder="1" applyAlignment="1">
      <x:alignment vertical="center" wrapText="1"/>
    </x:xf>
    <x:xf numFmtId="0" fontId="4" fillId="13" borderId="0" xfId="0" applyFont="1" applyFill="1" applyAlignment="1">
      <x:alignment vertical="center"/>
    </x:xf>
    <x:xf numFmtId="0" fontId="8" fillId="14" borderId="0" xfId="0" applyFont="1" applyFill="1" applyAlignment="1">
      <x:alignment wrapText="1"/>
    </x:xf>
    <x:xf numFmtId="0" fontId="5" fillId="3" borderId="1" xfId="0" applyFont="1" applyFill="1" applyBorder="1" applyAlignment="1">
      <x:alignment horizontal="center" vertical="center" wrapText="1"/>
    </x:xf>
    <x:xf numFmtId="0" fontId="1" fillId="10" borderId="1" xfId="0" applyFont="1" applyFill="1" applyBorder="1" applyAlignment="1">
      <x:alignment vertical="center" wrapText="1"/>
    </x:xf>
    <x:xf numFmtId="0" fontId="1" fillId="2" borderId="0" xfId="0" applyFont="1" applyFill="1" applyAlignment="1">
      <x:alignment wrapText="1"/>
    </x:xf>
    <x:xf numFmtId="0" fontId="1" fillId="15" borderId="10" xfId="0" applyFont="1" applyFill="1" applyBorder="1" applyAlignment="1">
      <x:alignment vertical="center" wrapText="1"/>
    </x:xf>
    <x:xf numFmtId="0" fontId="11" fillId="16" borderId="10" xfId="0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10" xfId="0" applyNumberFormat="1" applyFont="1" applyFill="1" applyBorder="1"/>
    <x:xf numFmtId="0" fontId="1" fillId="21" borderId="10" xfId="0" applyNumberFormat="1" applyFont="1" applyFill="1" applyBorder="1" applyAlignment="1">
      <x:alignment wrapText="1"/>
    </x:xf>
    <x:xf numFmtId="0" fontId="1" fillId="21" borderId="10" xfId="0" applyNumberFormat="1" applyFont="1" applyFill="1" applyBorder="1" applyAlignment="1">
      <x:alignment vertical="center" wrapText="1"/>
    </x:xf>
    <x:xf numFmtId="0" fontId="1" fillId="22" borderId="10" xfId="0" applyNumberFormat="1" applyFont="1" applyFill="1" applyBorder="1" applyAlignment="1">
      <x:alignment vertical="center" wrapText="1"/>
    </x:xf>
    <x:xf numFmtId="0" fontId="11" fillId="22" borderId="10" xfId="0" applyNumberFormat="1" applyFont="1" applyFill="1" applyBorder="1" applyAlignment="1">
      <x:alignment vertical="center" wrapText="1"/>
    </x:xf>
    <x:xf numFmtId="0" fontId="1" fillId="20" borderId="10" xfId="0" applyNumberFormat="1" applyFont="1" applyFill="1" applyBorder="1" applyAlignment="1">
      <x:alignment vertical="center" wrapText="1"/>
    </x:xf>
    <x:xf numFmtId="0" fontId="7" fillId="20" borderId="10" xfId="0" applyNumberFormat="1" applyFont="1" applyFill="1" applyBorder="1" applyAlignment="1">
      <x:alignment vertical="center" wrapText="1"/>
    </x:xf>
    <x:xf numFmtId="0" fontId="1" fillId="23" borderId="10" xfId="0" applyNumberFormat="1" applyFont="1" applyFill="1" applyBorder="1" applyAlignment="1">
      <x:alignment vertical="center" wrapText="1"/>
    </x:xf>
    <x:xf numFmtId="0" fontId="1" fillId="24" borderId="10" xfId="0" applyNumberFormat="1" applyFont="1" applyFill="1" applyBorder="1" applyAlignment="1">
      <x:alignment vertical="center" wrapText="1"/>
    </x:xf>
    <x:xf numFmtId="0" fontId="7" fillId="21" borderId="10" xfId="0" applyNumberFormat="1" applyFont="1" applyFill="1" applyBorder="1" applyAlignment="1">
      <x:alignment vertical="center" wrapText="1"/>
    </x:xf>
    <x:xf numFmtId="0" fontId="7" fillId="24" borderId="10" xfId="0" applyNumberFormat="1" applyFont="1" applyFill="1" applyBorder="1" applyAlignment="1">
      <x:alignment vertical="center" wrapText="1"/>
    </x:xf>
    <x:xf numFmtId="168" fontId="1" fillId="23" borderId="10" xfId="0" applyNumberFormat="1" applyFont="1" applyFill="1" applyBorder="1" applyAlignment="1">
      <x:alignment vertical="center" wrapText="1"/>
    </x:xf>
    <x:xf numFmtId="167" fontId="1" fillId="24" borderId="10" xfId="0" applyNumberFormat="1" applyFont="1" applyFill="1" applyBorder="1" applyAlignment="1">
      <x:alignment vertical="center" wrapText="1"/>
    </x:xf>
    <x:xf numFmtId="167" fontId="7" fillId="24" borderId="10" xfId="0" applyNumberFormat="1" applyFont="1" applyFill="1" applyBorder="1" applyAlignment="1">
      <x:alignment vertical="center" wrapText="1"/>
    </x:xf>
    <x:xf numFmtId="167" fontId="1" fillId="21" borderId="10" xfId="0" applyNumberFormat="1" applyFont="1" applyFill="1" applyBorder="1" applyAlignment="1">
      <x:alignment vertical="center" wrapText="1"/>
    </x:xf>
    <x:xf numFmtId="200" fontId="1" fillId="23" borderId="10" xfId="0" applyNumberFormat="1" applyFont="1" applyFill="1" applyBorder="1" applyAlignment="1">
      <x:alignment vertical="center" wrapText="1"/>
    </x:xf>
    <x:xf numFmtId="200" fontId="7" fillId="21" borderId="10" xfId="0" applyNumberFormat="1" applyFont="1" applyFill="1" applyBorder="1" applyAlignment="1">
      <x:alignment vertical="center" wrapText="1"/>
    </x:xf>
    <x:xf numFmtId="200" fontId="1" fillId="21" borderId="10" xfId="0" applyNumberFormat="1" applyFont="1" applyFill="1" applyBorder="1" applyAlignment="1">
      <x:alignment vertical="center" wrapText="1"/>
    </x:xf>
    <x:xf numFmtId="200" fontId="1" fillId="24" borderId="10" xfId="0" applyNumberFormat="1" applyFont="1" applyFill="1" applyBorder="1" applyAlignment="1">
      <x:alignment vertical="center" wrapText="1"/>
    </x:xf>
    <x:xf numFmtId="200" fontId="7" fillId="24" borderId="10" xfId="0" applyNumberFormat="1" applyFont="1" applyFill="1" applyBorder="1" applyAlignment="1">
      <x:alignment vertical="center" wrapText="1"/>
    </x:xf>
    <x:xf numFmtId="167" fontId="1" fillId="23" borderId="10" xfId="0" applyNumberFormat="1" applyFont="1" applyFill="1" applyBorder="1" applyAlignment="1">
      <x:alignment vertical="center" wrapText="1"/>
    </x:xf>
    <x:xf numFmtId="164" fontId="1" fillId="25" borderId="1" xfId="0" applyNumberFormat="1" applyFont="1" applyFill="1" applyBorder="1" applyAlignment="1">
      <x:alignment vertical="center"/>
    </x:xf>
    <x:xf numFmtId="0" fontId="1" fillId="25" borderId="1" xfId="0" applyNumberFormat="1" applyFont="1" applyFill="1" applyBorder="1" applyAlignment="1">
      <x:alignment vertical="center"/>
    </x:xf>
    <x:xf numFmtId="164" fontId="7" fillId="25" borderId="1" xfId="0" applyNumberFormat="1" applyFont="1" applyFill="1" applyBorder="1" applyAlignment="1">
      <x:alignment vertical="center" wrapText="1"/>
    </x:xf>
    <x:xf numFmtId="0" fontId="7" fillId="25" borderId="1" xfId="0" applyNumberFormat="1" applyFont="1" applyFill="1" applyBorder="1" applyAlignment="1">
      <x:alignment vertical="center" wrapText="1"/>
    </x:xf>
    <x:xf numFmtId="164" fontId="1" fillId="25" borderId="1" xfId="0" applyNumberFormat="1" applyFont="1" applyFill="1" applyBorder="1" applyAlignment="1">
      <x:alignment vertical="center" wrapText="1"/>
    </x:xf>
    <x:xf numFmtId="1" fontId="1" fillId="25" borderId="1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10" xfId="0" applyNumberFormat="1" applyFont="1" applyFill="1" applyBorder="1"/>
    <x:xf numFmtId="0" fontId="1" fillId="27" borderId="10" xfId="0" applyNumberFormat="1" applyFont="1" applyFill="1" applyBorder="1" applyAlignment="1">
      <x:alignment wrapText="1"/>
    </x:xf>
    <x:xf numFmtId="0" fontId="1" fillId="27" borderId="10" xfId="0" applyNumberFormat="1" applyFont="1" applyFill="1" applyBorder="1" applyAlignment="1">
      <x:alignment vertical="center" wrapText="1"/>
    </x:xf>
    <x:xf numFmtId="0" fontId="1" fillId="28" borderId="10" xfId="0" applyNumberFormat="1" applyFont="1" applyFill="1" applyBorder="1" applyAlignment="1">
      <x:alignment vertical="center" wrapText="1"/>
    </x:xf>
    <x:xf numFmtId="0" fontId="11" fillId="28" borderId="10" xfId="0" applyNumberFormat="1" applyFont="1" applyFill="1" applyBorder="1" applyAlignment="1">
      <x:alignment vertical="center" wrapText="1"/>
    </x:xf>
    <x:xf numFmtId="0" fontId="1" fillId="26" borderId="10" xfId="0" applyNumberFormat="1" applyFont="1" applyFill="1" applyBorder="1" applyAlignment="1">
      <x:alignment vertical="center" wrapText="1"/>
    </x:xf>
    <x:xf numFmtId="0" fontId="7" fillId="26" borderId="10" xfId="0" applyNumberFormat="1" applyFont="1" applyFill="1" applyBorder="1" applyAlignment="1">
      <x:alignment vertical="center" wrapText="1"/>
    </x:xf>
    <x:xf numFmtId="0" fontId="1" fillId="29" borderId="10" xfId="0" applyNumberFormat="1" applyFont="1" applyFill="1" applyBorder="1" applyAlignment="1">
      <x:alignment vertical="center" wrapText="1"/>
    </x:xf>
    <x:xf numFmtId="0" fontId="1" fillId="30" borderId="10" xfId="0" applyNumberFormat="1" applyFont="1" applyFill="1" applyBorder="1" applyAlignment="1">
      <x:alignment vertical="center" wrapText="1"/>
    </x:xf>
    <x:xf numFmtId="0" fontId="7" fillId="27" borderId="10" xfId="0" applyNumberFormat="1" applyFont="1" applyFill="1" applyBorder="1" applyAlignment="1">
      <x:alignment vertical="center" wrapText="1"/>
    </x:xf>
    <x:xf numFmtId="0" fontId="7" fillId="30" borderId="10" xfId="0" applyNumberFormat="1" applyFont="1" applyFill="1" applyBorder="1" applyAlignment="1">
      <x:alignment vertical="center" wrapText="1"/>
    </x:xf>
    <x:xf numFmtId="168" fontId="1" fillId="29" borderId="10" xfId="0" applyNumberFormat="1" applyFont="1" applyFill="1" applyBorder="1" applyAlignment="1">
      <x:alignment vertical="center" wrapText="1"/>
    </x:xf>
    <x:xf numFmtId="167" fontId="1" fillId="30" borderId="10" xfId="0" applyNumberFormat="1" applyFont="1" applyFill="1" applyBorder="1" applyAlignment="1">
      <x:alignment vertical="center" wrapText="1"/>
    </x:xf>
    <x:xf numFmtId="167" fontId="7" fillId="30" borderId="10" xfId="0" applyNumberFormat="1" applyFont="1" applyFill="1" applyBorder="1" applyAlignment="1">
      <x:alignment vertical="center" wrapText="1"/>
    </x:xf>
    <x:xf numFmtId="167" fontId="1" fillId="27" borderId="10" xfId="0" applyNumberFormat="1" applyFont="1" applyFill="1" applyBorder="1" applyAlignment="1">
      <x:alignment vertical="center" wrapText="1"/>
    </x:xf>
    <x:xf numFmtId="200" fontId="1" fillId="29" borderId="10" xfId="0" applyNumberFormat="1" applyFont="1" applyFill="1" applyBorder="1" applyAlignment="1">
      <x:alignment vertical="center" wrapText="1"/>
    </x:xf>
    <x:xf numFmtId="200" fontId="7" fillId="27" borderId="10" xfId="0" applyNumberFormat="1" applyFont="1" applyFill="1" applyBorder="1" applyAlignment="1">
      <x:alignment vertical="center" wrapText="1"/>
    </x:xf>
    <x:xf numFmtId="200" fontId="1" fillId="27" borderId="10" xfId="0" applyNumberFormat="1" applyFont="1" applyFill="1" applyBorder="1" applyAlignment="1">
      <x:alignment vertical="center" wrapText="1"/>
    </x:xf>
    <x:xf numFmtId="200" fontId="1" fillId="30" borderId="10" xfId="0" applyNumberFormat="1" applyFont="1" applyFill="1" applyBorder="1" applyAlignment="1">
      <x:alignment vertical="center" wrapText="1"/>
    </x:xf>
    <x:xf numFmtId="200" fontId="7" fillId="30" borderId="10" xfId="0" applyNumberFormat="1" applyFont="1" applyFill="1" applyBorder="1" applyAlignment="1">
      <x:alignment vertical="center" wrapText="1"/>
    </x:xf>
    <x:xf numFmtId="167" fontId="1" fillId="29" borderId="10" xfId="0" applyNumberFormat="1" applyFont="1" applyFill="1" applyBorder="1" applyAlignment="1">
      <x:alignment vertical="center" wrapText="1"/>
    </x:xf>
    <x:xf numFmtId="164" fontId="1" fillId="31" borderId="1" xfId="0" applyNumberFormat="1" applyFont="1" applyFill="1" applyBorder="1" applyAlignment="1">
      <x:alignment vertical="center"/>
    </x:xf>
    <x:xf numFmtId="0" fontId="1" fillId="31" borderId="1" xfId="0" applyNumberFormat="1" applyFont="1" applyFill="1" applyBorder="1" applyAlignment="1">
      <x:alignment vertical="center"/>
    </x:xf>
    <x:xf numFmtId="164" fontId="7" fillId="31" borderId="1" xfId="0" applyNumberFormat="1" applyFont="1" applyFill="1" applyBorder="1" applyAlignment="1">
      <x:alignment vertical="center" wrapText="1"/>
    </x:xf>
    <x:xf numFmtId="0" fontId="7" fillId="31" borderId="1" xfId="0" applyNumberFormat="1" applyFont="1" applyFill="1" applyBorder="1" applyAlignment="1">
      <x:alignment vertical="center" wrapText="1"/>
    </x:xf>
    <x:xf numFmtId="164" fontId="1" fillId="31" borderId="1" xfId="0" applyNumberFormat="1" applyFont="1" applyFill="1" applyBorder="1" applyAlignment="1">
      <x:alignment vertical="center" wrapText="1"/>
    </x:xf>
    <x:xf numFmtId="1" fontId="1" fillId="31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6">
    <x:dxf>
      <x:font>
        <x:color rgb="FF9C0006"/>
      </x:font>
      <x:fill>
        <x:patternFill>
          <x:bgColor rgb="FFFCE4D6"/>
        </x:patternFill>
      </x:fill>
    </x:dxf>
    <x:dxf>
      <x:font>
        <x:color rgb="FF355773"/>
      </x:font>
      <x:fill>
        <x:patternFill>
          <x:bgColor rgb="FFEAF3E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55773"/>
      </x:font>
      <x:fill>
        <x:patternFill>
          <x:bgColor rgb="FFEAF3E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55773"/>
      </x:font>
      <x:fill>
        <x:patternFill>
          <x:bgColor rgb="FFEAF3E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55773"/>
      </x:font>
      <x:fill>
        <x:patternFill>
          <x:bgColor rgb="FFEAF3E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55773"/>
      </x:font>
      <x:fill>
        <x:patternFill>
          <x:bgColor rgb="FFEAF3E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55773"/>
      </x:font>
      <x:fill>
        <x:patternFill>
          <x:bgColor rgb="FFEAF3E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55773"/>
      </x:font>
      <x:fill>
        <x:patternFill>
          <x:bgColor rgb="FFEAF3E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55773"/>
      </x:font>
      <x:fill>
        <x:patternFill>
          <x:bgColor rgb="FFEAF3EC"/>
        </x:patternFill>
      </x:fill>
    </x:dxf>
    <x:dxf>
      <x:font>
        <x:b/>
        <x:color rgb="FF9C4A2B"/>
      </x:font>
      <x:fill>
        <x:patternFill>
          <x:bgColor rgb="FFF6E8E1"/>
        </x:patternFill>
      </x:fill>
    </x:dxf>
    <x:dxf>
      <x:font>
        <x:b/>
        <x:color rgb="FF4A7C5E"/>
      </x:font>
      <x:fill>
        <x:patternFill>
          <x:bgColor rgb="FFDDEFE2"/>
        </x:patternFill>
      </x:fill>
    </x:dxf>
    <x:dxf>
      <x:font>
        <x:b/>
        <x:color rgb="FF9C4A2B"/>
      </x:font>
      <x:fill>
        <x:patternFill>
          <x:bgColor rgb="FFF6E8E1"/>
        </x:patternFill>
      </x:fill>
    </x:dxf>
    <x:dxf>
      <x:font>
        <x:b/>
        <x:color rgb="FF4A7C5E"/>
      </x:font>
      <x:fill>
        <x:patternFill>
          <x:bgColor rgb="FFDDEFE2"/>
        </x:patternFill>
      </x:fill>
    </x:dxf>
    <x:dxf>
      <x:font>
        <x:b/>
        <x:color rgb="FF9C4A2B"/>
      </x:font>
      <x:fill>
        <x:patternFill>
          <x:bgColor rgb="FFF6E8E1"/>
        </x:patternFill>
      </x:fill>
    </x:dxf>
    <x:dxf>
      <x:font>
        <x:b/>
        <x:color rgb="FF4A7C5E"/>
      </x:font>
      <x:fill>
        <x:patternFill>
          <x:bgColor rgb="FFDDEFE2"/>
        </x:patternFill>
      </x:fill>
    </x:dxf>
    <x:dxf>
      <x:font>
        <x:b/>
        <x:color rgb="FF9C4A2B"/>
      </x:font>
      <x:fill>
        <x:patternFill>
          <x:bgColor rgb="FFF6E8E1"/>
        </x:patternFill>
      </x:fill>
    </x:dxf>
    <x:dxf>
      <x:font>
        <x:b/>
        <x:color rgb="FF4A7C5E"/>
      </x:font>
      <x:fill>
        <x:patternFill>
          <x:bgColor rgb="FFDDEFE2"/>
        </x:patternFill>
      </x:fill>
    </x:dxf>
    <x:dxf>
      <x:font>
        <x:color rgb="FF355773"/>
      </x:font>
      <x:fill>
        <x:patternFill>
          <x:bgColor rgb="FFEAF3E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55773"/>
      </x:font>
      <x:fill>
        <x:patternFill>
          <x:bgColor rgb="FFEAF3E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55773"/>
      </x:font>
      <x:fill>
        <x:patternFill>
          <x:bgColor rgb="FFEAF3E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55773"/>
      </x:font>
      <x:fill>
        <x:patternFill patternType="solid">
          <x:bgColor rgb="FFEAF3E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55773"/>
      </x:font>
      <x:fill>
        <x:patternFill patternType="solid">
          <x:bgColor rgb="FFEAF3E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55773"/>
      </x:font>
      <x:fill>
        <x:patternFill patternType="solid">
          <x:bgColor rgb="FFEAF3E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7ba697d9940f3" /><Relationship Type="http://schemas.openxmlformats.org/officeDocument/2006/relationships/theme" Target="/xl/theme/theme1.xml" Id="Re71655bf5ae44e20" /><Relationship Type="http://schemas.openxmlformats.org/officeDocument/2006/relationships/sharedStrings" Target="/xl/sharedStrings.xml" Id="R4d27740647b34dbf" /><Relationship Type="http://schemas.openxmlformats.org/officeDocument/2006/relationships/worksheet" Target="/xl/worksheets/sheet1.xml" Id="R4520b89658574836" /><Relationship Type="http://schemas.openxmlformats.org/officeDocument/2006/relationships/worksheet" Target="/xl/worksheets/sheet2.xml" Id="R4b3f578979c14d7c" /><Relationship Type="http://schemas.openxmlformats.org/officeDocument/2006/relationships/worksheet" Target="/xl/worksheets/sheet3.xml" Id="R6c4f99ddd28c440b" /><Relationship Type="http://schemas.openxmlformats.org/officeDocument/2006/relationships/worksheet" Target="/xl/worksheets/sheet4.xml" Id="R0464044c3ae84690" /><Relationship Type="http://schemas.openxmlformats.org/officeDocument/2006/relationships/worksheet" Target="/xl/worksheets/sheet5.xml" Id="Rd60b16beb1e64bce" /><Relationship Type="http://schemas.openxmlformats.org/officeDocument/2006/relationships/worksheet" Target="/xl/worksheets/sheet6.xml" Id="Rfbf7744187784b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7" customWidth="1"/>
    <x:col min="2" max="2" width="24" customWidth="1"/>
    <x:col min="3" max="3" width="58" customWidth="1"/>
    <x:col min="4" max="8" width="19" customWidth="1"/>
  </x:cols>
  <x:sheetData>
    <x:row r="1" ht="34" customHeight="1">
      <x:c r="A1" s="51" t="s">
        <x:v>0</x:v>
      </x:c>
      <x:c r="B1" s="51"/>
      <x:c r="C1" s="51"/>
      <x:c r="D1" s="51"/>
      <x:c r="E1" s="51"/>
      <x:c r="F1" s="51"/>
      <x:c r="G1" s="51"/>
      <x:c r="H1" s="51"/>
      <x:c r="I1" s="1"/>
      <x:c r="J1" s="1"/>
      <x:c r="K1" s="1"/>
    </x:row>
    <x:row r="2" ht="24" customHeight="1">
      <x:c r="A2" s="52" t="str">
        <x:v>Learn FIFO first → compare weighted average → use the management model → decide</x:v>
      </x:c>
      <x:c r="B2" s="52"/>
      <x:c r="C2" s="52"/>
      <x:c r="D2" s="52"/>
      <x:c r="E2" s="52"/>
      <x:c r="F2" s="52"/>
      <x:c r="G2" s="52"/>
      <x:c r="H2" s="52"/>
      <x:c r="I2" s="1"/>
      <x:c r="J2" s="1"/>
      <x:c r="K2" s="1"/>
    </x:row>
    <x:row r="3" ht="15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53" t="s">
        <x:v>1</x:v>
      </x:c>
      <x:c r="B4" s="53" t="s">
        <x:v>1</x:v>
      </x:c>
      <x:c r="C4" s="53" t="s">
        <x:v>1</x:v>
      </x:c>
      <x:c r="D4" s="53" t="s">
        <x:v>1</x:v>
      </x:c>
      <x:c r="E4" s="53" t="s">
        <x:v>1</x:v>
      </x:c>
      <x:c r="F4" s="53" t="s">
        <x:v>1</x:v>
      </x:c>
      <x:c r="G4" s="53" t="s">
        <x:v>1</x:v>
      </x:c>
      <x:c r="H4" s="53" t="s">
        <x:v>1</x:v>
      </x:c>
      <x:c r="I4" s="1"/>
      <x:c r="J4" s="1"/>
      <x:c r="K4" s="1"/>
    </x:row>
    <x:row r="5" ht="30" customHeight="1">
      <x:c r="A5" s="2" t="s">
        <x:v>2</x:v>
      </x:c>
      <x:c r="B5" s="2" t="s">
        <x:v>3</x:v>
      </x:c>
      <x:c r="C5" s="2" t="s">
        <x:v>4</x:v>
      </x:c>
      <x:c r="D5" s="2" t="s">
        <x:v>5</x:v>
      </x:c>
      <x:c r="E5" s="1"/>
      <x:c r="F5" s="1"/>
      <x:c r="G5" s="1"/>
      <x:c r="H5" s="1"/>
      <x:c r="I5" s="1"/>
      <x:c r="J5" s="1"/>
      <x:c r="K5" s="1"/>
    </x:row>
    <x:row r="6" ht="42" customHeight="1">
      <x:c r="A6" s="4">
        <x:v>1</x:v>
      </x:c>
      <x:c r="B6" s="3" t="s">
        <x:v>6</x:v>
      </x:c>
      <x:c r="C6" s="3" t="str">
        <x:v>Read and preserve source data. Hoodie sales and total business revenue have different scopes.</x:v>
      </x:c>
      <x:c r="D6" s="3" t="s">
        <x:v>7</x:v>
      </x:c>
      <x:c r="E6" s="1"/>
      <x:c r="F6" s="1"/>
      <x:c r="G6" s="1"/>
      <x:c r="H6" s="1"/>
      <x:c r="I6" s="1"/>
      <x:c r="J6" s="1"/>
      <x:c r="K6" s="1"/>
    </x:row>
    <x:row r="7" ht="68" customHeight="1">
      <x:c r="A7" s="4">
        <x:v>2</x:v>
      </x:c>
      <x:c r="B7" s="3" t="str">
        <x:v>Live You Try It</x:v>
      </x:c>
      <x:c r="C7" s="3" t="str">
        <x:v>Stage 1: A with the instructor (rows 4–17), then B independently (rows 20–33). Decide units sold first; calculate costs second.</x:v>
      </x:c>
      <x:c r="D7" s="3" t="str">
        <x:v>You can explain which purchases supplied the sold units and which units remain.</x:v>
      </x:c>
      <x:c r="E7" s="1"/>
      <x:c r="F7" s="1"/>
      <x:c r="G7" s="1"/>
      <x:c r="H7" s="1"/>
      <x:c r="I7" s="1"/>
      <x:c r="J7" s="1"/>
      <x:c r="K7" s="1"/>
    </x:row>
    <x:row r="8" ht="68" customHeight="1">
      <x:c r="A8" s="4">
        <x:v>3</x:v>
      </x:c>
      <x:c r="B8" s="3" t="str">
        <x:v>Live You Try It</x:v>
      </x:c>
      <x:c r="C8" s="3" t="str">
        <x:v>Stage 2: LIFO in rows 36–49, then weighted average last in rows 52–62. Compare the same sale under all three methods.</x:v>
      </x:c>
      <x:c r="D8" s="3" t="str">
        <x:v>You can explain why the same sale has different assigned costs.</x:v>
      </x:c>
      <x:c r="E8" s="1"/>
      <x:c r="F8" s="1"/>
      <x:c r="G8" s="1"/>
      <x:c r="H8" s="1"/>
      <x:c r="I8" s="1"/>
      <x:c r="J8" s="1"/>
      <x:c r="K8" s="1"/>
    </x:row>
    <x:row r="9" ht="68" customHeight="1">
      <x:c r="A9" s="4">
        <x:v>4</x:v>
      </x:c>
      <x:c r="B9" s="3" t="str">
        <x:v>Management Model</x:v>
      </x:c>
      <x:c r="C9" s="3" t="str">
        <x:v>Stage 3: FIFO and weighted-average A results flow here automatically. Complete the profit schedule and, when assigned, the later overhead work and Decision Brief.</x:v>
      </x:c>
      <x:c r="D9" s="3" t="str">
        <x:v>Use completed inventory results; do not rebuild the FIFO calculation.</x:v>
      </x:c>
      <x:c r="E9" s="1"/>
      <x:c r="F9" s="1"/>
      <x:c r="G9" s="1"/>
      <x:c r="H9" s="1"/>
      <x:c r="I9" s="1"/>
      <x:c r="J9" s="1"/>
      <x:c r="K9" s="1"/>
    </x:row>
    <x:row r="10" ht="42" customHeight="1">
      <x:c r="A10" s="4">
        <x:v>5</x:v>
      </x:c>
      <x:c r="B10" s="3" t="s">
        <x:v>8</x:v>
      </x:c>
      <x:c r="C10" s="3" t="str">
        <x:v>Check units and dollars. Finish the Decision Brief and downside scenario when assigned. Save before submitting.</x:v>
      </x:c>
      <x:c r="D10" s="3" t="s">
        <x:v>9</x:v>
      </x:c>
      <x:c r="E10" s="1"/>
      <x:c r="F10" s="1"/>
      <x:c r="G10" s="1"/>
      <x:c r="H10" s="1"/>
      <x:c r="I10" s="1"/>
      <x:c r="J10" s="1"/>
      <x:c r="K10" s="1"/>
    </x:row>
    <x:row r="11" ht="15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4" customHeight="1">
      <x:c r="A12" s="54" t="s">
        <x:v>10</x:v>
      </x:c>
      <x:c r="B12" s="54" t="s">
        <x:v>10</x:v>
      </x:c>
      <x:c r="C12" s="54" t="s">
        <x:v>10</x:v>
      </x:c>
      <x:c r="D12" s="54" t="s">
        <x:v>10</x:v>
      </x:c>
      <x:c r="E12" s="54" t="s">
        <x:v>10</x:v>
      </x:c>
      <x:c r="F12" s="54" t="s">
        <x:v>10</x:v>
      </x:c>
      <x:c r="G12" s="54" t="s">
        <x:v>10</x:v>
      </x:c>
      <x:c r="H12" s="54" t="s">
        <x:v>10</x:v>
      </x:c>
      <x:c r="I12" s="1"/>
      <x:c r="J12" s="1"/>
      <x:c r="K12" s="1"/>
    </x:row>
    <x:row r="13" ht="30" customHeight="1">
      <x:c r="A13" s="5" t="s">
        <x:v>11</x:v>
      </x:c>
      <x:c r="B13" s="49" t="s">
        <x:v>12</x:v>
      </x:c>
      <x:c r="C13" s="49"/>
      <x:c r="D13" s="49"/>
      <x:c r="E13" s="49"/>
      <x:c r="F13" s="49"/>
      <x:c r="G13" s="49"/>
      <x:c r="H13" s="49"/>
      <x:c r="I13" s="1"/>
      <x:c r="J13" s="1"/>
      <x:c r="K13" s="1"/>
    </x:row>
    <x:row r="14" ht="30" customHeight="1">
      <x:c r="A14" s="5" t="s">
        <x:v>11</x:v>
      </x:c>
      <x:c r="B14" s="49" t="s">
        <x:v>13</x:v>
      </x:c>
      <x:c r="C14" s="49"/>
      <x:c r="D14" s="49"/>
      <x:c r="E14" s="49"/>
      <x:c r="F14" s="49"/>
      <x:c r="G14" s="49"/>
      <x:c r="H14" s="49"/>
      <x:c r="I14" s="1"/>
      <x:c r="J14" s="1"/>
      <x:c r="K14" s="1"/>
    </x:row>
    <x:row r="15" ht="30" customHeight="1">
      <x:c r="A15" s="5" t="s">
        <x:v>11</x:v>
      </x:c>
      <x:c r="B15" s="49" t="s">
        <x:v>14</x:v>
      </x:c>
      <x:c r="C15" s="49"/>
      <x:c r="D15" s="49"/>
      <x:c r="E15" s="49"/>
      <x:c r="F15" s="49"/>
      <x:c r="G15" s="49"/>
      <x:c r="H15" s="49"/>
      <x:c r="I15" s="1"/>
      <x:c r="J15" s="1"/>
      <x:c r="K15" s="1"/>
    </x:row>
    <x:row r="16" ht="30" customHeight="1">
      <x:c r="A16" s="5" t="s">
        <x:v>11</x:v>
      </x:c>
      <x:c r="B16" s="49" t="s">
        <x:v>15</x:v>
      </x:c>
      <x:c r="C16" s="49"/>
      <x:c r="D16" s="49"/>
      <x:c r="E16" s="49"/>
      <x:c r="F16" s="49"/>
      <x:c r="G16" s="49"/>
      <x:c r="H16" s="49"/>
      <x:c r="I16" s="1"/>
      <x:c r="J16" s="1"/>
      <x:c r="K16" s="1"/>
    </x:row>
    <x:row r="17" ht="15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4" customHeight="1">
      <x:c r="A18" s="50" t="s">
        <x:v>16</x:v>
      </x:c>
      <x:c r="B18" s="50" t="s">
        <x:v>16</x:v>
      </x:c>
      <x:c r="C18" s="50" t="s">
        <x:v>16</x:v>
      </x:c>
      <x:c r="D18" s="50" t="s">
        <x:v>16</x:v>
      </x:c>
      <x:c r="E18" s="50" t="s">
        <x:v>16</x:v>
      </x:c>
      <x:c r="F18" s="50" t="s">
        <x:v>16</x:v>
      </x:c>
      <x:c r="G18" s="50" t="s">
        <x:v>16</x:v>
      </x:c>
      <x:c r="H18" s="50" t="s">
        <x:v>16</x:v>
      </x:c>
      <x:c r="I18" s="1"/>
      <x:c r="J18" s="1"/>
      <x:c r="K18" s="1"/>
    </x:row>
    <x:row r="19" ht="48">
      <x:c r="A19" s="6" t="s">
        <x:v>17</x:v>
      </x:c>
      <x:c r="B19" s="3" t="str">
        <x:v>Source value or scenario given</x:v>
      </x:c>
      <x:c r="C19" s="7" t="s">
        <x:v>18</x:v>
      </x:c>
      <x:c r="D19" s="3" t="str">
        <x:v>Enter sold quantities, formulas, or choices as directed</x:v>
      </x:c>
      <x:c r="E19" s="1"/>
      <x:c r="F19" s="1"/>
      <x:c r="G19" s="1"/>
      <x:c r="H19" s="1"/>
      <x:c r="I19" s="1"/>
      <x:c r="J19" s="1"/>
      <x:c r="K19" s="1"/>
    </x:row>
    <x:row r="20" ht="16">
      <x:c r="A20" s="8" t="s">
        <x:v>19</x:v>
      </x:c>
      <x:c r="B20" s="3" t="s">
        <x:v>20</x:v>
      </x:c>
      <x:c r="C20" s="9" t="s">
        <x:v>21</x:v>
      </x:c>
      <x:c r="D20" s="3" t="s">
        <x:v>22</x:v>
      </x:c>
      <x:c r="E20" s="1"/>
      <x:c r="F20" s="1"/>
      <x:c r="G20" s="1"/>
      <x:c r="H20" s="1"/>
      <x:c r="I20" s="1"/>
      <x:c r="J20" s="1"/>
      <x:c r="K20" s="1"/>
    </x:row>
    <x:row r="21" ht="16">
      <x:c r="A21" s="3" t="s">
        <x:v>23</x:v>
      </x:c>
      <x:c r="B21" s="3" t="s">
        <x:v>24</x:v>
      </x:c>
      <x:c r="C21" s="3"/>
      <x:c r="D21" s="3"/>
      <x:c r="E21" s="1"/>
      <x:c r="F21" s="1"/>
      <x:c r="G21" s="1"/>
      <x:c r="H21" s="1"/>
      <x:c r="I21" s="1"/>
      <x:c r="J21" s="1"/>
      <x:c r="K21" s="1"/>
    </x:row>
    <x:row r="22" ht="15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48" customHeight="1">
      <x:c r="A23" s="72" t="str">
        <x:v>FIFO first</x:v>
      </x:c>
      <x:c r="B23" s="72" t="str">
        <x:v>Live You Try It</x:v>
      </x:c>
      <x:c r="C23" s="72" t="str">
        <x:v>A: D6:G9. B: D22:G25. Enter sold quantities in column D; use formulas for costs and remaining units.</x:v>
      </x:c>
      <x:c r="D23" s="72"/>
      <x:c r="E23" s="1"/>
      <x:c r="F23" s="1"/>
      <x:c r="G23" s="1"/>
      <x:c r="H23" s="1"/>
      <x:c r="I23" s="1"/>
      <x:c r="J23" s="1"/>
      <x:c r="K23" s="1"/>
    </x:row>
    <x:row r="24" ht="42" customHeight="1">
      <x:c r="A24" s="72" t="str">
        <x:v>LINKS</x:v>
      </x:c>
      <x:c r="B24" s="72" t="str">
        <x:v>Pale cream: supplied model links; no entry needed</x:v>
      </x:c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</x:sheetData>
  <x:mergeCells>
    <x:mergeCell ref="B14:H14"/>
    <x:mergeCell ref="B15:H15"/>
    <x:mergeCell ref="B16:H16"/>
    <x:mergeCell ref="A18:H18"/>
    <x:mergeCell ref="A1:H1"/>
    <x:mergeCell ref="A2:H2"/>
    <x:mergeCell ref="A4:H4"/>
    <x:mergeCell ref="A12:H12"/>
    <x:mergeCell ref="B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10" defaultColWidth="8.83203125" defaultRowHeight="14"/>
  <x:cols>
    <x:col min="1" max="1" width="22.780000686645508" hidden="0" customWidth="1"/>
    <x:col min="2" max="2" width="10" hidden="0" customWidth="1"/>
    <x:col min="3" max="4" width="11.6640625" customWidth="1"/>
    <x:col min="5" max="5" width="15.5600004196167" hidden="0" customWidth="1"/>
    <x:col min="6" max="6" width="11.670000076293945" hidden="0" customWidth="1"/>
    <x:col min="7" max="7" width="16.110000610351562" hidden="0" customWidth="1"/>
    <x:col min="8" max="8" width="32.220001220703125" hidden="0" customWidth="1"/>
    <x:col min="3" max="3" width="11.670000076293945" hidden="0" customWidth="1"/>
    <x:col min="4" max="4" width="11.670000076293945" hidden="0" customWidth="1"/>
  </x:cols>
  <x:sheetData>
    <x:row r="1" ht="35" customHeight="1">
      <x:c r="A1" s="109" t="str">
        <x:v>M06 · FIFO first: decide units, then calculate costs</x:v>
      </x:c>
      <x:c r="B1" s="109"/>
      <x:c r="C1" s="109"/>
      <x:c r="D1" s="109"/>
      <x:c r="E1" s="109"/>
      <x:c r="F1" s="109"/>
      <x:c r="G1" s="109"/>
      <x:c r="H1" s="109"/>
    </x:row>
    <x:row r="2" ht="36" customHeight="1">
      <x:c r="A2" s="107" t="str">
        <x:v>Blue = given facts. Yellow = your work. Enter sold quantities in D: oldest first for FIFO, newest first for LIFO. In E, F and G use formulas.</x:v>
      </x:c>
      <x:c r="B2" s="107"/>
      <x:c r="C2" s="107"/>
      <x:c r="D2" s="107"/>
      <x:c r="E2" s="107"/>
      <x:c r="F2" s="107"/>
      <x:c r="G2" s="107"/>
      <x:c r="H2" s="107"/>
    </x:row>
    <x:row r="3" ht="29" customHeight="1">
      <x:c r="A3" s="107"/>
      <x:c r="B3" s="107"/>
      <x:c r="C3" s="107"/>
      <x:c r="D3" s="107"/>
      <x:c r="E3" s="107"/>
      <x:c r="F3" s="107"/>
      <x:c r="G3" s="107"/>
      <x:c r="H3" s="107"/>
    </x:row>
    <x:row r="4" ht="35" customHeight="1">
      <x:c r="A4" s="109" t="str">
        <x:v>Stage 1 · A: guided FIFO · 30 hoodies sold</x:v>
      </x:c>
      <x:c r="B4" s="109"/>
      <x:c r="C4" s="109"/>
      <x:c r="D4" s="109"/>
      <x:c r="E4" s="109"/>
      <x:c r="F4" s="109"/>
      <x:c r="G4" s="109"/>
      <x:c r="H4" s="109"/>
    </x:row>
    <x:row r="5" ht="42" customHeight="1">
      <x:c r="A5" s="111" t="str">
        <x:v>Oldest → newest</x:v>
      </x:c>
      <x:c r="B5" s="111" t="str">
        <x:v>Available units</x:v>
      </x:c>
      <x:c r="C5" s="111" t="str">
        <x:v>Cost per unit</x:v>
      </x:c>
      <x:c r="D5" s="111" t="str">
        <x:v>Units sold</x:v>
      </x:c>
      <x:c r="E5" s="111" t="str">
        <x:v>Cost of units sold</x:v>
      </x:c>
      <x:c r="F5" s="111" t="str">
        <x:v>Units left</x:v>
      </x:c>
      <x:c r="G5" s="111" t="str">
        <x:v>Ending value</x:v>
      </x:c>
      <x:c r="H5" s="111" t="str">
        <x:v>Think / check</x:v>
      </x:c>
    </x:row>
    <x:row r="6" ht="29" customHeight="1">
      <x:c r="A6" s="107" t="str">
        <x:f>'Raw Data'!A6</x:f>
        <x:v>Beginning inventory (first batch)</x:v>
      </x:c>
      <x:c r="B6" s="120" t="n">
        <x:f>'Raw Data'!B6</x:f>
        <x:v>10</x:v>
      </x:c>
      <x:c r="C6" s="116" t="n">
        <x:f>'Raw Data'!C6</x:f>
        <x:v>16</x:v>
      </x:c>
      <x:c r="D6" s="123"/>
      <x:c r="E6" s="117"/>
      <x:c r="F6" s="123"/>
      <x:c r="G6" s="117"/>
      <x:c r="H6" s="107" t="str">
        <x:v>Start with the oldest purchase.</x:v>
      </x:c>
    </x:row>
    <x:row r="7" ht="29" customHeight="1">
      <x:c r="A7" s="107" t="str">
        <x:f>'Raw Data'!A7</x:f>
        <x:v>Second batch purchase</x:v>
      </x:c>
      <x:c r="B7" s="120" t="n">
        <x:f>'Raw Data'!B7</x:f>
        <x:v>20</x:v>
      </x:c>
      <x:c r="C7" s="116" t="n">
        <x:f>'Raw Data'!C7</x:f>
        <x:v>20</x:v>
      </x:c>
      <x:c r="D7" s="123"/>
      <x:c r="E7" s="117"/>
      <x:c r="F7" s="123"/>
      <x:c r="G7" s="117"/>
      <x:c r="H7" s="107" t="str">
        <x:v>How many sales remain after the first row?</x:v>
      </x:c>
    </x:row>
    <x:row r="8" ht="29" customHeight="1">
      <x:c r="A8" s="107" t="str">
        <x:f>'Raw Data'!A8</x:f>
        <x:v>Third batch purchase</x:v>
      </x:c>
      <x:c r="B8" s="120" t="n">
        <x:f>'Raw Data'!B8</x:f>
        <x:v>20</x:v>
      </x:c>
      <x:c r="C8" s="116" t="n">
        <x:f>'Raw Data'!C8</x:f>
        <x:v>22</x:v>
      </x:c>
      <x:c r="D8" s="123"/>
      <x:c r="E8" s="117"/>
      <x:c r="F8" s="123"/>
      <x:c r="G8" s="117"/>
      <x:c r="H8" s="107" t="str">
        <x:v>Are any sales still unfilled?</x:v>
      </x:c>
    </x:row>
    <x:row r="9" ht="29" customHeight="1">
      <x:c r="A9" s="114" t="str">
        <x:v>Totals</x:v>
      </x:c>
      <x:c r="B9" s="121" t="n">
        <x:f>SUM(B6:B8)</x:f>
        <x:v>50</x:v>
      </x:c>
      <x:c r="C9" s="114"/>
      <x:c r="D9" s="124"/>
      <x:c r="E9" s="118"/>
      <x:c r="F9" s="124"/>
      <x:c r="G9" s="118"/>
      <x:c r="H9" s="114" t="str">
        <x:f>IF(COUNT(D6:G9)&lt;16,"TRY FIRST",IF(NOT(AND(D6=MIN(B6,B11),D7=MIN(B7,MAX(0,B11-D6)),D8=MAX(0,B11-SUM(D6:D7)))),"REVIEW: oldest units first",IF(AND(E6=D6*C6,F6=B6-D6,G6=F6*C6,E7=D7*C7,F7=B7-D7,G7=F7*C7,E8=D8*C8,F8=B8-D8,G8=F8*C8,D9=SUM(D6:D8),E9=SUM(E6:E8),F9=SUM(F6:F8),G9=SUM(G6:G8),D9=B11,D9+F9=B9,E9+G9=SUMPRODUCT(B6:B8,C6:C8)),"PASS: explain the units","REVIEW: units or costs")))</x:f>
        <x:v>TRY FIRST</x:v>
      </x:c>
    </x:row>
    <x:row r="10" ht="29" customHeight="1">
      <x:c r="A10" s="107"/>
      <x:c r="B10" s="122"/>
      <x:c r="C10" s="107"/>
      <x:c r="D10" s="122"/>
      <x:c r="E10" s="119"/>
      <x:c r="F10" s="122"/>
      <x:c r="G10" s="119"/>
      <x:c r="H10" s="107"/>
    </x:row>
    <x:row r="11" ht="29" customHeight="1">
      <x:c r="A11" s="107" t="str">
        <x:v>Units sold (given)</x:v>
      </x:c>
      <x:c r="B11" s="120" t="n">
        <x:f>'Raw Data'!B12</x:f>
        <x:v>30</x:v>
      </x:c>
      <x:c r="C11" s="107"/>
      <x:c r="D11" s="122"/>
      <x:c r="E11" s="119"/>
      <x:c r="F11" s="122"/>
      <x:c r="G11" s="119"/>
      <x:c r="H11" s="107"/>
    </x:row>
    <x:row r="12" ht="29" customHeight="1">
      <x:c r="A12" s="107" t="str">
        <x:v>Units available</x:v>
      </x:c>
      <x:c r="B12" s="122" t="n">
        <x:f>B9</x:f>
        <x:v>50</x:v>
      </x:c>
      <x:c r="C12" s="107"/>
      <x:c r="D12" s="122"/>
      <x:c r="E12" s="119"/>
      <x:c r="F12" s="122"/>
      <x:c r="G12" s="119"/>
      <x:c r="H12" s="107"/>
    </x:row>
    <x:row r="13" ht="29" customHeight="1">
      <x:c r="A13" s="107"/>
      <x:c r="B13" s="107"/>
      <x:c r="C13" s="107"/>
      <x:c r="D13" s="107"/>
      <x:c r="E13" s="119"/>
      <x:c r="F13" s="107"/>
      <x:c r="G13" s="119"/>
      <x:c r="H13" s="107"/>
    </x:row>
    <x:row r="14" ht="29" customHeight="1">
      <x:c r="A14" s="107" t="str">
        <x:v>FIFO COGS</x:v>
      </x:c>
      <x:c r="B14" s="107"/>
      <x:c r="C14" s="107"/>
      <x:c r="D14" s="107"/>
      <x:c r="E14" s="119" t="str">
        <x:f>IF(COUNT(D6:G9)&lt;16,"",E9)</x:f>
      </x:c>
      <x:c r="F14" s="107"/>
      <x:c r="G14" s="119"/>
      <x:c r="H14" s="107"/>
    </x:row>
    <x:row r="15" ht="29" customHeight="1">
      <x:c r="A15" s="107" t="str">
        <x:v>Ending inventory</x:v>
      </x:c>
      <x:c r="B15" s="107"/>
      <x:c r="C15" s="107"/>
      <x:c r="D15" s="107"/>
      <x:c r="E15" s="119" t="str">
        <x:f>IF(COUNT(D6:G9)&lt;16,"",G9)</x:f>
      </x:c>
      <x:c r="F15" s="107"/>
      <x:c r="G15" s="119"/>
      <x:c r="H15" s="107"/>
    </x:row>
    <x:row r="16" ht="29" customHeight="1">
      <x:c r="A16" s="107"/>
      <x:c r="B16" s="107"/>
      <x:c r="C16" s="107"/>
      <x:c r="D16" s="107"/>
      <x:c r="E16" s="107"/>
      <x:c r="F16" s="107"/>
      <x:c r="G16" s="107"/>
      <x:c r="H16" s="107"/>
    </x:row>
    <x:row r="17" ht="36" customHeight="1">
      <x:c r="A17" s="107" t="str">
        <x:v>Before B: explain why FIFO starts with the oldest purchase. How many sales still need a cost after each row?</x:v>
      </x:c>
      <x:c r="B17" s="107"/>
      <x:c r="C17" s="107"/>
      <x:c r="D17" s="107"/>
      <x:c r="E17" s="107"/>
      <x:c r="F17" s="107"/>
      <x:c r="G17" s="107"/>
      <x:c r="H17" s="107"/>
    </x:row>
    <x:row r="18" ht="29" customHeight="1">
      <x:c r="A18" s="107"/>
      <x:c r="B18" s="107"/>
      <x:c r="C18" s="107"/>
      <x:c r="D18" s="107"/>
      <x:c r="E18" s="107"/>
      <x:c r="F18" s="107"/>
      <x:c r="G18" s="107"/>
      <x:c r="H18" s="107"/>
    </x:row>
    <x:row r="19" ht="29" customHeight="1">
      <x:c r="A19" s="107"/>
      <x:c r="B19" s="107"/>
      <x:c r="C19" s="107"/>
      <x:c r="D19" s="107"/>
      <x:c r="E19" s="107"/>
      <x:c r="F19" s="107"/>
      <x:c r="G19" s="107"/>
      <x:c r="H19" s="107"/>
    </x:row>
    <x:row r="20" ht="35" customHeight="1">
      <x:c r="A20" s="109" t="str">
        <x:v>Stage 1 · B: independent FIFO · 32 hoodies sold</x:v>
      </x:c>
      <x:c r="B20" s="109"/>
      <x:c r="C20" s="109"/>
      <x:c r="D20" s="109"/>
      <x:c r="E20" s="109"/>
      <x:c r="F20" s="109"/>
      <x:c r="G20" s="109"/>
      <x:c r="H20" s="109"/>
    </x:row>
    <x:row r="21" ht="42" customHeight="1">
      <x:c r="A21" s="111" t="str">
        <x:v>Oldest → newest</x:v>
      </x:c>
      <x:c r="B21" s="111" t="str">
        <x:v>Available units</x:v>
      </x:c>
      <x:c r="C21" s="111" t="str">
        <x:v>Cost per unit</x:v>
      </x:c>
      <x:c r="D21" s="111" t="str">
        <x:v>Units sold</x:v>
      </x:c>
      <x:c r="E21" s="111" t="str">
        <x:v>Cost of units sold</x:v>
      </x:c>
      <x:c r="F21" s="111" t="str">
        <x:v>Units left</x:v>
      </x:c>
      <x:c r="G21" s="111" t="str">
        <x:v>Ending value</x:v>
      </x:c>
      <x:c r="H21" s="111" t="str">
        <x:v>Think / check</x:v>
      </x:c>
    </x:row>
    <x:row r="22" ht="29" customHeight="1">
      <x:c r="A22" s="107" t="str">
        <x:f>'Raw Data'!A6</x:f>
        <x:v>Beginning inventory (first batch)</x:v>
      </x:c>
      <x:c r="B22" s="120" t="n">
        <x:f>'Raw Data'!B6</x:f>
        <x:v>10</x:v>
      </x:c>
      <x:c r="C22" s="116" t="n">
        <x:f>'Raw Data'!C6</x:f>
        <x:v>16</x:v>
      </x:c>
      <x:c r="D22" s="123"/>
      <x:c r="E22" s="117"/>
      <x:c r="F22" s="123"/>
      <x:c r="G22" s="117"/>
      <x:c r="H22" s="107" t="str">
        <x:v>Use older units before newer units.</x:v>
      </x:c>
    </x:row>
    <x:row r="23" ht="29" customHeight="1">
      <x:c r="A23" s="107" t="str">
        <x:f>'Raw Data'!A7</x:f>
        <x:v>Second batch purchase</x:v>
      </x:c>
      <x:c r="B23" s="120" t="n">
        <x:f>'Raw Data'!B7</x:f>
        <x:v>20</x:v>
      </x:c>
      <x:c r="C23" s="116" t="n">
        <x:f>'Raw Data'!C7</x:f>
        <x:v>20</x:v>
      </x:c>
      <x:c r="D23" s="123"/>
      <x:c r="E23" s="117"/>
      <x:c r="F23" s="123"/>
      <x:c r="G23" s="117"/>
      <x:c r="H23" s="107" t="str">
        <x:v>Use older units before newer units.</x:v>
      </x:c>
    </x:row>
    <x:row r="24" ht="29" customHeight="1">
      <x:c r="A24" s="107" t="str">
        <x:f>'Raw Data'!A8</x:f>
        <x:v>Third batch purchase</x:v>
      </x:c>
      <x:c r="B24" s="120" t="n">
        <x:f>'Raw Data'!B8</x:f>
        <x:v>20</x:v>
      </x:c>
      <x:c r="C24" s="116" t="n">
        <x:f>'Raw Data'!C8</x:f>
        <x:v>22</x:v>
      </x:c>
      <x:c r="D24" s="123"/>
      <x:c r="E24" s="117"/>
      <x:c r="F24" s="123"/>
      <x:c r="G24" s="117"/>
      <x:c r="H24" s="107" t="str">
        <x:v>Use older units before newer units.</x:v>
      </x:c>
    </x:row>
    <x:row r="25" ht="29" customHeight="1">
      <x:c r="A25" s="114" t="str">
        <x:v>Totals</x:v>
      </x:c>
      <x:c r="B25" s="121" t="n">
        <x:f>SUM(B22:B24)</x:f>
        <x:v>50</x:v>
      </x:c>
      <x:c r="C25" s="114"/>
      <x:c r="D25" s="124"/>
      <x:c r="E25" s="118"/>
      <x:c r="F25" s="124"/>
      <x:c r="G25" s="118"/>
      <x:c r="H25" s="114" t="str">
        <x:f>IF(COUNT(D22:G25)&lt;16,"TRY FIRST",IF(NOT(AND(D22=MIN(B22,B27),D23=MIN(B23,MAX(0,B27-D22)),D24=MAX(0,B27-SUM(D22:D23)))),"REVIEW: oldest units first",IF(AND(E22=D22*C22,F22=B22-D22,G22=F22*C22,E23=D23*C23,F23=B23-D23,G23=F23*C23,E24=D24*C24,F24=B24-D24,G24=F24*C24,D25=SUM(D22:D24),E25=SUM(E22:E24),F25=SUM(F22:F24),G25=SUM(G22:G24),D25=B27,D25+F25=B25,E25+G25=SUMPRODUCT(B22:B24,C22:C24)),"PASS: explain the units","REVIEW: units or costs")))</x:f>
        <x:v>TRY FIRST</x:v>
      </x:c>
    </x:row>
    <x:row r="26" ht="29" customHeight="1">
      <x:c r="A26" s="107"/>
      <x:c r="B26" s="122"/>
      <x:c r="C26" s="107"/>
      <x:c r="D26" s="122"/>
      <x:c r="E26" s="119"/>
      <x:c r="F26" s="122"/>
      <x:c r="G26" s="119"/>
      <x:c r="H26" s="107"/>
    </x:row>
    <x:row r="27" ht="29" customHeight="1">
      <x:c r="A27" s="107" t="str">
        <x:v>Units sold (given)</x:v>
      </x:c>
      <x:c r="B27" s="120" t="n">
        <x:v>32</x:v>
      </x:c>
      <x:c r="C27" s="107"/>
      <x:c r="D27" s="122"/>
      <x:c r="E27" s="119"/>
      <x:c r="F27" s="122"/>
      <x:c r="G27" s="119"/>
      <x:c r="H27" s="107"/>
    </x:row>
    <x:row r="28" ht="29" customHeight="1">
      <x:c r="A28" s="107" t="str">
        <x:v>Units available</x:v>
      </x:c>
      <x:c r="B28" s="122" t="n">
        <x:f>B25</x:f>
        <x:v>50</x:v>
      </x:c>
      <x:c r="C28" s="107"/>
      <x:c r="D28" s="122"/>
      <x:c r="E28" s="119"/>
      <x:c r="F28" s="122"/>
      <x:c r="G28" s="119"/>
      <x:c r="H28" s="107"/>
    </x:row>
    <x:row r="29" ht="29" customHeight="1">
      <x:c r="A29" s="107"/>
      <x:c r="B29" s="107"/>
      <x:c r="C29" s="107"/>
      <x:c r="D29" s="107"/>
      <x:c r="E29" s="119"/>
      <x:c r="F29" s="107"/>
      <x:c r="G29" s="119"/>
      <x:c r="H29" s="107"/>
    </x:row>
    <x:row r="30" ht="29" customHeight="1">
      <x:c r="A30" s="107" t="str">
        <x:v>FIFO COGS</x:v>
      </x:c>
      <x:c r="B30" s="107"/>
      <x:c r="C30" s="107"/>
      <x:c r="D30" s="107"/>
      <x:c r="E30" s="119" t="str">
        <x:f>IF(COUNT(D22:G25)&lt;16,"",E25)</x:f>
      </x:c>
      <x:c r="F30" s="107"/>
      <x:c r="G30" s="119"/>
      <x:c r="H30" s="107"/>
    </x:row>
    <x:row r="31" ht="29" customHeight="1">
      <x:c r="A31" s="107" t="str">
        <x:v>Ending inventory</x:v>
      </x:c>
      <x:c r="B31" s="107"/>
      <x:c r="C31" s="107"/>
      <x:c r="D31" s="107"/>
      <x:c r="E31" s="119" t="str">
        <x:f>IF(COUNT(D22:G25)&lt;16,"",G25)</x:f>
      </x:c>
      <x:c r="F31" s="107"/>
      <x:c r="G31" s="119"/>
      <x:c r="H31" s="107"/>
    </x:row>
    <x:row r="32" ht="29" customHeight="1">
      <x:c r="A32" s="107"/>
      <x:c r="B32" s="107"/>
      <x:c r="C32" s="107"/>
      <x:c r="D32" s="107"/>
      <x:c r="E32" s="107"/>
      <x:c r="F32" s="107"/>
      <x:c r="G32" s="107"/>
      <x:c r="H32" s="107"/>
    </x:row>
    <x:row r="33" ht="36" customHeight="1">
      <x:c r="A33" s="107" t="str">
        <x:v>Compare A and B: two more hoodies sold. Which purchases supply them? What happens to COGS and inventory left?</x:v>
      </x:c>
      <x:c r="B33" s="107"/>
      <x:c r="C33" s="107"/>
      <x:c r="D33" s="107"/>
      <x:c r="E33" s="107"/>
      <x:c r="F33" s="107"/>
      <x:c r="G33" s="107"/>
      <x:c r="H33" s="107"/>
    </x:row>
    <x:row r="34" ht="29" customHeight="1">
      <x:c r="A34" s="107"/>
      <x:c r="B34" s="107"/>
      <x:c r="C34" s="107"/>
      <x:c r="D34" s="107"/>
      <x:c r="E34" s="107"/>
      <x:c r="F34" s="107"/>
      <x:c r="G34" s="107"/>
      <x:c r="H34" s="107"/>
    </x:row>
    <x:row r="35" ht="29" customHeight="1">
      <x:c r="A35" s="107"/>
      <x:c r="B35" s="107"/>
      <x:c r="C35" s="107"/>
      <x:c r="D35" s="107"/>
      <x:c r="E35" s="107"/>
      <x:c r="F35" s="107"/>
      <x:c r="G35" s="107"/>
      <x:c r="H35" s="107"/>
    </x:row>
    <x:row r="36" ht="35" customHeight="1">
      <x:c r="A36" s="109" t="str">
        <x:v>Stage 2 · LIFO comparison · 30 hoodies sold · start with the newest purchase</x:v>
      </x:c>
      <x:c r="B36" s="109"/>
      <x:c r="C36" s="109"/>
      <x:c r="D36" s="109"/>
      <x:c r="E36" s="109"/>
      <x:c r="F36" s="109"/>
      <x:c r="G36" s="109"/>
      <x:c r="H36" s="109"/>
    </x:row>
    <x:row r="37" ht="42" customHeight="1">
      <x:c r="A37" s="111" t="str">
        <x:v>Oldest → newest</x:v>
      </x:c>
      <x:c r="B37" s="111" t="str">
        <x:v>Available units</x:v>
      </x:c>
      <x:c r="C37" s="111" t="str">
        <x:v>Cost per unit</x:v>
      </x:c>
      <x:c r="D37" s="111" t="str">
        <x:v>Units sold</x:v>
      </x:c>
      <x:c r="E37" s="111" t="str">
        <x:v>Cost of units sold</x:v>
      </x:c>
      <x:c r="F37" s="111" t="str">
        <x:v>Units left</x:v>
      </x:c>
      <x:c r="G37" s="111" t="str">
        <x:v>Ending value</x:v>
      </x:c>
      <x:c r="H37" s="111" t="str">
        <x:v>Think / check</x:v>
      </x:c>
    </x:row>
    <x:row r="38" ht="29" customHeight="1">
      <x:c r="A38" s="107" t="str">
        <x:f>'Raw Data'!A6</x:f>
        <x:v>Beginning inventory (first batch)</x:v>
      </x:c>
      <x:c r="B38" s="120" t="n">
        <x:f>'Raw Data'!B6</x:f>
        <x:v>10</x:v>
      </x:c>
      <x:c r="C38" s="116" t="n">
        <x:f>'Raw Data'!C6</x:f>
        <x:v>16</x:v>
      </x:c>
      <x:c r="D38" s="123"/>
      <x:c r="E38" s="117"/>
      <x:c r="F38" s="123"/>
      <x:c r="G38" s="117"/>
      <x:c r="H38" s="107" t="str">
        <x:v>3 · Are any sales still unfilled?</x:v>
      </x:c>
    </x:row>
    <x:row r="39" ht="29" customHeight="1">
      <x:c r="A39" s="107" t="str">
        <x:f>'Raw Data'!A7</x:f>
        <x:v>Second batch purchase</x:v>
      </x:c>
      <x:c r="B39" s="120" t="n">
        <x:f>'Raw Data'!B7</x:f>
        <x:v>20</x:v>
      </x:c>
      <x:c r="C39" s="116" t="n">
        <x:f>'Raw Data'!C7</x:f>
        <x:v>20</x:v>
      </x:c>
      <x:c r="D39" s="123"/>
      <x:c r="E39" s="117"/>
      <x:c r="F39" s="123"/>
      <x:c r="G39" s="117"/>
      <x:c r="H39" s="107" t="str">
        <x:v>2 · How many sales remain after the third batch?</x:v>
      </x:c>
    </x:row>
    <x:row r="40" ht="29" customHeight="1">
      <x:c r="A40" s="107" t="str">
        <x:f>'Raw Data'!A8</x:f>
        <x:v>Third batch purchase</x:v>
      </x:c>
      <x:c r="B40" s="120" t="n">
        <x:f>'Raw Data'!B8</x:f>
        <x:v>20</x:v>
      </x:c>
      <x:c r="C40" s="116" t="n">
        <x:f>'Raw Data'!C8</x:f>
        <x:v>22</x:v>
      </x:c>
      <x:c r="D40" s="123"/>
      <x:c r="E40" s="117"/>
      <x:c r="F40" s="123"/>
      <x:c r="G40" s="117"/>
      <x:c r="H40" s="107" t="str">
        <x:v>1 · Start here: newest purchase.</x:v>
      </x:c>
    </x:row>
    <x:row r="41" ht="29" customHeight="1">
      <x:c r="A41" s="114" t="str">
        <x:v>Totals</x:v>
      </x:c>
      <x:c r="B41" s="121" t="n">
        <x:f>SUM(B38:B40)</x:f>
        <x:v>50</x:v>
      </x:c>
      <x:c r="C41" s="114"/>
      <x:c r="D41" s="124"/>
      <x:c r="E41" s="118"/>
      <x:c r="F41" s="124"/>
      <x:c r="G41" s="118"/>
      <x:c r="H41" s="114" t="str">
        <x:f>IF(COUNT(D38:G41)&lt;16,"TRY FIRST",IF(NOT(AND(D40=MIN(B40,B43),D39=MIN(B39,MAX(0,B43-D40)),D38=MAX(0,B43-SUM(D39:D40)))),"REVIEW: newest units first",IF(AND(E38=D38*C38,F38=B38-D38,G38=F38*C38,E39=D39*C39,F39=B39-D39,G39=F39*C39,E40=D40*C40,F40=B40-D40,G40=F40*C40,D41=SUM(D38:D40),E41=SUM(E38:E40),F41=SUM(F38:F40),G41=SUM(G38:G40),D41=B43,D41+F41=B41,E41+G41=SUMPRODUCT(B38:B40,C38:C40)),"PASS: explain the units","REVIEW: units or costs")))</x:f>
        <x:v>TRY FIRST</x:v>
      </x:c>
    </x:row>
    <x:row r="42" ht="29" customHeight="1">
      <x:c r="A42" s="107"/>
      <x:c r="B42" s="122"/>
      <x:c r="C42" s="107"/>
      <x:c r="D42" s="122"/>
      <x:c r="E42" s="119"/>
      <x:c r="F42" s="122"/>
      <x:c r="G42" s="119"/>
      <x:c r="H42" s="107"/>
    </x:row>
    <x:row r="43" ht="29" customHeight="1">
      <x:c r="A43" s="107" t="str">
        <x:v>Units sold (given)</x:v>
      </x:c>
      <x:c r="B43" s="120" t="n">
        <x:f>'Raw Data'!B12</x:f>
        <x:v>30</x:v>
      </x:c>
      <x:c r="C43" s="107"/>
      <x:c r="D43" s="122"/>
      <x:c r="E43" s="119"/>
      <x:c r="F43" s="122"/>
      <x:c r="G43" s="119"/>
      <x:c r="H43" s="107"/>
    </x:row>
    <x:row r="44" ht="29" customHeight="1">
      <x:c r="A44" s="107" t="str">
        <x:v>Units available</x:v>
      </x:c>
      <x:c r="B44" s="122" t="n">
        <x:f>B41</x:f>
        <x:v>50</x:v>
      </x:c>
      <x:c r="C44" s="107"/>
      <x:c r="D44" s="122"/>
      <x:c r="E44" s="119"/>
      <x:c r="F44" s="122"/>
      <x:c r="G44" s="119"/>
      <x:c r="H44" s="107"/>
    </x:row>
    <x:row r="45" ht="29" customHeight="1">
      <x:c r="A45" s="107"/>
      <x:c r="B45" s="107"/>
      <x:c r="C45" s="107"/>
      <x:c r="D45" s="107"/>
      <x:c r="E45" s="119"/>
      <x:c r="F45" s="107"/>
      <x:c r="G45" s="119"/>
      <x:c r="H45" s="107"/>
    </x:row>
    <x:row r="46" ht="29" customHeight="1">
      <x:c r="A46" s="107" t="str">
        <x:v>LIFO COGS</x:v>
      </x:c>
      <x:c r="B46" s="107"/>
      <x:c r="C46" s="107"/>
      <x:c r="D46" s="107"/>
      <x:c r="E46" s="119" t="str">
        <x:f>IF(COUNT(D38:G41)&lt;16,"",E41)</x:f>
      </x:c>
      <x:c r="F46" s="107"/>
      <x:c r="G46" s="119"/>
      <x:c r="H46" s="107"/>
    </x:row>
    <x:row r="47" ht="29" customHeight="1">
      <x:c r="A47" s="107" t="str">
        <x:v>Ending inventory</x:v>
      </x:c>
      <x:c r="B47" s="107"/>
      <x:c r="C47" s="107"/>
      <x:c r="D47" s="107"/>
      <x:c r="E47" s="119" t="str">
        <x:f>IF(COUNT(D38:G41)&lt;16,"",G41)</x:f>
      </x:c>
      <x:c r="F47" s="107"/>
      <x:c r="G47" s="119"/>
      <x:c r="H47" s="107"/>
    </x:row>
    <x:row r="48" ht="29" customHeight="1">
      <x:c r="A48" s="107"/>
      <x:c r="B48" s="107"/>
      <x:c r="C48" s="107"/>
      <x:c r="D48" s="107"/>
      <x:c r="E48" s="107"/>
      <x:c r="F48" s="107"/>
      <x:c r="G48" s="107"/>
      <x:c r="H48" s="107"/>
    </x:row>
    <x:row r="49" ht="36" customHeight="1">
      <x:c r="A49" s="107" t="str">
        <x:v>Compare the same 30 sales: FIFO E14/E15, LIFO E46/E47. Next: weighted average E57/E58. Which method assigns more cost to sales when purchase costs rise?</x:v>
      </x:c>
      <x:c r="B49" s="107"/>
      <x:c r="C49" s="107"/>
      <x:c r="D49" s="107"/>
      <x:c r="E49" s="107"/>
      <x:c r="F49" s="107"/>
      <x:c r="G49" s="107"/>
      <x:c r="H49" s="107"/>
    </x:row>
    <x:row r="50" ht="29" customHeight="1">
      <x:c r="A50" s="107"/>
      <x:c r="B50" s="107"/>
      <x:c r="C50" s="107"/>
      <x:c r="D50" s="107"/>
      <x:c r="E50" s="107"/>
      <x:c r="F50" s="107"/>
      <x:c r="G50" s="107"/>
      <x:c r="H50" s="107"/>
    </x:row>
    <x:row r="51" ht="29" customHeight="1">
      <x:c r="A51" s="107"/>
      <x:c r="B51" s="107"/>
      <x:c r="C51" s="107"/>
      <x:c r="D51" s="107"/>
      <x:c r="E51" s="107"/>
      <x:c r="F51" s="107"/>
      <x:c r="G51" s="107"/>
      <x:c r="H51" s="107"/>
    </x:row>
    <x:row r="52" ht="35" customHeight="1">
      <x:c r="A52" s="109" t="str">
        <x:v>Stage 2 · Weighted average: compare after both FIFO attempts</x:v>
      </x:c>
      <x:c r="B52" s="109"/>
      <x:c r="C52" s="109"/>
      <x:c r="D52" s="109"/>
      <x:c r="E52" s="109"/>
      <x:c r="F52" s="109"/>
      <x:c r="G52" s="109"/>
      <x:c r="H52" s="109"/>
    </x:row>
    <x:row r="53" ht="36" customHeight="1">
      <x:c r="A53" s="107" t="str">
        <x:v>Blend the cost of all 50 available hoodies. Calculate one average cost per hoodie, then apply it to hoodies sold and hoodies left. Keep full precision.</x:v>
      </x:c>
      <x:c r="B53" s="107"/>
      <x:c r="C53" s="107"/>
      <x:c r="D53" s="107"/>
      <x:c r="E53" s="107"/>
      <x:c r="F53" s="107"/>
      <x:c r="G53" s="107"/>
      <x:c r="H53" s="107"/>
    </x:row>
    <x:row r="54" ht="29" customHeight="1">
      <x:c r="A54" s="107"/>
      <x:c r="B54" s="107"/>
      <x:c r="C54" s="107"/>
      <x:c r="D54" s="107"/>
      <x:c r="E54" s="107"/>
      <x:c r="F54" s="107"/>
      <x:c r="G54" s="107"/>
      <x:c r="H54" s="107"/>
    </x:row>
    <x:row r="55" ht="29" customHeight="1">
      <x:c r="A55" s="110" t="str">
        <x:v>Metric</x:v>
      </x:c>
      <x:c r="B55" s="110" t="str">
        <x:v>Given / total</x:v>
      </x:c>
      <x:c r="C55" s="110" t="str"/>
      <x:c r="D55" s="110" t="str"/>
      <x:c r="E55" s="110" t="str">
        <x:v>A: 30 sold</x:v>
      </x:c>
      <x:c r="F55" s="110" t="str">
        <x:v>B: 32 sold</x:v>
      </x:c>
      <x:c r="G55" s="110" t="str"/>
      <x:c r="H55" s="110" t="str">
        <x:v>Think / check</x:v>
      </x:c>
    </x:row>
    <x:row r="56" ht="29" customHeight="1">
      <x:c r="A56" s="107" t="str">
        <x:v>Average cost per hoodie</x:v>
      </x:c>
      <x:c r="B56" s="125" t="n">
        <x:f>SUM('Raw Data'!D6:D8)</x:f>
        <x:v>1000</x:v>
      </x:c>
      <x:c r="C56" s="107" t="str">
        <x:v>Total cost</x:v>
      </x:c>
      <x:c r="D56" s="107"/>
      <x:c r="E56" s="117"/>
      <x:c r="F56" s="117"/>
      <x:c r="G56" s="107"/>
      <x:c r="H56" s="107" t="str">
        <x:v>Total available cost ÷ total available units</x:v>
      </x:c>
    </x:row>
    <x:row r="57" ht="29" customHeight="1">
      <x:c r="A57" s="107" t="str">
        <x:v>Cost of hoodies sold</x:v>
      </x:c>
      <x:c r="B57" s="112" t="n">
        <x:f>SUM('Raw Data'!B6:B8)</x:f>
        <x:v>50</x:v>
      </x:c>
      <x:c r="C57" s="107" t="str">
        <x:v>Total units</x:v>
      </x:c>
      <x:c r="D57" s="107"/>
      <x:c r="E57" s="117"/>
      <x:c r="F57" s="117"/>
      <x:c r="G57" s="107"/>
      <x:c r="H57" s="107" t="str">
        <x:v>Units sold × average cost per hoodie</x:v>
      </x:c>
    </x:row>
    <x:row r="58" ht="29" customHeight="1">
      <x:c r="A58" s="107" t="str">
        <x:v>Ending inventory</x:v>
      </x:c>
      <x:c r="B58" s="107"/>
      <x:c r="C58" s="107"/>
      <x:c r="D58" s="107"/>
      <x:c r="E58" s="117"/>
      <x:c r="F58" s="117"/>
      <x:c r="G58" s="107"/>
      <x:c r="H58" s="107" t="str">
        <x:v>Units left × average cost per hoodie</x:v>
      </x:c>
    </x:row>
    <x:row r="59" ht="29" customHeight="1">
      <x:c r="A59" s="107"/>
      <x:c r="B59" s="107"/>
      <x:c r="C59" s="107"/>
      <x:c r="D59" s="107"/>
      <x:c r="E59" s="107"/>
      <x:c r="F59" s="107"/>
      <x:c r="G59" s="107"/>
      <x:c r="H59" s="107"/>
    </x:row>
    <x:row r="60" ht="29" customHeight="1">
      <x:c r="A60" s="107"/>
      <x:c r="B60" s="107"/>
      <x:c r="C60" s="107"/>
      <x:c r="D60" s="107"/>
      <x:c r="E60" s="107"/>
      <x:c r="F60" s="107"/>
      <x:c r="G60" s="107"/>
      <x:c r="H60" s="107"/>
    </x:row>
    <x:row r="61" ht="36" customHeight="1">
      <x:c r="A61" s="107" t="str">
        <x:v>Compare each sale under FIFO and weighted average. Units and total available cost stay the same; the assigned cost per sold unit changes.</x:v>
      </x:c>
      <x:c r="B61" s="107"/>
      <x:c r="C61" s="107"/>
      <x:c r="D61" s="107"/>
      <x:c r="E61" s="107"/>
      <x:c r="F61" s="107"/>
      <x:c r="G61" s="107"/>
      <x:c r="H61" s="107"/>
    </x:row>
    <x:row r="62" ht="36" customHeight="1">
      <x:c r="A62" s="107" t="str">
        <x:v>Compare all three methods for the same 30 sales. Units sold and available cost stay the same; the assigned costs differ.</x:v>
      </x:c>
      <x:c r="B62" s="107"/>
      <x:c r="C62" s="107"/>
      <x:c r="D62" s="107"/>
      <x:c r="E62" s="107"/>
      <x:c r="F62" s="107"/>
      <x:c r="G62" s="107"/>
      <x:c r="H62" s="107"/>
    </x:row>
    <x:row r="63" ht="29" customHeight="1">
      <x:c r="A63" s="107"/>
      <x:c r="B63" s="107"/>
      <x:c r="C63" s="107"/>
      <x:c r="D63" s="107"/>
      <x:c r="E63" s="107"/>
      <x:c r="F63" s="107"/>
      <x:c r="G63" s="107"/>
      <x:c r="H63" s="107"/>
    </x:row>
    <x:row r="64" ht="29" customHeight="1">
      <x:c r="A64" s="107"/>
      <x:c r="B64" s="107"/>
      <x:c r="C64" s="107"/>
      <x:c r="D64" s="107"/>
      <x:c r="E64" s="107"/>
      <x:c r="F64" s="107"/>
      <x:c r="G64" s="107"/>
      <x:c r="H64" s="107"/>
    </x:row>
    <x:row r="65" ht="29" customHeight="1">
      <x:c r="A65" s="107"/>
      <x:c r="B65" s="107"/>
      <x:c r="C65" s="107"/>
      <x:c r="D65" s="107"/>
      <x:c r="E65" s="107"/>
      <x:c r="F65" s="107"/>
      <x:c r="G65" s="107"/>
      <x:c r="H65" s="107"/>
    </x:row>
    <x:row r="66" ht="29" customHeight="1">
      <x:c r="A66" s="107"/>
      <x:c r="B66" s="107"/>
      <x:c r="C66" s="107"/>
      <x:c r="D66" s="107"/>
      <x:c r="E66" s="107"/>
      <x:c r="F66" s="107"/>
      <x:c r="G66" s="107"/>
      <x:c r="H66" s="107"/>
    </x:row>
    <x:row r="67" ht="29" customHeight="1">
      <x:c r="A67" s="107"/>
      <x:c r="B67" s="107"/>
      <x:c r="C67" s="107"/>
      <x:c r="D67" s="107"/>
      <x:c r="E67" s="107"/>
      <x:c r="F67" s="107"/>
      <x:c r="G67" s="107"/>
      <x:c r="H67" s="107"/>
    </x:row>
    <x:row r="68" ht="36" customHeight="1">
      <x:c r="A68" s="107" t="str">
        <x:v>Stage 3: open Management Model. FIFO and weighted-average A results link automatically. Complete profit next; overhead and Decision Brief come later.</x:v>
      </x:c>
      <x:c r="B68" s="107"/>
      <x:c r="C68" s="107"/>
      <x:c r="D68" s="107"/>
      <x:c r="E68" s="107"/>
      <x:c r="F68" s="107"/>
      <x:c r="G68" s="107"/>
      <x:c r="H68" s="107"/>
    </x:row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</x:sheetData>
  <x:mergeCells>
    <x:mergeCell ref="A1:H1"/>
    <x:mergeCell ref="A2:H2"/>
    <x:mergeCell ref="A4:H4"/>
    <x:mergeCell ref="A17:H17"/>
    <x:mergeCell ref="A20:H20"/>
    <x:mergeCell ref="A33:H33"/>
    <x:mergeCell ref="A36:H36"/>
    <x:mergeCell ref="A49:H49"/>
    <x:mergeCell ref="A52:H52"/>
    <x:mergeCell ref="A53:H53"/>
    <x:mergeCell ref="A61:H61"/>
    <x:mergeCell ref="A62:H62"/>
    <x:mergeCell ref="A68:H68"/>
  </x:mergeCells>
  <x:conditionalFormatting sqref="H9:H9">
    <x:cfRule type="expression" dxfId="15" priority="1">
      <x:formula>LEFT(H9,4)="PASS"</x:formula>
    </x:cfRule>
    <x:cfRule type="expression" dxfId="14" priority="2">
      <x:formula>LEFT(H9,6)="REVIEW"</x:formula>
    </x:cfRule>
    <x:cfRule type="expression" dxfId="13" priority="5">
      <x:formula>LEFT(H9,4)="PASS"</x:formula>
    </x:cfRule>
    <x:cfRule type="expression" dxfId="12" priority="6">
      <x:formula>LEFT(H9,6)="REVIEW"</x:formula>
    </x:cfRule>
    <x:cfRule type="expression" dxfId="11" priority="11">
      <x:formula>LEFT(H9,4)="PASS"</x:formula>
    </x:cfRule>
    <x:cfRule type="expression" dxfId="10" priority="12">
      <x:formula>LEFT(H9,6)="REVIEW"</x:formula>
    </x:cfRule>
    <x:cfRule type="expression" dxfId="24" priority="17">
      <x:formula>LEFT(H9,4)="PASS"</x:formula>
    </x:cfRule>
    <x:cfRule type="expression" dxfId="25" priority="18">
      <x:formula>LEFT(H9,6)="REVIEW"</x:formula>
    </x:cfRule>
    <x:cfRule type="expression" dxfId="30" priority="23">
      <x:formula>LEFT(H9,4)="PASS"</x:formula>
    </x:cfRule>
    <x:cfRule type="expression" dxfId="31" priority="24">
      <x:formula>LEFT(H9,6)="REVIEW"</x:formula>
    </x:cfRule>
  </x:conditionalFormatting>
  <x:conditionalFormatting sqref="H25:H25">
    <x:cfRule type="expression" dxfId="9" priority="3">
      <x:formula>LEFT(H25,4)="PASS"</x:formula>
    </x:cfRule>
    <x:cfRule type="expression" dxfId="8" priority="4">
      <x:formula>LEFT(H25,6)="REVIEW"</x:formula>
    </x:cfRule>
    <x:cfRule type="expression" dxfId="7" priority="7">
      <x:formula>LEFT(H25,4)="PASS"</x:formula>
    </x:cfRule>
    <x:cfRule type="expression" dxfId="6" priority="8">
      <x:formula>LEFT(H25,6)="REVIEW"</x:formula>
    </x:cfRule>
    <x:cfRule type="expression" dxfId="5" priority="13">
      <x:formula>LEFT(H25,4)="PASS"</x:formula>
    </x:cfRule>
    <x:cfRule type="expression" dxfId="4" priority="14">
      <x:formula>LEFT(H25,6)="REVIEW"</x:formula>
    </x:cfRule>
    <x:cfRule type="expression" dxfId="26" priority="19">
      <x:formula>LEFT(H25,4)="PASS"</x:formula>
    </x:cfRule>
    <x:cfRule type="expression" dxfId="27" priority="20">
      <x:formula>LEFT(H25,6)="REVIEW"</x:formula>
    </x:cfRule>
    <x:cfRule type="expression" dxfId="32" priority="25">
      <x:formula>LEFT(H25,4)="PASS"</x:formula>
    </x:cfRule>
    <x:cfRule type="expression" dxfId="33" priority="26">
      <x:formula>LEFT(H25,6)="REVIEW"</x:formula>
    </x:cfRule>
  </x:conditionalFormatting>
  <x:conditionalFormatting sqref="H41:H41">
    <x:cfRule type="expression" dxfId="3" priority="15">
      <x:formula>LEFT(H41,4)="PASS"</x:formula>
    </x:cfRule>
    <x:cfRule type="expression" dxfId="2" priority="16">
      <x:formula>LEFT(H41,6)="REVIEW"</x:formula>
    </x:cfRule>
    <x:cfRule type="expression" dxfId="28" priority="21">
      <x:formula>LEFT(H41,4)="PASS"</x:formula>
    </x:cfRule>
    <x:cfRule type="expression" dxfId="29" priority="22">
      <x:formula>LEFT(H41,6)="REVIEW"</x:formula>
    </x:cfRule>
    <x:cfRule type="expression" dxfId="34" priority="27">
      <x:formula>LEFT(H41,4)="PASS"</x:formula>
    </x:cfRule>
    <x:cfRule type="expression" dxfId="35" priority="28">
      <x:formula>LEFT(H41,6)="REVIEW"</x:formula>
    </x:cfRule>
  </x:conditionalFormatting>
  <x:conditionalFormatting sqref="H57:H57">
    <x:cfRule type="expression" dxfId="1" priority="9">
      <x:formula>LEFT(H57,4)="PASS"</x:formula>
    </x:cfRule>
    <x:cfRule type="expression" dxfId="0" priority="10">
      <x:formula>LEFT(H57,6)="REVIEW"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2" customWidth="1"/>
    <x:col min="2" max="3" width="16" customWidth="1"/>
    <x:col min="4" max="8" width="18" customWidth="1"/>
  </x:cols>
  <x:sheetData>
    <x:row r="1" ht="34" customHeight="1">
      <x:c r="A1" s="51" t="s">
        <x:v>25</x:v>
      </x:c>
      <x:c r="B1" s="51"/>
      <x:c r="C1" s="51"/>
      <x:c r="D1" s="51"/>
      <x:c r="E1" s="51"/>
      <x:c r="F1" s="51"/>
      <x:c r="G1" s="51"/>
      <x:c r="H1" s="51"/>
      <x:c r="I1" s="1"/>
      <x:c r="J1" s="1"/>
      <x:c r="K1" s="1"/>
    </x:row>
    <x:row r="2" ht="24" customHeight="1">
      <x:c r="A2" s="52" t="str">
        <x:v>Hoodie extension: varying purchase costs; all batches available before sales. Later overhead data describes the expanded campus shop and online operation.</x:v>
      </x:c>
      <x:c r="B2" s="52"/>
      <x:c r="C2" s="52"/>
      <x:c r="D2" s="52"/>
      <x:c r="E2" s="52"/>
      <x:c r="F2" s="52"/>
      <x:c r="G2" s="52"/>
      <x:c r="H2" s="52"/>
      <x:c r="I2" s="1"/>
      <x:c r="J2" s="1"/>
      <x:c r="K2" s="1"/>
    </x:row>
    <x:row r="3" ht="15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53" t="s">
        <x:v>26</x:v>
      </x:c>
      <x:c r="B4" s="53" t="s">
        <x:v>26</x:v>
      </x:c>
      <x:c r="C4" s="53" t="s">
        <x:v>26</x:v>
      </x:c>
      <x:c r="D4" s="53" t="s">
        <x:v>26</x:v>
      </x:c>
      <x:c r="E4" s="53" t="s">
        <x:v>26</x:v>
      </x:c>
      <x:c r="F4" s="53" t="s">
        <x:v>26</x:v>
      </x:c>
      <x:c r="G4" s="53" t="s">
        <x:v>26</x:v>
      </x:c>
      <x:c r="H4" s="53" t="s">
        <x:v>26</x:v>
      </x:c>
      <x:c r="I4" s="1"/>
      <x:c r="J4" s="1"/>
      <x:c r="K4" s="1"/>
    </x:row>
    <x:row r="5" ht="30" customHeight="1">
      <x:c r="A5" s="2" t="s">
        <x:v>27</x:v>
      </x:c>
      <x:c r="B5" s="2" t="s">
        <x:v>28</x:v>
      </x:c>
      <x:c r="C5" s="2" t="s">
        <x:v>29</x:v>
      </x:c>
      <x:c r="D5" s="2" t="s">
        <x:v>30</x:v>
      </x:c>
      <x:c r="E5" s="1"/>
      <x:c r="F5" s="1"/>
      <x:c r="G5" s="1"/>
      <x:c r="H5" s="1"/>
      <x:c r="I5" s="1"/>
      <x:c r="J5" s="1"/>
      <x:c r="K5" s="1"/>
    </x:row>
    <x:row r="6" ht="16">
      <x:c r="A6" s="3" t="str">
        <x:v>Beginning inventory (first batch)</x:v>
      </x:c>
      <x:c r="B6" s="3" t="n">
        <x:v>10</x:v>
      </x:c>
      <x:c r="C6" s="11" t="n">
        <x:v>16</x:v>
      </x:c>
      <x:c r="D6" s="11" t="n">
        <x:f>B6*C6</x:f>
        <x:v>160</x:v>
      </x:c>
      <x:c r="E6" s="1"/>
      <x:c r="F6" s="1"/>
      <x:c r="G6" s="1"/>
      <x:c r="H6" s="1"/>
      <x:c r="I6" s="1"/>
      <x:c r="J6" s="1"/>
      <x:c r="K6" s="1"/>
    </x:row>
    <x:row r="7" ht="16">
      <x:c r="A7" s="3" t="str">
        <x:v>Second batch purchase</x:v>
      </x:c>
      <x:c r="B7" s="3" t="n">
        <x:v>20</x:v>
      </x:c>
      <x:c r="C7" s="11" t="n">
        <x:v>20</x:v>
      </x:c>
      <x:c r="D7" s="11" t="n">
        <x:f>B7*C7</x:f>
        <x:v>400</x:v>
      </x:c>
      <x:c r="E7" s="1"/>
      <x:c r="F7" s="1"/>
      <x:c r="G7" s="1"/>
      <x:c r="H7" s="1"/>
      <x:c r="I7" s="1"/>
      <x:c r="J7" s="1"/>
      <x:c r="K7" s="1"/>
    </x:row>
    <x:row r="8" ht="16">
      <x:c r="A8" s="3" t="str">
        <x:v>Third batch purchase</x:v>
      </x:c>
      <x:c r="B8" s="3" t="n">
        <x:v>20</x:v>
      </x:c>
      <x:c r="C8" s="11" t="n">
        <x:v>22</x:v>
      </x:c>
      <x:c r="D8" s="11" t="n">
        <x:f>B8*C8</x:f>
        <x:v>440</x:v>
      </x:c>
      <x:c r="E8" s="1"/>
      <x:c r="F8" s="1"/>
      <x:c r="G8" s="1"/>
      <x:c r="H8" s="1"/>
      <x:c r="I8" s="1"/>
      <x:c r="J8" s="1"/>
      <x:c r="K8" s="1"/>
    </x:row>
    <x:row r="9" ht="16">
      <x:c r="A9" s="10" t="s">
        <x:v>31</x:v>
      </x:c>
      <x:c r="B9" s="10" t="n">
        <x:f>SUM(B6:B8)</x:f>
        <x:v>50</x:v>
      </x:c>
      <x:c r="C9" s="12"/>
      <x:c r="D9" s="12" t="n">
        <x:f>SUM(D6:D8)</x:f>
        <x:v>1000</x:v>
      </x:c>
      <x:c r="E9" s="1"/>
      <x:c r="F9" s="1"/>
      <x:c r="G9" s="1"/>
      <x:c r="H9" s="1"/>
      <x:c r="I9" s="1"/>
      <x:c r="J9" s="1"/>
      <x:c r="K9" s="1"/>
    </x:row>
    <x:row r="10" ht="15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30" customHeight="1">
      <x:c r="A11" s="2" t="s">
        <x:v>32</x:v>
      </x:c>
      <x:c r="B11" s="2" t="s">
        <x:v>33</x:v>
      </x:c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6">
      <x:c r="A12" s="3" t="s">
        <x:v>34</x:v>
      </x:c>
      <x:c r="B12" s="3" t="n">
        <x:v>30</x:v>
      </x:c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6">
      <x:c r="A13" s="3" t="s">
        <x:v>35</x:v>
      </x:c>
      <x:c r="B13" s="11" t="n">
        <x:v>40</x:v>
      </x:c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4" customHeight="1">
      <x:c r="A16" s="54" t="s">
        <x:v>36</x:v>
      </x:c>
      <x:c r="B16" s="54" t="s">
        <x:v>36</x:v>
      </x:c>
      <x:c r="C16" s="54" t="s">
        <x:v>36</x:v>
      </x:c>
      <x:c r="D16" s="54" t="s">
        <x:v>36</x:v>
      </x:c>
      <x:c r="E16" s="54" t="s">
        <x:v>36</x:v>
      </x:c>
      <x:c r="F16" s="54" t="s">
        <x:v>36</x:v>
      </x:c>
      <x:c r="G16" s="54" t="s">
        <x:v>36</x:v>
      </x:c>
      <x:c r="H16" s="54" t="s">
        <x:v>36</x:v>
      </x:c>
      <x:c r="I16" s="1"/>
      <x:c r="J16" s="1"/>
      <x:c r="K16" s="1"/>
    </x:row>
    <x:row r="17" ht="30" customHeight="1">
      <x:c r="A17" s="2" t="s">
        <x:v>37</x:v>
      </x:c>
      <x:c r="B17" s="2" t="str">
        <x:v>Campus Shop</x:v>
      </x:c>
      <x:c r="C17" s="2" t="s">
        <x:v>38</x:v>
      </x:c>
      <x:c r="D17" s="1"/>
      <x:c r="E17" s="1"/>
      <x:c r="F17" s="1"/>
      <x:c r="G17" s="1"/>
      <x:c r="H17" s="1"/>
      <x:c r="I17" s="1"/>
      <x:c r="J17" s="1"/>
      <x:c r="K17" s="1"/>
    </x:row>
    <x:row r="18" ht="16">
      <x:c r="A18" s="3" t="s">
        <x:v>39</x:v>
      </x:c>
      <x:c r="B18" s="3">
        <x:v>2400</x:v>
      </x:c>
      <x:c r="C18" s="3">
        <x:v>1600</x:v>
      </x:c>
      <x:c r="D18" s="1"/>
      <x:c r="E18" s="1"/>
      <x:c r="F18" s="1"/>
      <x:c r="G18" s="1"/>
      <x:c r="H18" s="1"/>
      <x:c r="I18" s="1"/>
      <x:c r="J18" s="1"/>
      <x:c r="K18" s="1"/>
    </x:row>
    <x:row r="19" ht="16">
      <x:c r="A19" s="3" t="s">
        <x:v>40</x:v>
      </x:c>
      <x:c r="B19" s="13">
        <x:v>66000</x:v>
      </x:c>
      <x:c r="C19" s="13">
        <x:v>44000</x:v>
      </x:c>
      <x:c r="D19" s="1"/>
      <x:c r="E19" s="1"/>
      <x:c r="F19" s="1"/>
      <x:c r="G19" s="1"/>
      <x:c r="H19" s="1"/>
      <x:c r="I19" s="1"/>
      <x:c r="J19" s="1"/>
      <x:c r="K19" s="1"/>
    </x:row>
    <x:row r="20" ht="16">
      <x:c r="A20" s="3" t="s">
        <x:v>41</x:v>
      </x:c>
      <x:c r="B20" s="3">
        <x:v>620</x:v>
      </x:c>
      <x:c r="C20" s="3">
        <x:v>380</x:v>
      </x:c>
      <x:c r="D20" s="1"/>
      <x:c r="E20" s="1"/>
      <x:c r="F20" s="1"/>
      <x:c r="G20" s="1"/>
      <x:c r="H20" s="1"/>
      <x:c r="I20" s="1"/>
      <x:c r="J20" s="1"/>
      <x:c r="K20" s="1"/>
    </x:row>
    <x:row r="21" ht="15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4" customHeight="1">
      <x:c r="A23" s="64" t="s">
        <x:v>42</x:v>
      </x:c>
      <x:c r="B23" s="64" t="s">
        <x:v>42</x:v>
      </x:c>
      <x:c r="C23" s="64" t="s">
        <x:v>42</x:v>
      </x:c>
      <x:c r="D23" s="64" t="s">
        <x:v>42</x:v>
      </x:c>
      <x:c r="E23" s="64" t="s">
        <x:v>42</x:v>
      </x:c>
      <x:c r="F23" s="64" t="s">
        <x:v>42</x:v>
      </x:c>
      <x:c r="G23" s="64" t="s">
        <x:v>42</x:v>
      </x:c>
      <x:c r="H23" s="64" t="s">
        <x:v>42</x:v>
      </x:c>
      <x:c r="I23" s="1"/>
      <x:c r="J23" s="1"/>
      <x:c r="K23" s="1"/>
    </x:row>
    <x:row r="24" ht="30" customHeight="1">
      <x:c r="A24" s="2" t="s">
        <x:v>43</x:v>
      </x:c>
      <x:c r="B24" s="2" t="s">
        <x:v>44</x:v>
      </x:c>
      <x:c r="C24" s="2" t="s">
        <x:v>45</x:v>
      </x:c>
      <x:c r="D24" s="1"/>
      <x:c r="E24" s="1"/>
      <x:c r="F24" s="1"/>
      <x:c r="G24" s="1"/>
      <x:c r="H24" s="1"/>
      <x:c r="I24" s="1"/>
      <x:c r="J24" s="1"/>
      <x:c r="K24" s="1"/>
    </x:row>
    <x:row r="25" ht="16">
      <x:c r="A25" s="3" t="s">
        <x:v>46</x:v>
      </x:c>
      <x:c r="B25" s="13">
        <x:v>9000</x:v>
      </x:c>
      <x:c r="C25" s="3" t="s">
        <x:v>39</x:v>
      </x:c>
      <x:c r="D25" s="1"/>
      <x:c r="E25" s="1"/>
      <x:c r="F25" s="1"/>
      <x:c r="G25" s="1"/>
      <x:c r="H25" s="1"/>
      <x:c r="I25" s="1"/>
      <x:c r="J25" s="1"/>
      <x:c r="K25" s="1"/>
    </x:row>
    <x:row r="26" ht="32">
      <x:c r="A26" s="3" t="s">
        <x:v>47</x:v>
      </x:c>
      <x:c r="B26" s="13">
        <x:v>4200</x:v>
      </x:c>
      <x:c r="C26" s="3" t="s">
        <x:v>48</x:v>
      </x:c>
      <x:c r="D26" s="1"/>
      <x:c r="E26" s="1"/>
      <x:c r="F26" s="1"/>
      <x:c r="G26" s="1"/>
      <x:c r="H26" s="1"/>
      <x:c r="I26" s="1"/>
      <x:c r="J26" s="1"/>
      <x:c r="K26" s="1"/>
    </x:row>
    <x:row r="27" ht="32">
      <x:c r="A27" s="3" t="s">
        <x:v>49</x:v>
      </x:c>
      <x:c r="B27" s="13">
        <x:v>3800</x:v>
      </x:c>
      <x:c r="C27" s="3" t="s">
        <x:v>50</x:v>
      </x:c>
      <x:c r="D27" s="1"/>
      <x:c r="E27" s="1"/>
      <x:c r="F27" s="1"/>
      <x:c r="G27" s="1"/>
      <x:c r="H27" s="1"/>
      <x:c r="I27" s="1"/>
      <x:c r="J27" s="1"/>
      <x:c r="K27" s="1"/>
    </x:row>
    <x:row r="28" ht="32">
      <x:c r="A28" s="3" t="s">
        <x:v>51</x:v>
      </x:c>
      <x:c r="B28" s="13">
        <x:v>3500</x:v>
      </x:c>
      <x:c r="C28" s="3" t="s">
        <x:v>52</x:v>
      </x:c>
      <x:c r="D28" s="1"/>
      <x:c r="E28" s="1"/>
      <x:c r="F28" s="1"/>
      <x:c r="G28" s="1"/>
      <x:c r="H28" s="1"/>
      <x:c r="I28" s="1"/>
      <x:c r="J28" s="1"/>
      <x:c r="K28" s="1"/>
    </x:row>
    <x:row r="29" ht="48">
      <x:c r="A29" s="3" t="s">
        <x:v>53</x:v>
      </x:c>
      <x:c r="B29" s="13">
        <x:v>1500</x:v>
      </x:c>
      <x:c r="C29" s="3" t="s">
        <x:v>54</x:v>
      </x:c>
      <x:c r="D29" s="1"/>
      <x:c r="E29" s="1"/>
      <x:c r="F29" s="1"/>
      <x:c r="G29" s="1"/>
      <x:c r="H29" s="1"/>
      <x:c r="I29" s="1"/>
      <x:c r="J29" s="1"/>
      <x:c r="K29" s="1"/>
    </x:row>
    <x:row r="30" ht="16">
      <x:c r="A30" s="10" t="s">
        <x:v>55</x:v>
      </x:c>
      <x:c r="B30" s="14" t="n">
        <x:f>SUM(B25:B29)</x:f>
        <x:v>22000</x:v>
      </x:c>
      <x:c r="C30" s="10"/>
      <x:c r="D30" s="1"/>
      <x:c r="E30" s="1"/>
      <x:c r="F30" s="1"/>
      <x:c r="G30" s="1"/>
      <x:c r="H30" s="1"/>
      <x:c r="I30" s="1"/>
      <x:c r="J30" s="1"/>
      <x:c r="K30" s="1"/>
    </x:row>
    <x:row r="31" ht="15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4" customHeight="1">
      <x:c r="A33" s="50" t="s">
        <x:v>56</x:v>
      </x:c>
      <x:c r="B33" s="50" t="s">
        <x:v>56</x:v>
      </x:c>
      <x:c r="C33" s="50" t="s">
        <x:v>56</x:v>
      </x:c>
      <x:c r="D33" s="50" t="s">
        <x:v>56</x:v>
      </x:c>
      <x:c r="E33" s="50" t="s">
        <x:v>56</x:v>
      </x:c>
      <x:c r="F33" s="50" t="s">
        <x:v>56</x:v>
      </x:c>
      <x:c r="G33" s="50" t="s">
        <x:v>56</x:v>
      </x:c>
      <x:c r="H33" s="50" t="s">
        <x:v>56</x:v>
      </x:c>
      <x:c r="I33" s="1"/>
      <x:c r="J33" s="1"/>
      <x:c r="K33" s="1"/>
    </x:row>
    <x:row r="34" ht="15">
      <x:c r="A34" s="55" t="s">
        <x:v>57</x:v>
      </x:c>
      <x:c r="B34" s="56"/>
      <x:c r="C34" s="56"/>
      <x:c r="D34" s="56"/>
      <x:c r="E34" s="56"/>
      <x:c r="F34" s="56"/>
      <x:c r="G34" s="56"/>
      <x:c r="H34" s="57"/>
      <x:c r="I34" s="1"/>
      <x:c r="J34" s="1"/>
      <x:c r="K34" s="1"/>
    </x:row>
    <x:row r="35" ht="15">
      <x:c r="A35" s="58"/>
      <x:c r="B35" s="59"/>
      <x:c r="C35" s="59"/>
      <x:c r="D35" s="59"/>
      <x:c r="E35" s="59"/>
      <x:c r="F35" s="59"/>
      <x:c r="G35" s="59"/>
      <x:c r="H35" s="60"/>
      <x:c r="I35" s="1"/>
      <x:c r="J35" s="1"/>
      <x:c r="K35" s="1"/>
    </x:row>
    <x:row r="36" ht="15">
      <x:c r="A36" s="61"/>
      <x:c r="B36" s="62"/>
      <x:c r="C36" s="62"/>
      <x:c r="D36" s="62"/>
      <x:c r="E36" s="62"/>
      <x:c r="F36" s="62"/>
      <x:c r="G36" s="62"/>
      <x:c r="H36" s="63"/>
      <x:c r="I36" s="1"/>
      <x:c r="J36" s="1"/>
      <x:c r="K36" s="1"/>
    </x:row>
    <x:row r="37" ht="15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</x:sheetData>
  <x:mergeCells>
    <x:mergeCell ref="A33:H33"/>
    <x:mergeCell ref="A34:H36"/>
    <x:mergeCell ref="A1:H1"/>
    <x:mergeCell ref="A2:H2"/>
    <x:mergeCell ref="A4:H4"/>
    <x:mergeCell ref="A16:H16"/>
    <x:mergeCell ref="A23:H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2" customWidth="1"/>
    <x:col min="2" max="3" width="14" customWidth="1"/>
    <x:col min="4" max="4" width="16" customWidth="1"/>
    <x:col min="5" max="5" width="18" customWidth="1"/>
    <x:col min="6" max="7" width="16" customWidth="1"/>
    <x:col min="8" max="8" width="18" customWidth="1"/>
    <x:col min="9" max="9" width="16" customWidth="1"/>
  </x:cols>
  <x:sheetData>
    <x:row r="1" ht="34" customHeight="1">
      <x:c r="A1" s="51" t="s">
        <x:v>58</x:v>
      </x:c>
      <x:c r="B1" s="51"/>
      <x:c r="C1" s="51"/>
      <x:c r="D1" s="51"/>
      <x:c r="E1" s="51"/>
      <x:c r="F1" s="51"/>
      <x:c r="G1" s="51"/>
      <x:c r="H1" s="51"/>
      <x:c r="I1" s="51"/>
      <x:c r="J1" s="1"/>
      <x:c r="K1" s="1"/>
    </x:row>
    <x:row r="2" ht="24" customHeight="1">
      <x:c r="A2" s="52" t="str">
        <x:v>Stage 3 · A inventory results link from Live You Try It. Complete yellow profit cells next; overhead and Decision Brief come later when assigned.</x:v>
      </x:c>
      <x:c r="B2" s="52"/>
      <x:c r="C2" s="52"/>
      <x:c r="D2" s="52"/>
      <x:c r="E2" s="52"/>
      <x:c r="F2" s="52"/>
      <x:c r="G2" s="52"/>
      <x:c r="H2" s="52"/>
      <x:c r="I2" s="52"/>
      <x:c r="J2" s="1"/>
      <x:c r="K2" s="1"/>
    </x:row>
    <x:row r="3" ht="15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53" t="str">
        <x:v>1 · FIFO results linked from guided A</x:v>
      </x:c>
      <x:c r="B4" s="53" t="s">
        <x:v>59</x:v>
      </x:c>
      <x:c r="C4" s="53" t="s">
        <x:v>59</x:v>
      </x:c>
      <x:c r="D4" s="53" t="s">
        <x:v>59</x:v>
      </x:c>
      <x:c r="E4" s="53" t="s">
        <x:v>59</x:v>
      </x:c>
      <x:c r="F4" s="53" t="s">
        <x:v>59</x:v>
      </x:c>
      <x:c r="G4" s="53" t="s">
        <x:v>59</x:v>
      </x:c>
      <x:c r="H4" s="53" t="s">
        <x:v>59</x:v>
      </x:c>
      <x:c r="I4" s="53" t="s">
        <x:v>59</x:v>
      </x:c>
      <x:c r="J4" s="1"/>
      <x:c r="K4" s="1"/>
    </x:row>
    <x:row r="5" ht="30" customHeight="1">
      <x:c r="A5" s="2" t="s">
        <x:v>60</x:v>
      </x:c>
      <x:c r="B5" s="2" t="s">
        <x:v>61</x:v>
      </x:c>
      <x:c r="C5" s="2" t="s">
        <x:v>29</x:v>
      </x:c>
      <x:c r="D5" s="2" t="s">
        <x:v>30</x:v>
      </x:c>
      <x:c r="E5" s="2" t="s">
        <x:v>62</x:v>
      </x:c>
      <x:c r="F5" s="2" t="s">
        <x:v>63</x:v>
      </x:c>
      <x:c r="G5" s="2" t="s">
        <x:v>64</x:v>
      </x:c>
      <x:c r="H5" s="2" t="s">
        <x:v>65</x:v>
      </x:c>
      <x:c r="I5" s="2" t="s">
        <x:v>66</x:v>
      </x:c>
      <x:c r="J5" s="1"/>
      <x:c r="K5" s="1"/>
    </x:row>
    <x:row r="6" ht="16">
      <x:c r="A6" s="15" t="str">
        <x:f>'Raw Data'!A6</x:f>
        <x:v>Beginning inventory (first batch)</x:v>
      </x:c>
      <x:c r="B6" s="15" t="n">
        <x:f>'Raw Data'!B6</x:f>
        <x:v>10</x:v>
      </x:c>
      <x:c r="C6" s="18" t="n">
        <x:f>'Raw Data'!C6</x:f>
        <x:v>16</x:v>
      </x:c>
      <x:c r="D6" s="126" t="n">
        <x:f>B6*C6</x:f>
        <x:v>160</x:v>
      </x:c>
      <x:c r="E6" s="127" t="str">
        <x:f>IF(COUNT('Live You Try It'!D6:G9)&lt;16,"",'Live You Try It'!D6)</x:f>
      </x:c>
      <x:c r="F6" s="126" t="str">
        <x:f>IF(COUNT('Live You Try It'!D6:G9)&lt;16,"",'Live You Try It'!E6)</x:f>
      </x:c>
      <x:c r="G6" s="127" t="str">
        <x:f>IF(COUNT('Live You Try It'!D6:G9)&lt;16,"",'Live You Try It'!F6)</x:f>
      </x:c>
      <x:c r="H6" s="126" t="str">
        <x:f>IF(COUNT('Live You Try It'!D6:G9)&lt;16,"",'Live You Try It'!G6)</x:f>
      </x:c>
      <x:c r="I6" s="3" t="str">
        <x:f>IF(COUNT(D6:H6)&lt;5,"BUILD MODEL",IF(AND(D6=B6*C6,E6=MIN(B6,MAX(0,'Raw Data'!B12)),E6+G6=B6,F6=E6*C6,H6=G6*C6),"PASS","REVIEW"))</x:f>
        <x:v>BUILD MODEL</x:v>
      </x:c>
      <x:c r="J6" s="1"/>
      <x:c r="K6" s="1"/>
    </x:row>
    <x:row r="7" ht="16">
      <x:c r="A7" s="15" t="str">
        <x:f>'Raw Data'!A7</x:f>
        <x:v>Second batch purchase</x:v>
      </x:c>
      <x:c r="B7" s="15" t="n">
        <x:f>'Raw Data'!B7</x:f>
        <x:v>20</x:v>
      </x:c>
      <x:c r="C7" s="18" t="n">
        <x:f>'Raw Data'!C7</x:f>
        <x:v>20</x:v>
      </x:c>
      <x:c r="D7" s="126" t="n">
        <x:f>B7*C7</x:f>
        <x:v>400</x:v>
      </x:c>
      <x:c r="E7" s="127" t="str">
        <x:f>IF(COUNT('Live You Try It'!D6:G9)&lt;16,"",'Live You Try It'!D7)</x:f>
      </x:c>
      <x:c r="F7" s="126" t="str">
        <x:f>IF(COUNT('Live You Try It'!D6:G9)&lt;16,"",'Live You Try It'!E7)</x:f>
      </x:c>
      <x:c r="G7" s="127" t="str">
        <x:f>IF(COUNT('Live You Try It'!D6:G9)&lt;16,"",'Live You Try It'!F7)</x:f>
      </x:c>
      <x:c r="H7" s="126" t="str">
        <x:f>IF(COUNT('Live You Try It'!D6:G9)&lt;16,"",'Live You Try It'!G7)</x:f>
      </x:c>
      <x:c r="I7" s="3" t="str">
        <x:f>IF(COUNT(D7:H7)&lt;5,"BUILD MODEL",IF(AND(D7=B7*C7,E7=MIN(B7,MAX(0,'Raw Data'!B12-SUM(E6:E6))),E7+G7=B7,F7=E7*C7,H7=G7*C7),"PASS","REVIEW"))</x:f>
        <x:v>BUILD MODEL</x:v>
      </x:c>
      <x:c r="J7" s="1"/>
      <x:c r="K7" s="1"/>
    </x:row>
    <x:row r="8" ht="16">
      <x:c r="A8" s="15" t="str">
        <x:f>'Raw Data'!A8</x:f>
        <x:v>Third batch purchase</x:v>
      </x:c>
      <x:c r="B8" s="15" t="n">
        <x:f>'Raw Data'!B8</x:f>
        <x:v>20</x:v>
      </x:c>
      <x:c r="C8" s="18" t="n">
        <x:f>'Raw Data'!C8</x:f>
        <x:v>22</x:v>
      </x:c>
      <x:c r="D8" s="126" t="n">
        <x:f>B8*C8</x:f>
        <x:v>440</x:v>
      </x:c>
      <x:c r="E8" s="127" t="str">
        <x:f>IF(COUNT('Live You Try It'!D6:G9)&lt;16,"",'Live You Try It'!D8)</x:f>
      </x:c>
      <x:c r="F8" s="126" t="str">
        <x:f>IF(COUNT('Live You Try It'!D6:G9)&lt;16,"",'Live You Try It'!E8)</x:f>
      </x:c>
      <x:c r="G8" s="127" t="str">
        <x:f>IF(COUNT('Live You Try It'!D6:G9)&lt;16,"",'Live You Try It'!F8)</x:f>
      </x:c>
      <x:c r="H8" s="126" t="str">
        <x:f>IF(COUNT('Live You Try It'!D6:G9)&lt;16,"",'Live You Try It'!G8)</x:f>
      </x:c>
      <x:c r="I8" s="3" t="str">
        <x:f>IF(COUNT(D8:H8)&lt;5,"BUILD MODEL",IF(AND(D8=B8*C8,E8=MIN(B8,MAX(0,'Raw Data'!B12-SUM(E6:E7))),E8+G8=B8,F8=E8*C8,H8=G8*C8),"PASS","REVIEW"))</x:f>
        <x:v>BUILD MODEL</x:v>
      </x:c>
      <x:c r="J8" s="1"/>
      <x:c r="K8" s="1"/>
    </x:row>
    <x:row r="9" ht="16">
      <x:c r="A9" s="10" t="s">
        <x:v>67</x:v>
      </x:c>
      <x:c r="B9" s="17" t="n">
        <x:f>SUM(B6:B8)</x:f>
        <x:v>50</x:v>
      </x:c>
      <x:c r="C9" s="20"/>
      <x:c r="D9" s="128" t="n">
        <x:f>SUM(D6:D8)</x:f>
        <x:v>1000</x:v>
      </x:c>
      <x:c r="E9" s="129" t="str">
        <x:f>IF(COUNT('Live You Try It'!D6:G9)&lt;16,"",SUM(E6:E8))</x:f>
      </x:c>
      <x:c r="F9" s="128" t="str">
        <x:f>IF(COUNT('Live You Try It'!D6:G9)&lt;16,"",SUM(F6:F8))</x:f>
      </x:c>
      <x:c r="G9" s="129" t="str">
        <x:f>IF(COUNT('Live You Try It'!D6:G9)&lt;16,"",SUM(G6:G8))</x:f>
      </x:c>
      <x:c r="H9" s="128" t="str">
        <x:f>IF(COUNT('Live You Try It'!D6:G9)&lt;16,"",SUM(H6:H8))</x:f>
      </x:c>
      <x:c r="I9" s="10" t="str">
        <x:f>IF(COUNT(D6:H9)&lt;20,"BUILD MODEL",IF(AND(COUNTIF(I6:I8,"PASS")=3,D9=SUM(D6:D8),E9=SUM(E6:E8),F9=SUM(F6:F8),G9=SUM(G6:G8),H9=SUM(H6:H8),E9='Raw Data'!B12),"PASS","REVIEW"))</x:f>
        <x:v>BUILD MODEL</x:v>
      </x:c>
      <x:c r="J9" s="1"/>
      <x:c r="K9" s="1"/>
    </x:row>
    <x:row r="10" ht="15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4" customHeight="1">
      <x:c r="A12" s="53" t="str">
        <x:v>2 · Weighted-average results linked from A</x:v>
      </x:c>
      <x:c r="B12" s="53" t="s">
        <x:v>68</x:v>
      </x:c>
      <x:c r="C12" s="53" t="s">
        <x:v>68</x:v>
      </x:c>
      <x:c r="D12" s="53" t="s">
        <x:v>68</x:v>
      </x:c>
      <x:c r="E12" s="53" t="s">
        <x:v>68</x:v>
      </x:c>
      <x:c r="F12" s="53" t="s">
        <x:v>68</x:v>
      </x:c>
      <x:c r="G12" s="53" t="s">
        <x:v>68</x:v>
      </x:c>
      <x:c r="H12" s="53" t="s">
        <x:v>68</x:v>
      </x:c>
      <x:c r="I12" s="53" t="s">
        <x:v>68</x:v>
      </x:c>
      <x:c r="J12" s="1"/>
      <x:c r="K12" s="1"/>
    </x:row>
    <x:row r="13" ht="30" customHeight="1">
      <x:c r="A13" s="2" t="s">
        <x:v>69</x:v>
      </x:c>
      <x:c r="B13" s="2" t="s">
        <x:v>70</x:v>
      </x:c>
      <x:c r="C13" s="2" t="s">
        <x:v>71</x:v>
      </x:c>
      <x:c r="D13" s="1"/>
      <x:c r="E13" s="2" t="s">
        <x:v>72</x:v>
      </x:c>
      <x:c r="F13" s="2" t="s">
        <x:v>73</x:v>
      </x:c>
      <x:c r="G13" s="2" t="s">
        <x:v>74</x:v>
      </x:c>
      <x:c r="H13" s="2" t="s">
        <x:v>75</x:v>
      </x:c>
      <x:c r="I13" s="2" t="s">
        <x:v>76</x:v>
      </x:c>
      <x:c r="J13" s="1"/>
      <x:c r="K13" s="1"/>
    </x:row>
    <x:row r="14" ht="16">
      <x:c r="A14" s="3" t="s">
        <x:v>77</x:v>
      </x:c>
      <x:c r="B14" s="21" t="n">
        <x:f>B9</x:f>
        <x:v>50</x:v>
      </x:c>
      <x:c r="C14" s="3" t="str">
        <x:v>Should equal 50</x:v>
      </x:c>
      <x:c r="D14" s="1"/>
      <x:c r="E14" s="3" t="s">
        <x:v>78</x:v>
      </x:c>
      <x:c r="F14" s="3" t="n">
        <x:f>SUM(E9,G9)</x:f>
        <x:v>0</x:v>
      </x:c>
      <x:c r="G14" s="3" t="n">
        <x:f>B9</x:f>
        <x:v>50</x:v>
      </x:c>
      <x:c r="H14" s="3" t="n">
        <x:f>F14-G14</x:f>
        <x:v>-50</x:v>
      </x:c>
      <x:c r="I14" s="3" t="str">
        <x:f>IF(COUNT(D6:H9)&lt;20,"BUILD MODEL",IF(AND(I9="PASS",ABS(H14)&lt;0.01),"PASS","REVIEW"))</x:f>
        <x:v>BUILD MODEL</x:v>
      </x:c>
      <x:c r="J14" s="1"/>
      <x:c r="K14" s="1"/>
    </x:row>
    <x:row r="15" ht="32">
      <x:c r="A15" s="3" t="s">
        <x:v>79</x:v>
      </x:c>
      <x:c r="B15" s="130" t="n">
        <x:f>D9</x:f>
        <x:v>1000</x:v>
      </x:c>
      <x:c r="C15" s="3" t="str">
        <x:v>Should equal $1,000</x:v>
      </x:c>
      <x:c r="D15" s="1"/>
      <x:c r="E15" s="3" t="s">
        <x:v>80</x:v>
      </x:c>
      <x:c r="F15" s="11" t="n">
        <x:f>SUM(F9,H9)</x:f>
        <x:v>0</x:v>
      </x:c>
      <x:c r="G15" s="11" t="n">
        <x:f>D9</x:f>
        <x:v>1000</x:v>
      </x:c>
      <x:c r="H15" s="11" t="n">
        <x:f>F15-G15</x:f>
        <x:v>-1000</x:v>
      </x:c>
      <x:c r="I15" s="3" t="str">
        <x:f>IF(COUNT(D6:H9)&lt;20,"BUILD MODEL",IF(AND(I9="PASS",ABS(H15)&lt;0.01),"PASS","REVIEW"))</x:f>
        <x:v>BUILD MODEL</x:v>
      </x:c>
      <x:c r="J15" s="1"/>
      <x:c r="K15" s="1"/>
    </x:row>
    <x:row r="16" ht="32">
      <x:c r="A16" s="3" t="s">
        <x:v>81</x:v>
      </x:c>
      <x:c r="B16" s="130" t="str">
        <x:f>IF(COUNT('Live You Try It'!E56:E58)&lt;3,"",'Live You Try It'!E56)</x:f>
      </x:c>
      <x:c r="C16" s="3" t="s">
        <x:v>82</x:v>
      </x:c>
      <x:c r="D16" s="1"/>
      <x:c r="E16" s="3" t="s">
        <x:v>83</x:v>
      </x:c>
      <x:c r="F16" s="11" t="n">
        <x:f>SUM(B18,B20)</x:f>
        <x:v>0</x:v>
      </x:c>
      <x:c r="G16" s="11" t="n">
        <x:f>B15</x:f>
        <x:v>1000</x:v>
      </x:c>
      <x:c r="H16" s="11" t="n">
        <x:f>F16-G16</x:f>
        <x:v>-1000</x:v>
      </x:c>
      <x:c r="I16" s="3" t="str">
        <x:f>IF(COUNT(B15:B20)&lt;6,"BUILD MODEL",IF(AND(B15=D9,ABS(B16-B15/B14)&lt;0.000001,B18=B17*B16,B19=B14-B17,B20=B19*B16,ABS(H16)&lt;0.01),"PASS","REVIEW"))</x:f>
        <x:v>BUILD MODEL</x:v>
      </x:c>
      <x:c r="J16" s="1"/>
      <x:c r="K16" s="1"/>
    </x:row>
    <x:row r="17" ht="16">
      <x:c r="A17" s="3" t="s">
        <x:v>34</x:v>
      </x:c>
      <x:c r="B17" s="21" t="n">
        <x:f>'Raw Data'!B12</x:f>
        <x:v>30</x:v>
      </x:c>
      <x:c r="C17" s="3" t="s">
        <x:v>84</x:v>
      </x:c>
      <x:c r="D17" s="1"/>
      <x:c r="E17" s="1"/>
      <x:c r="F17" s="1"/>
      <x:c r="G17" s="1"/>
      <x:c r="H17" s="1"/>
      <x:c r="I17" s="1"/>
      <x:c r="J17" s="1"/>
      <x:c r="K17" s="1"/>
    </x:row>
    <x:row r="18" ht="32">
      <x:c r="A18" s="3" t="s">
        <x:v>85</x:v>
      </x:c>
      <x:c r="B18" s="130" t="str">
        <x:f>IF(COUNT('Live You Try It'!E56:E58)&lt;3,"",'Live You Try It'!E57)</x:f>
      </x:c>
      <x:c r="C18" s="3" t="s">
        <x:v>86</x:v>
      </x:c>
      <x:c r="D18" s="1"/>
      <x:c r="E18" s="1"/>
      <x:c r="F18" s="1"/>
      <x:c r="G18" s="1"/>
      <x:c r="H18" s="1"/>
      <x:c r="I18" s="1"/>
      <x:c r="J18" s="1"/>
      <x:c r="K18" s="1"/>
    </x:row>
    <x:row r="19" ht="16">
      <x:c r="A19" s="3" t="s">
        <x:v>87</x:v>
      </x:c>
      <x:c r="B19" s="131" t="n">
        <x:f>B14-B17</x:f>
        <x:v>20</x:v>
      </x:c>
      <x:c r="C19" s="3" t="s">
        <x:v>88</x:v>
      </x:c>
      <x:c r="D19" s="1"/>
      <x:c r="E19" s="1"/>
      <x:c r="F19" s="1"/>
      <x:c r="G19" s="1"/>
      <x:c r="H19" s="1"/>
      <x:c r="I19" s="1"/>
      <x:c r="J19" s="1"/>
      <x:c r="K19" s="1"/>
    </x:row>
    <x:row r="20" ht="32">
      <x:c r="A20" s="3" t="s">
        <x:v>89</x:v>
      </x:c>
      <x:c r="B20" s="130" t="str">
        <x:f>IF(COUNT('Live You Try It'!E56:E58)&lt;3,"",'Live You Try It'!E58)</x:f>
      </x:c>
      <x:c r="C20" s="3" t="s">
        <x:v>90</x:v>
      </x:c>
      <x:c r="D20" s="1"/>
      <x:c r="E20" s="1"/>
      <x:c r="F20" s="1"/>
      <x:c r="G20" s="1"/>
      <x:c r="H20" s="1"/>
      <x:c r="I20" s="1"/>
      <x:c r="J20" s="1"/>
      <x:c r="K20" s="1"/>
    </x:row>
    <x:row r="21" ht="15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4" customHeight="1">
      <x:c r="A23" s="54" t="s">
        <x:v>91</x:v>
      </x:c>
      <x:c r="B23" s="54" t="s">
        <x:v>91</x:v>
      </x:c>
      <x:c r="C23" s="54" t="s">
        <x:v>91</x:v>
      </x:c>
      <x:c r="D23" s="54" t="s">
        <x:v>91</x:v>
      </x:c>
      <x:c r="E23" s="54" t="s">
        <x:v>91</x:v>
      </x:c>
      <x:c r="F23" s="54" t="s">
        <x:v>91</x:v>
      </x:c>
      <x:c r="G23" s="54" t="s">
        <x:v>91</x:v>
      </x:c>
      <x:c r="H23" s="54" t="s">
        <x:v>91</x:v>
      </x:c>
      <x:c r="I23" s="54" t="s">
        <x:v>91</x:v>
      </x:c>
      <x:c r="J23" s="1"/>
      <x:c r="K23" s="1"/>
    </x:row>
    <x:row r="24" ht="30" customHeight="1">
      <x:c r="A24" s="2" t="s">
        <x:v>92</x:v>
      </x:c>
      <x:c r="B24" s="2" t="s">
        <x:v>93</x:v>
      </x:c>
      <x:c r="C24" s="2" t="s">
        <x:v>94</x:v>
      </x:c>
      <x:c r="D24" s="2" t="s">
        <x:v>95</x:v>
      </x:c>
      <x:c r="E24" s="1"/>
      <x:c r="F24" s="2" t="s">
        <x:v>96</x:v>
      </x:c>
      <x:c r="G24" s="2" t="s">
        <x:v>93</x:v>
      </x:c>
      <x:c r="H24" s="2" t="s">
        <x:v>97</x:v>
      </x:c>
      <x:c r="I24" s="2" t="s">
        <x:v>76</x:v>
      </x:c>
      <x:c r="J24" s="1"/>
      <x:c r="K24" s="1"/>
    </x:row>
    <x:row r="25" ht="32">
      <x:c r="A25" s="3" t="s">
        <x:v>98</x:v>
      </x:c>
      <x:c r="B25" s="23" t="n">
        <x:f>'Raw Data'!D6</x:f>
        <x:v>160</x:v>
      </x:c>
      <x:c r="C25" s="23" t="n">
        <x:f>'Raw Data'!D6</x:f>
        <x:v>160</x:v>
      </x:c>
      <x:c r="D25" s="3" t="s">
        <x:v>99</x:v>
      </x:c>
      <x:c r="E25" s="1"/>
      <x:c r="F25" s="3" t="s">
        <x:v>31</x:v>
      </x:c>
      <x:c r="G25" s="11" t="n">
        <x:f>B27</x:f>
        <x:v>0</x:v>
      </x:c>
      <x:c r="H25" s="11" t="n">
        <x:f>C27</x:f>
        <x:v>0</x:v>
      </x:c>
      <x:c r="I25" s="3" t="str">
        <x:f>IF(COUNT(B27:C29)&lt;6,"BUILD MODEL",IF(AND(B27=SUM(B25:B26),C27=SUM(C25:C26)),"PASS","REVIEW"))</x:f>
        <x:v>BUILD MODEL</x:v>
      </x:c>
      <x:c r="J25" s="1"/>
      <x:c r="K25" s="1"/>
    </x:row>
    <x:row r="26" ht="32">
      <x:c r="A26" s="3" t="s">
        <x:v>100</x:v>
      </x:c>
      <x:c r="B26" s="23" t="n">
        <x:f>SUM('Raw Data'!D7:D8)</x:f>
        <x:v>840</x:v>
      </x:c>
      <x:c r="C26" s="23" t="n">
        <x:f>SUM('Raw Data'!D7:D8)</x:f>
        <x:v>840</x:v>
      </x:c>
      <x:c r="D26" s="3" t="str">
        <x:v>Second + third batch purchases</x:v>
      </x:c>
      <x:c r="E26" s="1"/>
      <x:c r="F26" s="3" t="s">
        <x:v>101</x:v>
      </x:c>
      <x:c r="G26" s="11" t="n">
        <x:f>SUM(B28:B29)</x:f>
        <x:v>0</x:v>
      </x:c>
      <x:c r="H26" s="11" t="n">
        <x:f>SUM(C28:C29)</x:f>
        <x:v>0</x:v>
      </x:c>
      <x:c r="I26" s="3" t="str">
        <x:f>IF(COUNT(B27:C29)&lt;6,"BUILD MODEL",IF(AND(B28=H9,C28=B20,ABS(G26-G25)&lt;0.01,ABS(H26-H25)&lt;0.01),"PASS","REVIEW"))</x:f>
        <x:v>BUILD MODEL</x:v>
      </x:c>
      <x:c r="J26" s="1"/>
      <x:c r="K26" s="1"/>
    </x:row>
    <x:row r="27" ht="32">
      <x:c r="A27" s="3" t="s">
        <x:v>31</x:v>
      </x:c>
      <x:c r="B27" s="22"/>
      <x:c r="C27" s="22"/>
      <x:c r="D27" s="3" t="s">
        <x:v>102</x:v>
      </x:c>
      <x:c r="E27" s="1"/>
      <x:c r="F27" s="3" t="s">
        <x:v>103</x:v>
      </x:c>
      <x:c r="G27" s="3"/>
      <x:c r="H27" s="3"/>
      <x:c r="I27" s="3" t="str">
        <x:f>IF(COUNT(B27:C32)&lt;12,"BUILD MODEL",IF(AND(I25="PASS",I26="PASS",B31=B30-B29,C31=C30-C29,ABS(B32-B31/B30)&lt;0.000001,ABS(C32-C31/C30)&lt;0.000001),"PASS","REVIEW"))</x:f>
        <x:v>BUILD MODEL</x:v>
      </x:c>
      <x:c r="J27" s="1"/>
      <x:c r="K27" s="1"/>
    </x:row>
    <x:row r="28" ht="32">
      <x:c r="A28" s="3" t="s">
        <x:v>65</x:v>
      </x:c>
      <x:c r="B28" s="22"/>
      <x:c r="C28" s="22"/>
      <x:c r="D28" s="3" t="s">
        <x:v>104</x:v>
      </x:c>
      <x:c r="E28" s="1"/>
      <x:c r="F28" s="1"/>
      <x:c r="G28" s="1"/>
      <x:c r="H28" s="1"/>
      <x:c r="I28" s="1"/>
      <x:c r="J28" s="1"/>
      <x:c r="K28" s="1"/>
    </x:row>
    <x:row r="29" ht="32">
      <x:c r="A29" s="3" t="s">
        <x:v>105</x:v>
      </x:c>
      <x:c r="B29" s="22"/>
      <x:c r="C29" s="22"/>
      <x:c r="D29" s="3" t="s">
        <x:v>106</x:v>
      </x:c>
      <x:c r="E29" s="1"/>
      <x:c r="F29" s="1"/>
      <x:c r="G29" s="1"/>
      <x:c r="H29" s="1"/>
      <x:c r="I29" s="1"/>
      <x:c r="J29" s="1"/>
      <x:c r="K29" s="1"/>
    </x:row>
    <x:row r="30" ht="16">
      <x:c r="A30" s="3" t="str">
        <x:v>Hoodie revenue</x:v>
      </x:c>
      <x:c r="B30" s="23" t="n">
        <x:f>'Raw Data'!B12*'Raw Data'!B13</x:f>
        <x:v>1200</x:v>
      </x:c>
      <x:c r="C30" s="23" t="n">
        <x:f>'Raw Data'!B12*'Raw Data'!B13</x:f>
        <x:v>1200</x:v>
      </x:c>
      <x:c r="D30" s="3" t="s">
        <x:v>107</x:v>
      </x:c>
      <x:c r="E30" s="1"/>
      <x:c r="F30" s="1"/>
      <x:c r="G30" s="1"/>
      <x:c r="H30" s="1"/>
      <x:c r="I30" s="1"/>
      <x:c r="J30" s="1"/>
      <x:c r="K30" s="1"/>
    </x:row>
    <x:row r="31" ht="16">
      <x:c r="A31" s="3" t="s">
        <x:v>108</x:v>
      </x:c>
      <x:c r="B31" s="22"/>
      <x:c r="C31" s="22"/>
      <x:c r="D31" s="3" t="s">
        <x:v>109</x:v>
      </x:c>
      <x:c r="E31" s="1"/>
      <x:c r="F31" s="1"/>
      <x:c r="G31" s="1"/>
      <x:c r="H31" s="1"/>
      <x:c r="I31" s="1"/>
      <x:c r="J31" s="1"/>
      <x:c r="K31" s="1"/>
    </x:row>
    <x:row r="32" ht="32">
      <x:c r="A32" s="3" t="s">
        <x:v>110</x:v>
      </x:c>
      <x:c r="B32" s="24"/>
      <x:c r="C32" s="24"/>
      <x:c r="D32" s="3" t="s">
        <x:v>111</x:v>
      </x:c>
      <x:c r="E32" s="1"/>
      <x:c r="F32" s="1"/>
      <x:c r="G32" s="1"/>
      <x:c r="H32" s="1"/>
      <x:c r="I32" s="1"/>
      <x:c r="J32" s="1"/>
      <x:c r="K32" s="1"/>
    </x:row>
    <x:row r="33" ht="15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4" customHeight="1">
      <x:c r="A35" s="64" t="str">
        <x:v>4 · Later stage: overhead allocation</x:v>
      </x:c>
      <x:c r="B35" s="64" t="s">
        <x:v>112</x:v>
      </x:c>
      <x:c r="C35" s="64" t="s">
        <x:v>112</x:v>
      </x:c>
      <x:c r="D35" s="64" t="s">
        <x:v>112</x:v>
      </x:c>
      <x:c r="E35" s="64" t="s">
        <x:v>112</x:v>
      </x:c>
      <x:c r="F35" s="64" t="s">
        <x:v>112</x:v>
      </x:c>
      <x:c r="G35" s="64" t="s">
        <x:v>112</x:v>
      </x:c>
      <x:c r="H35" s="64" t="s">
        <x:v>112</x:v>
      </x:c>
      <x:c r="I35" s="64" t="s">
        <x:v>112</x:v>
      </x:c>
      <x:c r="J35" s="1"/>
      <x:c r="K35" s="1"/>
    </x:row>
    <x:row r="36" ht="30" customHeight="1">
      <x:c r="A36" s="2" t="s">
        <x:v>43</x:v>
      </x:c>
      <x:c r="B36" s="2" t="s">
        <x:v>44</x:v>
      </x:c>
      <x:c r="C36" s="2" t="s">
        <x:v>113</x:v>
      </x:c>
      <x:c r="D36" s="2" t="str">
        <x:v>Campus basis</x:v>
      </x:c>
      <x:c r="E36" s="2" t="s">
        <x:v>114</x:v>
      </x:c>
      <x:c r="F36" s="2" t="s">
        <x:v>115</x:v>
      </x:c>
      <x:c r="G36" s="2" t="str">
        <x:v>Campus allocation</x:v>
      </x:c>
      <x:c r="H36" s="2" t="s">
        <x:v>116</x:v>
      </x:c>
      <x:c r="I36" s="2" t="s">
        <x:v>117</x:v>
      </x:c>
      <x:c r="J36" s="1"/>
      <x:c r="K36" s="1"/>
    </x:row>
    <x:row r="37" ht="16">
      <x:c r="A37" s="15" t="str">
        <x:f>'Raw Data'!A25</x:f>
        <x:v>Rent</x:v>
      </x:c>
      <x:c r="B37" s="18" t="n">
        <x:f>'Raw Data'!B25</x:f>
        <x:v>9000</x:v>
      </x:c>
      <x:c r="C37" s="16"/>
      <x:c r="D37" s="16"/>
      <x:c r="E37" s="16"/>
      <x:c r="F37" s="16"/>
      <x:c r="G37" s="19"/>
      <x:c r="H37" s="19"/>
      <x:c r="I37" s="3" t="str">
        <x:f>IF(OR(C37="",COUNT(D37:H37)&lt;5),"BUILD MODEL",IF(AND(D37&gt;=0,E37&gt;=0,F37&gt;0,F37=SUM(D37:E37),ABS(G37-B37*D37/F37)&lt;0.01,ABS(H37-B37*E37/F37)&lt;0.01,ABS(SUM(G37:H37)-B37)&lt;0.01),"PASS","REVIEW"))</x:f>
        <x:v>BUILD MODEL</x:v>
      </x:c>
      <x:c r="J37" s="1"/>
      <x:c r="K37" s="1"/>
    </x:row>
    <x:row r="38" ht="16">
      <x:c r="A38" s="15" t="str">
        <x:f>'Raw Data'!A26</x:f>
        <x:v>Utilities</x:v>
      </x:c>
      <x:c r="B38" s="18" t="n">
        <x:f>'Raw Data'!B26</x:f>
        <x:v>4200</x:v>
      </x:c>
      <x:c r="C38" s="16"/>
      <x:c r="D38" s="16"/>
      <x:c r="E38" s="16"/>
      <x:c r="F38" s="16"/>
      <x:c r="G38" s="19"/>
      <x:c r="H38" s="19"/>
      <x:c r="I38" s="3" t="str">
        <x:f>IF(OR(C38="",COUNT(D38:H38)&lt;5),"BUILD MODEL",IF(AND(D38&gt;=0,E38&gt;=0,F38&gt;0,F38=SUM(D38:E38),ABS(G38-B38*D38/F38)&lt;0.01,ABS(H38-B38*E38/F38)&lt;0.01,ABS(SUM(G38:H38)-B38)&lt;0.01),"PASS","REVIEW"))</x:f>
        <x:v>BUILD MODEL</x:v>
      </x:c>
      <x:c r="J38" s="1"/>
      <x:c r="K38" s="1"/>
    </x:row>
    <x:row r="39" ht="16">
      <x:c r="A39" s="15" t="str">
        <x:f>'Raw Data'!A27</x:f>
        <x:v>Insurance</x:v>
      </x:c>
      <x:c r="B39" s="18" t="n">
        <x:f>'Raw Data'!B27</x:f>
        <x:v>3800</x:v>
      </x:c>
      <x:c r="C39" s="16"/>
      <x:c r="D39" s="16"/>
      <x:c r="E39" s="16"/>
      <x:c r="F39" s="16"/>
      <x:c r="G39" s="19"/>
      <x:c r="H39" s="19"/>
      <x:c r="I39" s="3" t="str">
        <x:f>IF(OR(C39="",COUNT(D39:H39)&lt;5),"BUILD MODEL",IF(AND(D39&gt;=0,E39&gt;=0,F39&gt;0,F39=SUM(D39:E39),ABS(G39-B39*D39/F39)&lt;0.01,ABS(H39-B39*E39/F39)&lt;0.01,ABS(SUM(G39:H39)-B39)&lt;0.01),"PASS","REVIEW"))</x:f>
        <x:v>BUILD MODEL</x:v>
      </x:c>
      <x:c r="J39" s="1"/>
      <x:c r="K39" s="1"/>
    </x:row>
    <x:row r="40" ht="16">
      <x:c r="A40" s="15" t="str">
        <x:f>'Raw Data'!A28</x:f>
        <x:v>Indirect labor</x:v>
      </x:c>
      <x:c r="B40" s="18" t="n">
        <x:f>'Raw Data'!B28</x:f>
        <x:v>3500</x:v>
      </x:c>
      <x:c r="C40" s="16"/>
      <x:c r="D40" s="16"/>
      <x:c r="E40" s="16"/>
      <x:c r="F40" s="16"/>
      <x:c r="G40" s="19"/>
      <x:c r="H40" s="19"/>
      <x:c r="I40" s="3" t="str">
        <x:f>IF(OR(C40="",COUNT(D40:H40)&lt;5),"BUILD MODEL",IF(AND(D40&gt;=0,E40&gt;=0,F40&gt;0,F40=SUM(D40:E40),ABS(G40-B40*D40/F40)&lt;0.01,ABS(H40-B40*E40/F40)&lt;0.01,ABS(SUM(G40:H40)-B40)&lt;0.01),"PASS","REVIEW"))</x:f>
        <x:v>BUILD MODEL</x:v>
      </x:c>
      <x:c r="J40" s="1"/>
      <x:c r="K40" s="1"/>
    </x:row>
    <x:row r="41" ht="16">
      <x:c r="A41" s="15" t="str">
        <x:f>'Raw Data'!A29</x:f>
        <x:v>Maintenance</x:v>
      </x:c>
      <x:c r="B41" s="18" t="n">
        <x:f>'Raw Data'!B29</x:f>
        <x:v>1500</x:v>
      </x:c>
      <x:c r="C41" s="16"/>
      <x:c r="D41" s="16"/>
      <x:c r="E41" s="16"/>
      <x:c r="F41" s="16"/>
      <x:c r="G41" s="19"/>
      <x:c r="H41" s="19"/>
      <x:c r="I41" s="3" t="str">
        <x:f>IF(OR(C41="",COUNT(D41:H41)&lt;5),"BUILD MODEL",IF(AND(D41&gt;=0,E41&gt;=0,F41&gt;0,F41=SUM(D41:E41),ABS(G41-B41*D41/F41)&lt;0.01,ABS(H41-B41*E41/F41)&lt;0.01,ABS(SUM(G41:H41)-B41)&lt;0.01),"PASS","REVIEW"))</x:f>
        <x:v>BUILD MODEL</x:v>
      </x:c>
      <x:c r="J41" s="1"/>
      <x:c r="K41" s="1"/>
    </x:row>
    <x:row r="42" ht="16">
      <x:c r="A42" s="10" t="s">
        <x:v>118</x:v>
      </x:c>
      <x:c r="B42" s="12" t="n">
        <x:f>SUM(B37:B41)</x:f>
        <x:v>22000</x:v>
      </x:c>
      <x:c r="C42" s="10"/>
      <x:c r="D42" s="10"/>
      <x:c r="E42" s="10"/>
      <x:c r="F42" s="10"/>
      <x:c r="G42" s="12" t="n">
        <x:f>SUM(G37:G41)</x:f>
        <x:v>0</x:v>
      </x:c>
      <x:c r="H42" s="12" t="n">
        <x:f>SUM(H37:H41)</x:f>
        <x:v>0</x:v>
      </x:c>
      <x:c r="I42" s="10" t="str">
        <x:f>IF(COUNTA(C37:H41)=0,"BUILD MODEL",IF(COUNTIF(I37:I41,"PASS")=5,"PASS","REVIEW"))</x:f>
        <x:v>BUILD MODEL</x:v>
      </x:c>
      <x:c r="J42" s="1"/>
      <x:c r="K42" s="1"/>
    </x:row>
    <x:row r="43" ht="1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30" customHeight="1">
      <x:c r="A45" s="2" t="s">
        <x:v>119</x:v>
      </x:c>
      <x:c r="B45" s="2" t="s">
        <x:v>120</x:v>
      </x:c>
      <x:c r="C45" s="2" t="s">
        <x:v>121</x:v>
      </x:c>
      <x:c r="D45" s="2" t="s">
        <x:v>122</x:v>
      </x:c>
      <x:c r="E45" s="1"/>
      <x:c r="F45" s="1"/>
      <x:c r="G45" s="1"/>
      <x:c r="H45" s="1"/>
      <x:c r="I45" s="1"/>
      <x:c r="J45" s="1"/>
      <x:c r="K45" s="1"/>
    </x:row>
    <x:row r="46" ht="64">
      <x:c r="A46" s="3" t="str">
        <x:v>Total business revenue</x:v>
      </x:c>
      <x:c r="B46" s="11" t="n">
        <x:f>SUM('Raw Data'!B19:C19)</x:f>
        <x:v>110000</x:v>
      </x:c>
      <x:c r="C46" s="11"/>
      <x:c r="D46" s="3" t="str">
        <x:v>Broader business revenue, separate from hoodie sales above</x:v>
      </x:c>
      <x:c r="E46" s="1"/>
      <x:c r="F46" s="1"/>
      <x:c r="G46" s="1"/>
      <x:c r="H46" s="1"/>
      <x:c r="I46" s="1"/>
      <x:c r="J46" s="1"/>
      <x:c r="K46" s="1"/>
    </x:row>
    <x:row r="47" ht="48">
      <x:c r="A47" s="3" t="s">
        <x:v>55</x:v>
      </x:c>
      <x:c r="B47" s="11" t="n">
        <x:f>'Raw Data'!B30</x:f>
        <x:v>22000</x:v>
      </x:c>
      <x:c r="C47" s="11"/>
      <x:c r="D47" s="3" t="s">
        <x:v>123</x:v>
      </x:c>
      <x:c r="E47" s="1"/>
      <x:c r="F47" s="1"/>
      <x:c r="G47" s="1"/>
      <x:c r="H47" s="1"/>
      <x:c r="I47" s="1"/>
      <x:c r="J47" s="1"/>
      <x:c r="K47" s="1"/>
    </x:row>
    <x:row r="48" ht="80">
      <x:c r="A48" s="3" t="s">
        <x:v>124</x:v>
      </x:c>
      <x:c r="B48" s="25"/>
      <x:c r="C48" s="25"/>
      <x:c r="D48" s="3" t="str">
        <x:v>Rate rises when the revenue denominator falls; spending is unchanged</x:v>
      </x:c>
      <x:c r="E48" s="1"/>
      <x:c r="F48" s="1"/>
      <x:c r="G48" s="1"/>
      <x:c r="H48" s="1"/>
      <x:c r="I48" s="1"/>
      <x:c r="J48" s="1"/>
      <x:c r="K48" s="1"/>
    </x:row>
    <x:row r="49" ht="1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30" customHeight="1">
      <x:c r="A50" s="102" t="str">
        <x:v>PASS checks arithmetic and completeness. Explain why each driver fits its cost pool in Decision Brief. Alternative available drivers are acceptable with evidence; an allocation total alone does not prove fairness.</x:v>
      </x:c>
      <x:c r="B50" s="102"/>
      <x:c r="C50" s="102"/>
      <x:c r="D50" s="102"/>
      <x:c r="E50" s="102"/>
      <x:c r="F50" s="102"/>
      <x:c r="G50" s="102"/>
      <x:c r="H50" s="102"/>
      <x:c r="I50" s="102"/>
      <x:c r="J50" s="1"/>
      <x:c r="K50" s="1"/>
    </x:row>
    <x:row r="51" ht="30" customHeight="1">
      <x:c r="A51" s="102"/>
      <x:c r="B51" s="102"/>
      <x:c r="C51" s="102"/>
      <x:c r="D51" s="102"/>
      <x:c r="E51" s="102"/>
      <x:c r="F51" s="102"/>
      <x:c r="G51" s="102"/>
      <x:c r="H51" s="102"/>
      <x:c r="I51" s="102"/>
      <x:c r="J51" s="1"/>
      <x:c r="K51" s="1"/>
    </x:row>
    <x:row r="52" ht="1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</x:sheetData>
  <x:mergeCells>
    <x:mergeCell ref="A35:I35"/>
    <x:mergeCell ref="A1:I1"/>
    <x:mergeCell ref="A2:I2"/>
    <x:mergeCell ref="A4:I4"/>
    <x:mergeCell ref="A12:I12"/>
    <x:mergeCell ref="A23:I23"/>
    <x:mergeCell ref="A50:I51"/>
  </x:mergeCells>
  <x:conditionalFormatting sqref="I6:I9">
    <x:cfRule type="containsText" dxfId="23" priority="1" operator="containsText" text="PASS"/>
    <x:cfRule type="containsText" dxfId="22" priority="2" operator="containsText" text="REVIEW"/>
  </x:conditionalFormatting>
  <x:conditionalFormatting sqref="I14:I16">
    <x:cfRule type="containsText" dxfId="21" priority="3" operator="containsText" text="PASS"/>
    <x:cfRule type="containsText" dxfId="20" priority="4" operator="containsText" text="REVIEW"/>
  </x:conditionalFormatting>
  <x:conditionalFormatting sqref="I25:I27">
    <x:cfRule type="containsText" dxfId="19" priority="5" operator="containsText" text="PASS"/>
    <x:cfRule type="containsText" dxfId="18" priority="6" operator="containsText" text="REVIEW"/>
  </x:conditionalFormatting>
  <x:conditionalFormatting sqref="I37:I42">
    <x:cfRule type="containsText" dxfId="17" priority="7" operator="containsText" text="PASS"/>
    <x:cfRule type="containsText" dxfId="16" priority="8" operator="containsText" text="REVIEW"/>
  </x:conditionalFormatting>
  <x:dataValidations count="1">
    <x:dataValidation type="list" sqref="C37:C41">
      <x:formula1>"Square footage,Revenue,Direct labor hours"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3" customWidth="1"/>
    <x:col min="2" max="6" width="24" customWidth="1"/>
    <x:col min="7" max="8" width="18" customWidth="1"/>
  </x:cols>
  <x:sheetData>
    <x:row r="1" ht="34" customHeight="1">
      <x:c r="A1" s="51" t="s">
        <x:v>125</x:v>
      </x:c>
      <x:c r="B1" s="51"/>
      <x:c r="C1" s="51"/>
      <x:c r="D1" s="51"/>
      <x:c r="E1" s="51"/>
      <x:c r="F1" s="51"/>
      <x:c r="G1" s="51"/>
      <x:c r="H1" s="51"/>
      <x:c r="I1" s="1"/>
      <x:c r="J1" s="1"/>
      <x:c r="K1" s="1"/>
    </x:row>
    <x:row r="2" ht="24" customHeight="1">
      <x:c r="A2" s="52" t="s">
        <x:v>126</x:v>
      </x:c>
      <x:c r="B2" s="52"/>
      <x:c r="C2" s="52"/>
      <x:c r="D2" s="52"/>
      <x:c r="E2" s="52"/>
      <x:c r="F2" s="52"/>
      <x:c r="G2" s="52"/>
      <x:c r="H2" s="52"/>
      <x:c r="I2" s="1"/>
      <x:c r="J2" s="1"/>
      <x:c r="K2" s="1"/>
    </x:row>
    <x:row r="3" ht="15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53" t="s">
        <x:v>127</x:v>
      </x:c>
      <x:c r="B4" s="53" t="s">
        <x:v>127</x:v>
      </x:c>
      <x:c r="C4" s="53" t="s">
        <x:v>127</x:v>
      </x:c>
      <x:c r="D4" s="53" t="s">
        <x:v>127</x:v>
      </x:c>
      <x:c r="E4" s="53" t="s">
        <x:v>127</x:v>
      </x:c>
      <x:c r="F4" s="53" t="s">
        <x:v>127</x:v>
      </x:c>
      <x:c r="G4" s="53" t="s">
        <x:v>127</x:v>
      </x:c>
      <x:c r="H4" s="53" t="s">
        <x:v>127</x:v>
      </x:c>
      <x:c r="I4" s="1"/>
      <x:c r="J4" s="1"/>
      <x:c r="K4" s="1"/>
    </x:row>
    <x:row r="5" ht="30" customHeight="1">
      <x:c r="A5" s="2" t="s">
        <x:v>128</x:v>
      </x:c>
      <x:c r="B5" s="66" t="s">
        <x:v>129</x:v>
      </x:c>
      <x:c r="C5" s="66"/>
      <x:c r="D5" s="66"/>
      <x:c r="E5" s="66"/>
      <x:c r="F5" s="66"/>
      <x:c r="G5" s="66"/>
      <x:c r="H5" s="66"/>
      <x:c r="I5" s="1"/>
      <x:c r="J5" s="1"/>
      <x:c r="K5" s="1"/>
    </x:row>
    <x:row r="6" ht="54" customHeight="1">
      <x:c r="A6" s="3" t="s">
        <x:v>130</x:v>
      </x:c>
      <x:c r="B6" s="67"/>
      <x:c r="C6" s="67"/>
      <x:c r="D6" s="67"/>
      <x:c r="E6" s="67"/>
      <x:c r="F6" s="67"/>
      <x:c r="G6" s="67"/>
      <x:c r="H6" s="67"/>
      <x:c r="I6" s="1"/>
      <x:c r="J6" s="1"/>
      <x:c r="K6" s="1"/>
    </x:row>
    <x:row r="7" ht="54" customHeight="1">
      <x:c r="A7" s="3" t="s">
        <x:v>131</x:v>
      </x:c>
      <x:c r="B7" s="67"/>
      <x:c r="C7" s="67"/>
      <x:c r="D7" s="67"/>
      <x:c r="E7" s="67"/>
      <x:c r="F7" s="67"/>
      <x:c r="G7" s="67"/>
      <x:c r="H7" s="67"/>
      <x:c r="I7" s="1"/>
      <x:c r="J7" s="1"/>
      <x:c r="K7" s="1"/>
    </x:row>
    <x:row r="8" ht="54" customHeight="1">
      <x:c r="A8" s="3" t="s">
        <x:v>132</x:v>
      </x:c>
      <x:c r="B8" s="67"/>
      <x:c r="C8" s="67"/>
      <x:c r="D8" s="67"/>
      <x:c r="E8" s="67"/>
      <x:c r="F8" s="67"/>
      <x:c r="G8" s="67"/>
      <x:c r="H8" s="67"/>
      <x:c r="I8" s="1"/>
      <x:c r="J8" s="1"/>
      <x:c r="K8" s="1"/>
    </x:row>
    <x:row r="9" ht="54" customHeight="1">
      <x:c r="A9" s="3" t="s">
        <x:v>133</x:v>
      </x:c>
      <x:c r="B9" s="67"/>
      <x:c r="C9" s="67"/>
      <x:c r="D9" s="67"/>
      <x:c r="E9" s="67"/>
      <x:c r="F9" s="67"/>
      <x:c r="G9" s="67"/>
      <x:c r="H9" s="67"/>
      <x:c r="I9" s="1"/>
      <x:c r="J9" s="1"/>
      <x:c r="K9" s="1"/>
    </x:row>
    <x:row r="10" ht="54" customHeight="1">
      <x:c r="A10" s="3" t="s">
        <x:v>134</x:v>
      </x:c>
      <x:c r="B10" s="67"/>
      <x:c r="C10" s="67"/>
      <x:c r="D10" s="67"/>
      <x:c r="E10" s="67"/>
      <x:c r="F10" s="67"/>
      <x:c r="G10" s="67"/>
      <x:c r="H10" s="67"/>
      <x:c r="I10" s="1"/>
      <x:c r="J10" s="1"/>
      <x:c r="K10" s="1"/>
    </x:row>
    <x:row r="11" ht="15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4" customHeight="1">
      <x:c r="A13" s="64" t="s">
        <x:v>135</x:v>
      </x:c>
      <x:c r="B13" s="64" t="s">
        <x:v>135</x:v>
      </x:c>
      <x:c r="C13" s="64" t="s">
        <x:v>135</x:v>
      </x:c>
      <x:c r="D13" s="64" t="s">
        <x:v>135</x:v>
      </x:c>
      <x:c r="E13" s="64" t="s">
        <x:v>135</x:v>
      </x:c>
      <x:c r="F13" s="64" t="s">
        <x:v>135</x:v>
      </x:c>
      <x:c r="G13" s="64" t="s">
        <x:v>135</x:v>
      </x:c>
      <x:c r="H13" s="64" t="s">
        <x:v>135</x:v>
      </x:c>
      <x:c r="I13" s="1"/>
      <x:c r="J13" s="1"/>
      <x:c r="K13" s="1"/>
    </x:row>
    <x:row r="14" ht="48" customHeight="1">
      <x:c r="A14" s="3" t="s">
        <x:v>136</x:v>
      </x:c>
      <x:c r="B14" s="67"/>
      <x:c r="C14" s="67"/>
      <x:c r="D14" s="67"/>
      <x:c r="E14" s="67"/>
      <x:c r="F14" s="67"/>
      <x:c r="G14" s="67"/>
      <x:c r="H14" s="67"/>
      <x:c r="I14" s="1"/>
      <x:c r="J14" s="1"/>
      <x:c r="K14" s="1"/>
    </x:row>
    <x:row r="15" ht="48" customHeight="1">
      <x:c r="A15" s="3" t="s">
        <x:v>137</x:v>
      </x:c>
      <x:c r="B15" s="67"/>
      <x:c r="C15" s="67"/>
      <x:c r="D15" s="67"/>
      <x:c r="E15" s="67"/>
      <x:c r="F15" s="67"/>
      <x:c r="G15" s="67"/>
      <x:c r="H15" s="67"/>
      <x:c r="I15" s="1"/>
      <x:c r="J15" s="1"/>
      <x:c r="K15" s="1"/>
    </x:row>
    <x:row r="16" ht="48" customHeight="1">
      <x:c r="A16" s="3" t="s">
        <x:v>138</x:v>
      </x:c>
      <x:c r="B16" s="67"/>
      <x:c r="C16" s="67"/>
      <x:c r="D16" s="67"/>
      <x:c r="E16" s="67"/>
      <x:c r="F16" s="67"/>
      <x:c r="G16" s="67"/>
      <x:c r="H16" s="67"/>
      <x:c r="I16" s="1"/>
      <x:c r="J16" s="1"/>
      <x:c r="K16" s="1"/>
    </x:row>
    <x:row r="17" ht="48" customHeight="1">
      <x:c r="A17" s="3" t="s">
        <x:v>139</x:v>
      </x:c>
      <x:c r="B17" s="67"/>
      <x:c r="C17" s="67"/>
      <x:c r="D17" s="67"/>
      <x:c r="E17" s="67"/>
      <x:c r="F17" s="67"/>
      <x:c r="G17" s="67"/>
      <x:c r="H17" s="67"/>
      <x:c r="I17" s="1"/>
      <x:c r="J17" s="1"/>
      <x:c r="K17" s="1"/>
    </x:row>
    <x:row r="18" ht="15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4" customHeight="1">
      <x:c r="A20" s="50" t="s">
        <x:v>140</x:v>
      </x:c>
      <x:c r="B20" s="50" t="s">
        <x:v>140</x:v>
      </x:c>
      <x:c r="C20" s="50" t="s">
        <x:v>140</x:v>
      </x:c>
      <x:c r="D20" s="50" t="s">
        <x:v>140</x:v>
      </x:c>
      <x:c r="E20" s="50" t="s">
        <x:v>140</x:v>
      </x:c>
      <x:c r="F20" s="50" t="s">
        <x:v>140</x:v>
      </x:c>
      <x:c r="G20" s="50" t="s">
        <x:v>140</x:v>
      </x:c>
      <x:c r="H20" s="50" t="s">
        <x:v>140</x:v>
      </x:c>
      <x:c r="I20" s="1"/>
      <x:c r="J20" s="1"/>
      <x:c r="K20" s="1"/>
    </x:row>
    <x:row r="21" ht="30" customHeight="1">
      <x:c r="A21" s="2" t="s">
        <x:v>117</x:v>
      </x:c>
      <x:c r="B21" s="2" t="s">
        <x:v>141</x:v>
      </x:c>
      <x:c r="C21" s="2" t="s">
        <x:v>142</x:v>
      </x:c>
      <x:c r="D21" s="2" t="s">
        <x:v>143</x:v>
      </x:c>
      <x:c r="E21" s="1"/>
      <x:c r="F21" s="1"/>
      <x:c r="G21" s="1"/>
      <x:c r="H21" s="1"/>
      <x:c r="I21" s="1"/>
      <x:c r="J21" s="1"/>
      <x:c r="K21" s="1"/>
    </x:row>
    <x:row r="22" ht="32">
      <x:c r="A22" s="3" t="s">
        <x:v>144</x:v>
      </x:c>
      <x:c r="B22" s="7"/>
      <x:c r="C22" s="7"/>
      <x:c r="D22" s="3" t="s">
        <x:v>145</x:v>
      </x:c>
      <x:c r="E22" s="1"/>
      <x:c r="F22" s="1"/>
      <x:c r="G22" s="1"/>
      <x:c r="H22" s="1"/>
      <x:c r="I22" s="1"/>
      <x:c r="J22" s="1"/>
      <x:c r="K22" s="1"/>
    </x:row>
    <x:row r="23" ht="32">
      <x:c r="A23" s="3" t="s">
        <x:v>146</x:v>
      </x:c>
      <x:c r="B23" s="7"/>
      <x:c r="C23" s="7"/>
      <x:c r="D23" s="3" t="s">
        <x:v>147</x:v>
      </x:c>
      <x:c r="E23" s="1"/>
      <x:c r="F23" s="1"/>
      <x:c r="G23" s="1"/>
      <x:c r="H23" s="1"/>
      <x:c r="I23" s="1"/>
      <x:c r="J23" s="1"/>
      <x:c r="K23" s="1"/>
    </x:row>
    <x:row r="24" ht="32">
      <x:c r="A24" s="3" t="s">
        <x:v>148</x:v>
      </x:c>
      <x:c r="B24" s="7"/>
      <x:c r="C24" s="7"/>
      <x:c r="D24" s="3" t="s">
        <x:v>149</x:v>
      </x:c>
      <x:c r="E24" s="1"/>
      <x:c r="F24" s="1"/>
      <x:c r="G24" s="1"/>
      <x:c r="H24" s="1"/>
      <x:c r="I24" s="1"/>
      <x:c r="J24" s="1"/>
      <x:c r="K24" s="1"/>
    </x:row>
    <x:row r="25" ht="1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</x:sheetData>
  <x:mergeCells>
    <x:mergeCell ref="B14:H14"/>
    <x:mergeCell ref="B15:H15"/>
    <x:mergeCell ref="B16:H16"/>
    <x:mergeCell ref="B17:H17"/>
    <x:mergeCell ref="A20:H20"/>
    <x:mergeCell ref="B7:H7"/>
    <x:mergeCell ref="B8:H8"/>
    <x:mergeCell ref="B9:H9"/>
    <x:mergeCell ref="B10:H10"/>
    <x:mergeCell ref="A13:H13"/>
    <x:mergeCell ref="A1:H1"/>
    <x:mergeCell ref="A2:H2"/>
    <x:mergeCell ref="A4:H4"/>
    <x:mergeCell ref="B5:H5"/>
    <x:mergeCell ref="B6:H6"/>
  </x:mergeCells>
  <x:dataValidations count="1">
    <x:dataValidation type="list" sqref="B22:B24">
      <x:formula1>"Yes,Not yet"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4" customWidth="1"/>
    <x:col min="2" max="2" width="45" customWidth="1"/>
    <x:col min="3" max="3" width="52" customWidth="1"/>
    <x:col min="4" max="4" width="45" customWidth="1"/>
    <x:col min="5" max="5" width="18" customWidth="1"/>
  </x:cols>
  <x:sheetData>
    <x:row r="1" ht="34" customHeight="1">
      <x:c r="A1" s="51" t="s">
        <x:v>150</x:v>
      </x:c>
      <x:c r="B1" s="51"/>
      <x:c r="C1" s="51"/>
      <x:c r="D1" s="51"/>
      <x:c r="E1" s="1"/>
      <x:c r="F1" s="1"/>
      <x:c r="G1" s="1"/>
      <x:c r="H1" s="1"/>
      <x:c r="I1" s="1"/>
      <x:c r="J1" s="1"/>
      <x:c r="K1" s="1"/>
    </x:row>
    <x:row r="2" ht="24" customHeight="1">
      <x:c r="A2" s="52" t="s">
        <x:v>151</x:v>
      </x:c>
      <x:c r="B2" s="52"/>
      <x:c r="C2" s="52"/>
      <x:c r="D2" s="52"/>
      <x:c r="E2" s="1"/>
      <x:c r="F2" s="1"/>
      <x:c r="G2" s="1"/>
      <x:c r="H2" s="1"/>
      <x:c r="I2" s="1"/>
      <x:c r="J2" s="1"/>
      <x:c r="K2" s="1"/>
    </x:row>
    <x:row r="3" ht="15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2" t="s">
        <x:v>152</x:v>
      </x:c>
      <x:c r="B4" s="2" t="s">
        <x:v>153</x:v>
      </x:c>
      <x:c r="C4" s="2" t="s">
        <x:v>154</x:v>
      </x:c>
      <x:c r="D4" s="2" t="s">
        <x:v>155</x:v>
      </x:c>
      <x:c r="E4" s="1"/>
      <x:c r="F4" s="1"/>
      <x:c r="G4" s="1"/>
      <x:c r="H4" s="1"/>
      <x:c r="I4" s="1"/>
      <x:c r="J4" s="1"/>
      <x:c r="K4" s="1"/>
    </x:row>
    <x:row r="5" ht="42" customHeight="1">
      <x:c r="A5" s="3" t="s">
        <x:v>30</x:v>
      </x:c>
      <x:c r="B5" s="26" t="s">
        <x:v>156</x:v>
      </x:c>
      <x:c r="C5" s="3" t="s">
        <x:v>157</x:v>
      </x:c>
      <x:c r="D5" s="3" t="s">
        <x:v>158</x:v>
      </x:c>
      <x:c r="E5" s="1"/>
      <x:c r="F5" s="1"/>
      <x:c r="G5" s="1"/>
      <x:c r="H5" s="1"/>
      <x:c r="I5" s="1"/>
      <x:c r="J5" s="1"/>
      <x:c r="K5" s="1"/>
    </x:row>
    <x:row r="6" ht="42" customHeight="1">
      <x:c r="A6" s="3" t="s">
        <x:v>159</x:v>
      </x:c>
      <x:c r="B6" s="26" t="s">
        <x:v>160</x:v>
      </x:c>
      <x:c r="C6" s="3" t="s">
        <x:v>161</x:v>
      </x:c>
      <x:c r="D6" s="3" t="s">
        <x:v>162</x:v>
      </x:c>
      <x:c r="E6" s="1"/>
      <x:c r="F6" s="1"/>
      <x:c r="G6" s="1"/>
      <x:c r="H6" s="1"/>
      <x:c r="I6" s="1"/>
      <x:c r="J6" s="1"/>
      <x:c r="K6" s="1"/>
    </x:row>
    <x:row r="7" ht="42" customHeight="1">
      <x:c r="A7" s="3" t="s">
        <x:v>81</x:v>
      </x:c>
      <x:c r="B7" s="26" t="str">
        <x:v>=TotalAvailableCost/TotalAvailableUnits</x:v>
      </x:c>
      <x:c r="C7" s="3" t="str">
        <x:v>Divide the cost of all available hoodies by the number of available hoodies.</x:v>
      </x:c>
      <x:c r="D7" s="3" t="s">
        <x:v>163</x:v>
      </x:c>
      <x:c r="E7" s="1"/>
      <x:c r="F7" s="1"/>
      <x:c r="G7" s="1"/>
      <x:c r="H7" s="1"/>
      <x:c r="I7" s="1"/>
      <x:c r="J7" s="1"/>
      <x:c r="K7" s="1"/>
    </x:row>
    <x:row r="8" ht="42" customHeight="1">
      <x:c r="A8" s="3" t="s">
        <x:v>105</x:v>
      </x:c>
      <x:c r="B8" s="26" t="s">
        <x:v>164</x:v>
      </x:c>
      <x:c r="C8" s="3" t="s">
        <x:v>165</x:v>
      </x:c>
      <x:c r="D8" s="3" t="s">
        <x:v>166</x:v>
      </x:c>
      <x:c r="E8" s="1"/>
      <x:c r="F8" s="1"/>
      <x:c r="G8" s="1"/>
      <x:c r="H8" s="1"/>
      <x:c r="I8" s="1"/>
      <x:c r="J8" s="1"/>
      <x:c r="K8" s="1"/>
    </x:row>
    <x:row r="9" ht="42" customHeight="1">
      <x:c r="A9" s="3" t="s">
        <x:v>31</x:v>
      </x:c>
      <x:c r="B9" s="26" t="s">
        <x:v>167</x:v>
      </x:c>
      <x:c r="C9" s="3" t="s">
        <x:v>168</x:v>
      </x:c>
      <x:c r="D9" s="3" t="s">
        <x:v>169</x:v>
      </x:c>
      <x:c r="E9" s="1"/>
      <x:c r="F9" s="1"/>
      <x:c r="G9" s="1"/>
      <x:c r="H9" s="1"/>
      <x:c r="I9" s="1"/>
      <x:c r="J9" s="1"/>
      <x:c r="K9" s="1"/>
    </x:row>
    <x:row r="10" ht="42" customHeight="1">
      <x:c r="A10" s="3" t="s">
        <x:v>108</x:v>
      </x:c>
      <x:c r="B10" s="26" t="s">
        <x:v>170</x:v>
      </x:c>
      <x:c r="C10" s="3" t="s">
        <x:v>171</x:v>
      </x:c>
      <x:c r="D10" s="3" t="s">
        <x:v>172</x:v>
      </x:c>
      <x:c r="E10" s="1"/>
      <x:c r="F10" s="1"/>
      <x:c r="G10" s="1"/>
      <x:c r="H10" s="1"/>
      <x:c r="I10" s="1"/>
      <x:c r="J10" s="1"/>
      <x:c r="K10" s="1"/>
    </x:row>
    <x:row r="11" ht="42" customHeight="1">
      <x:c r="A11" s="3" t="s">
        <x:v>110</x:v>
      </x:c>
      <x:c r="B11" s="26" t="s">
        <x:v>173</x:v>
      </x:c>
      <x:c r="C11" s="3" t="s">
        <x:v>174</x:v>
      </x:c>
      <x:c r="D11" s="3" t="s">
        <x:v>175</x:v>
      </x:c>
      <x:c r="E11" s="1"/>
      <x:c r="F11" s="1"/>
      <x:c r="G11" s="1"/>
      <x:c r="H11" s="1"/>
      <x:c r="I11" s="1"/>
      <x:c r="J11" s="1"/>
      <x:c r="K11" s="1"/>
    </x:row>
    <x:row r="12" ht="42" customHeight="1">
      <x:c r="A12" s="3" t="s">
        <x:v>176</x:v>
      </x:c>
      <x:c r="B12" s="26" t="s">
        <x:v>177</x:v>
      </x:c>
      <x:c r="C12" s="3" t="s">
        <x:v>178</x:v>
      </x:c>
      <x:c r="D12" s="3" t="s">
        <x:v>179</x:v>
      </x:c>
      <x:c r="E12" s="1"/>
      <x:c r="F12" s="1"/>
      <x:c r="G12" s="1"/>
      <x:c r="H12" s="1"/>
      <x:c r="I12" s="1"/>
      <x:c r="J12" s="1"/>
      <x:c r="K12" s="1"/>
    </x:row>
    <x:row r="13" ht="42" customHeight="1">
      <x:c r="A13" s="3" t="s">
        <x:v>180</x:v>
      </x:c>
      <x:c r="B13" s="26" t="s">
        <x:v>181</x:v>
      </x:c>
      <x:c r="C13" s="3" t="s">
        <x:v>182</x:v>
      </x:c>
      <x:c r="D13" s="3" t="s">
        <x:v>183</x:v>
      </x:c>
      <x:c r="E13" s="1"/>
      <x:c r="F13" s="1"/>
      <x:c r="G13" s="1"/>
      <x:c r="H13" s="1"/>
      <x:c r="I13" s="1"/>
      <x:c r="J13" s="1"/>
      <x:c r="K13" s="1"/>
    </x:row>
    <x:row r="14" ht="42" customHeight="1">
      <x:c r="A14" s="3" t="s">
        <x:v>124</x:v>
      </x:c>
      <x:c r="B14" s="26" t="s">
        <x:v>184</x:v>
      </x:c>
      <x:c r="C14" s="3" t="s">
        <x:v>185</x:v>
      </x:c>
      <x:c r="D14" s="3" t="s">
        <x:v>186</x:v>
      </x:c>
      <x:c r="E14" s="1"/>
      <x:c r="F14" s="1"/>
      <x:c r="G14" s="1"/>
      <x:c r="H14" s="1"/>
      <x:c r="I14" s="1"/>
      <x:c r="J14" s="1"/>
      <x:c r="K14" s="1"/>
    </x:row>
    <x:row r="15" ht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4" customHeight="1">
      <x:c r="A17" s="54" t="s">
        <x:v>187</x:v>
      </x:c>
      <x:c r="B17" s="54" t="s">
        <x:v>187</x:v>
      </x:c>
      <x:c r="C17" s="54" t="s">
        <x:v>187</x:v>
      </x:c>
      <x:c r="D17" s="54" t="s">
        <x:v>187</x:v>
      </x:c>
      <x:c r="E17" s="1"/>
      <x:c r="F17" s="1"/>
      <x:c r="G17" s="1"/>
      <x:c r="H17" s="1"/>
      <x:c r="I17" s="1"/>
      <x:c r="J17" s="1"/>
      <x:c r="K17" s="1"/>
    </x:row>
    <x:row r="18" ht="16">
      <x:c r="A18" s="3" t="s">
        <x:v>188</x:v>
      </x:c>
      <x:c r="B18" s="3" t="s">
        <x:v>189</x:v>
      </x:c>
      <x:c r="C18" s="3" t="s">
        <x:v>190</x:v>
      </x:c>
      <x:c r="D18" s="3" t="s">
        <x:v>191</x:v>
      </x:c>
      <x:c r="E18" s="1"/>
      <x:c r="F18" s="1"/>
      <x:c r="G18" s="1"/>
      <x:c r="H18" s="1"/>
      <x:c r="I18" s="1"/>
      <x:c r="J18" s="1"/>
      <x:c r="K18" s="1"/>
    </x:row>
    <x:row r="19" ht="16">
      <x:c r="A19" s="3" t="s">
        <x:v>192</x:v>
      </x:c>
      <x:c r="B19" s="3" t="s">
        <x:v>193</x:v>
      </x:c>
      <x:c r="C19" s="3" t="s">
        <x:v>194</x:v>
      </x:c>
      <x:c r="D19" s="3" t="s">
        <x:v>195</x:v>
      </x:c>
      <x:c r="E19" s="1"/>
      <x:c r="F19" s="1"/>
      <x:c r="G19" s="1"/>
      <x:c r="H19" s="1"/>
      <x:c r="I19" s="1"/>
      <x:c r="J19" s="1"/>
      <x:c r="K19" s="1"/>
    </x:row>
    <x:row r="20" ht="16">
      <x:c r="A20" s="3" t="s">
        <x:v>196</x:v>
      </x:c>
      <x:c r="B20" s="3" t="s">
        <x:v>197</x:v>
      </x:c>
      <x:c r="C20" s="3" t="s">
        <x:v>198</x:v>
      </x:c>
      <x:c r="D20" s="3" t="s">
        <x:v>199</x:v>
      </x:c>
      <x:c r="E20" s="1"/>
      <x:c r="F20" s="1"/>
      <x:c r="G20" s="1"/>
      <x:c r="H20" s="1"/>
      <x:c r="I20" s="1"/>
      <x:c r="J20" s="1"/>
      <x:c r="K20" s="1"/>
    </x:row>
    <x:row r="21" ht="16">
      <x:c r="A21" s="3" t="s">
        <x:v>200</x:v>
      </x:c>
      <x:c r="B21" s="3" t="s">
        <x:v>201</x:v>
      </x:c>
      <x:c r="C21" s="3" t="s">
        <x:v>202</x:v>
      </x:c>
      <x:c r="D21" s="3" t="s">
        <x:v>203</x:v>
      </x:c>
      <x:c r="E21" s="1"/>
      <x:c r="F21" s="1"/>
      <x:c r="G21" s="1"/>
      <x:c r="H21" s="1"/>
      <x:c r="I21" s="1"/>
      <x:c r="J21" s="1"/>
      <x:c r="K21" s="1"/>
    </x:row>
    <x:row r="22" ht="15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48" customHeight="1">
      <x:c r="A24" s="72" t="str">
        <x:v>PASS does not prove driver fairness</x:v>
      </x:c>
      <x:c r="B24" s="72" t="str">
        <x:v>Explain the driver and trace the source cells. Reconcile totals and confirm FIFO uses oldest costs first.</x:v>
      </x:c>
      <x:c r="C24" s="72"/>
      <x:c r="D24" s="72"/>
      <x:c r="E24" s="1"/>
      <x:c r="F24" s="1"/>
      <x:c r="G24" s="1"/>
      <x:c r="H24" s="1"/>
      <x:c r="I24" s="1"/>
      <x:c r="J24" s="1"/>
      <x:c r="K24" s="1"/>
    </x:row>
    <x:row r="25" ht="1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</x:sheetData>
  <x:mergeCells>
    <x:mergeCell ref="A1:D1"/>
    <x:mergeCell ref="A2:D2"/>
    <x:mergeCell ref="A17:D17"/>
    <x:mergeCell ref="B24:D24"/>
  </x:mergeCells>
  <x:pageMargins left="0.7" right="0.7" top="0.75" bottom="0.75" header="0.3" footer="0.3"/>
</x:worksheet>
</file>