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private/tmp/bus123-m06-simplify/"/>
    </mc:Choice>
  </mc:AlternateContent>
  <xr:revisionPtr revIDLastSave="0" documentId="13_ncr:1_{8CA9E35B-E973-4045-A3E3-B150FBC47EEF}" xr6:coauthVersionLast="47" xr6:coauthVersionMax="47" xr10:uidLastSave="{00000000-0000-0000-0000-000000000000}"/>
  <bookViews>
    <workbookView xWindow="0" yWindow="600" windowWidth="38400" windowHeight="19980" xr2:uid="{00000000-000D-0000-FFFF-FFFF00000000}"/>
  </bookViews>
  <sheets>
    <sheet name="START HERE" sheetId="1" r:id="rId1"/>
    <sheet name="Raw Data" sheetId="2" r:id="rId2"/>
    <sheet name="Management Model" sheetId="3" r:id="rId3"/>
    <sheet name="Decision Brief" sheetId="4" r:id="rId4"/>
    <sheet name="Formula Reference" sheetId="5" r:id="rId5"/>
    <sheet name="Live You Try I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" i="6" l="1"/>
  <c r="E62" i="6"/>
  <c r="B59" i="6"/>
  <c r="H57" i="6"/>
  <c r="C56" i="6"/>
  <c r="B56" i="6"/>
  <c r="A56" i="6"/>
  <c r="C55" i="6"/>
  <c r="B55" i="6"/>
  <c r="A55" i="6"/>
  <c r="C54" i="6"/>
  <c r="B54" i="6"/>
  <c r="B57" i="6" s="1"/>
  <c r="B60" i="6" s="1"/>
  <c r="A54" i="6"/>
  <c r="B41" i="6"/>
  <c r="E31" i="6"/>
  <c r="E30" i="6"/>
  <c r="H25" i="6"/>
  <c r="C24" i="6"/>
  <c r="B24" i="6"/>
  <c r="A24" i="6"/>
  <c r="C23" i="6"/>
  <c r="B23" i="6"/>
  <c r="A23" i="6"/>
  <c r="C22" i="6"/>
  <c r="B22" i="6"/>
  <c r="B25" i="6" s="1"/>
  <c r="B28" i="6" s="1"/>
  <c r="A22" i="6"/>
  <c r="E15" i="6"/>
  <c r="E14" i="6"/>
  <c r="B11" i="6"/>
  <c r="H9" i="6"/>
  <c r="C8" i="6"/>
  <c r="B8" i="6"/>
  <c r="A8" i="6"/>
  <c r="C7" i="6"/>
  <c r="B7" i="6"/>
  <c r="A7" i="6"/>
  <c r="C6" i="6"/>
  <c r="B6" i="6"/>
  <c r="B9" i="6" s="1"/>
  <c r="B12" i="6" s="1"/>
  <c r="A6" i="6"/>
  <c r="B46" i="3"/>
  <c r="I42" i="3"/>
  <c r="H42" i="3"/>
  <c r="G42" i="3"/>
  <c r="I41" i="3"/>
  <c r="B41" i="3"/>
  <c r="A41" i="3"/>
  <c r="I40" i="3"/>
  <c r="B40" i="3"/>
  <c r="A40" i="3"/>
  <c r="I39" i="3"/>
  <c r="B39" i="3"/>
  <c r="A39" i="3"/>
  <c r="I38" i="3"/>
  <c r="B38" i="3"/>
  <c r="A38" i="3"/>
  <c r="I37" i="3"/>
  <c r="B37" i="3"/>
  <c r="A37" i="3"/>
  <c r="C30" i="3"/>
  <c r="B30" i="3"/>
  <c r="I27" i="3"/>
  <c r="I26" i="3"/>
  <c r="H26" i="3"/>
  <c r="G26" i="3"/>
  <c r="I25" i="3"/>
  <c r="H25" i="3"/>
  <c r="G25" i="3"/>
  <c r="B20" i="3"/>
  <c r="F16" i="3" s="1"/>
  <c r="B18" i="3"/>
  <c r="B17" i="3"/>
  <c r="B16" i="3"/>
  <c r="H9" i="3"/>
  <c r="G9" i="3"/>
  <c r="F9" i="3"/>
  <c r="F15" i="3" s="1"/>
  <c r="E9" i="3"/>
  <c r="F14" i="3" s="1"/>
  <c r="H8" i="3"/>
  <c r="G8" i="3"/>
  <c r="F8" i="3"/>
  <c r="E8" i="3"/>
  <c r="C8" i="3"/>
  <c r="B8" i="3"/>
  <c r="D8" i="3" s="1"/>
  <c r="A8" i="3"/>
  <c r="H7" i="3"/>
  <c r="G7" i="3"/>
  <c r="F7" i="3"/>
  <c r="E7" i="3"/>
  <c r="C7" i="3"/>
  <c r="B7" i="3"/>
  <c r="D7" i="3" s="1"/>
  <c r="I7" i="3" s="1"/>
  <c r="A7" i="3"/>
  <c r="H6" i="3"/>
  <c r="G6" i="3"/>
  <c r="F6" i="3"/>
  <c r="E6" i="3"/>
  <c r="C6" i="3"/>
  <c r="B6" i="3"/>
  <c r="A6" i="3"/>
  <c r="B30" i="2"/>
  <c r="B47" i="3" s="1"/>
  <c r="D8" i="2"/>
  <c r="D7" i="2"/>
  <c r="D6" i="2"/>
  <c r="B42" i="3" l="1"/>
  <c r="I8" i="3"/>
  <c r="B9" i="3"/>
  <c r="D6" i="3"/>
  <c r="B26" i="3"/>
  <c r="C26" i="3"/>
  <c r="B25" i="3"/>
  <c r="D9" i="2"/>
  <c r="B40" i="6"/>
  <c r="C25" i="3"/>
  <c r="B14" i="3" l="1"/>
  <c r="B19" i="3" s="1"/>
  <c r="G14" i="3"/>
  <c r="H14" i="3" s="1"/>
  <c r="I6" i="3"/>
  <c r="D9" i="3"/>
  <c r="I9" i="3" s="1"/>
  <c r="I15" i="3"/>
  <c r="I14" i="3"/>
  <c r="G15" i="3" l="1"/>
  <c r="H15" i="3" s="1"/>
  <c r="B15" i="3"/>
  <c r="G16" i="3" l="1"/>
  <c r="H16" i="3" s="1"/>
  <c r="I16" i="3"/>
</calcChain>
</file>

<file path=xl/sharedStrings.xml><?xml version="1.0" encoding="utf-8"?>
<sst xmlns="http://schemas.openxmlformats.org/spreadsheetml/2006/main" count="445" uniqueCount="283">
  <si>
    <t>BUS123 · MATH-M06 · Tidal Goods Co. — Inventory, COGS &amp; Overhead</t>
  </si>
  <si>
    <t>How to Use This Workbook</t>
  </si>
  <si>
    <t>Step</t>
  </si>
  <si>
    <t>Sheet</t>
  </si>
  <si>
    <t>Student move</t>
  </si>
  <si>
    <t>Evidence of completion</t>
  </si>
  <si>
    <t>Raw Data</t>
  </si>
  <si>
    <t>Read and preserve source data. Paddleboard sales and total business revenue have different scopes.</t>
  </si>
  <si>
    <t>You can explain the unit and cost totals.</t>
  </si>
  <si>
    <t>Final check</t>
  </si>
  <si>
    <t>Your recommendation changes if the evidence changes.</t>
  </si>
  <si>
    <t>Learning Targets</t>
  </si>
  <si>
    <t>I can</t>
  </si>
  <si>
    <t>calculate FIFO and weighted-average COGS with unequal purchase quantities.</t>
  </si>
  <si>
    <t>build and reconcile a complete COGS schedule.</t>
  </si>
  <si>
    <t>choose a defensible allocation driver for each overhead cost pool.</t>
  </si>
  <si>
    <t>recommend an action and name the risk and control behind it.</t>
  </si>
  <si>
    <t>Color Key</t>
  </si>
  <si>
    <t>BLUE</t>
  </si>
  <si>
    <t>YELLOW</t>
  </si>
  <si>
    <t>GREEN</t>
  </si>
  <si>
    <t>Control passed</t>
  </si>
  <si>
    <t>RED</t>
  </si>
  <si>
    <t>Review the model</t>
  </si>
  <si>
    <t>WHITE</t>
  </si>
  <si>
    <t>Instruction or explanation</t>
  </si>
  <si>
    <t>M06 · L01 — Raw Data | Tidal Goods Co.</t>
  </si>
  <si>
    <t>Source values only · preserve this sheet so every result remains traceable</t>
  </si>
  <si>
    <t>Inventory &amp; Sales Inputs</t>
  </si>
  <si>
    <t>Inventory layer</t>
  </si>
  <si>
    <t>Quantity</t>
  </si>
  <si>
    <t>Unit cost</t>
  </si>
  <si>
    <t>Layer cost</t>
  </si>
  <si>
    <t>Beginning inventory</t>
  </si>
  <si>
    <t>March purchase</t>
  </si>
  <si>
    <t>April purchase</t>
  </si>
  <si>
    <t>Goods available</t>
  </si>
  <si>
    <t>Sales input</t>
  </si>
  <si>
    <t>Value</t>
  </si>
  <si>
    <t>Units sold</t>
  </si>
  <si>
    <t>Selling price per unit</t>
  </si>
  <si>
    <t>Department Driver Data</t>
  </si>
  <si>
    <t>Driver</t>
  </si>
  <si>
    <t>Surf Shop</t>
  </si>
  <si>
    <t>Online Warehouse</t>
  </si>
  <si>
    <t>Square footage</t>
  </si>
  <si>
    <t>Revenue</t>
  </si>
  <si>
    <t>Direct labor hours</t>
  </si>
  <si>
    <t>Monthly Overhead Cost Pools</t>
  </si>
  <si>
    <t>Cost pool</t>
  </si>
  <si>
    <t>Amount</t>
  </si>
  <si>
    <t>Likely driver from reading</t>
  </si>
  <si>
    <t>Rent</t>
  </si>
  <si>
    <t>Utilities</t>
  </si>
  <si>
    <t>Square footage or measured usage</t>
  </si>
  <si>
    <t>Insurance</t>
  </si>
  <si>
    <t>Square footage or insured value</t>
  </si>
  <si>
    <t>Indirect labor</t>
  </si>
  <si>
    <t>Direct labor hours or headcount</t>
  </si>
  <si>
    <t>Maintenance</t>
  </si>
  <si>
    <t>Maintenance hours or square footage</t>
  </si>
  <si>
    <t>Total overhead</t>
  </si>
  <si>
    <t>Reporting Boundary</t>
  </si>
  <si>
    <t>Internal allocation can support department and product decisions. It does not automatically change external financial-statement classification. Purchase price and freight-in are commonly inventoriable; store rent, selling, and administrative costs are commonly period expenses under applicable reporting rules.</t>
  </si>
  <si>
    <t>M06 · L01 — Management Model | Tidal Goods Co.</t>
  </si>
  <si>
    <t>1 · Inventory Layers</t>
  </si>
  <si>
    <t>Layer</t>
  </si>
  <si>
    <t>Qty</t>
  </si>
  <si>
    <t>FIFO units to COGS</t>
  </si>
  <si>
    <t>FIFO COGS</t>
  </si>
  <si>
    <t>Units ending</t>
  </si>
  <si>
    <t>Ending inventory</t>
  </si>
  <si>
    <t>Layer check</t>
  </si>
  <si>
    <t>Totals</t>
  </si>
  <si>
    <t>2 · Weighted Average</t>
  </si>
  <si>
    <t>Metric</t>
  </si>
  <si>
    <t>Value / formula</t>
  </si>
  <si>
    <t>Check or meaning</t>
  </si>
  <si>
    <t>Control</t>
  </si>
  <si>
    <t>Result</t>
  </si>
  <si>
    <t>Target</t>
  </si>
  <si>
    <t>Variance</t>
  </si>
  <si>
    <t>Status</t>
  </si>
  <si>
    <t>Total units available</t>
  </si>
  <si>
    <t>Should equal 30</t>
  </si>
  <si>
    <t>Units assigned</t>
  </si>
  <si>
    <t>Total cost available</t>
  </si>
  <si>
    <t>Should equal $7,004</t>
  </si>
  <si>
    <t>FIFO cost reconciliation</t>
  </si>
  <si>
    <t>WAC unit cost</t>
  </si>
  <si>
    <t>Quantity-weighted cost</t>
  </si>
  <si>
    <t>WAC cost reconciliation</t>
  </si>
  <si>
    <t>Source value</t>
  </si>
  <si>
    <t>WAC COGS</t>
  </si>
  <si>
    <t>Units sold × WAC cost</t>
  </si>
  <si>
    <t>Ending units</t>
  </si>
  <si>
    <t>Available − sold</t>
  </si>
  <si>
    <t>WAC ending inventory</t>
  </si>
  <si>
    <t>Ending units × WAC cost</t>
  </si>
  <si>
    <t>3 · Parallel COGS Schedules</t>
  </si>
  <si>
    <t>Schedule line</t>
  </si>
  <si>
    <t>FIFO</t>
  </si>
  <si>
    <t>Weighted average</t>
  </si>
  <si>
    <t>Interpretation cue</t>
  </si>
  <si>
    <t>Schedule control</t>
  </si>
  <si>
    <t>WAC</t>
  </si>
  <si>
    <t>Source beginning layer</t>
  </si>
  <si>
    <t>Purchases</t>
  </si>
  <si>
    <t>March + April purchases</t>
  </si>
  <si>
    <t>COGS + ending</t>
  </si>
  <si>
    <t>Beginning + purchases</t>
  </si>
  <si>
    <t>Both schedules reconcile</t>
  </si>
  <si>
    <t>Method-specific balance</t>
  </si>
  <si>
    <t>COGS</t>
  </si>
  <si>
    <t>Goods available − ending</t>
  </si>
  <si>
    <t>Units sold × price</t>
  </si>
  <si>
    <t>Gross profit</t>
  </si>
  <si>
    <t>Revenue − COGS</t>
  </si>
  <si>
    <t>Gross margin</t>
  </si>
  <si>
    <t>Gross profit ÷ revenue</t>
  </si>
  <si>
    <t>4 · Overhead Allocation &amp; Downside</t>
  </si>
  <si>
    <t>Driver choice</t>
  </si>
  <si>
    <t>Surf basis</t>
  </si>
  <si>
    <t>Online basis</t>
  </si>
  <si>
    <t>Total basis</t>
  </si>
  <si>
    <t>Surf allocation</t>
  </si>
  <si>
    <t>Online allocation</t>
  </si>
  <si>
    <t>Check</t>
  </si>
  <si>
    <t>Total</t>
  </si>
  <si>
    <t>Scenario metric</t>
  </si>
  <si>
    <t>Base case</t>
  </si>
  <si>
    <t>10% revenue downside</t>
  </si>
  <si>
    <t>Management question</t>
  </si>
  <si>
    <t>Assume fixed within the relevant range</t>
  </si>
  <si>
    <t>Overhead rate</t>
  </si>
  <si>
    <t>M06 · L01 — Decision Brief | Tidal Goods Co.</t>
  </si>
  <si>
    <t>Use the completed model to recommend an action · include evidence, risk, and control</t>
  </si>
  <si>
    <t>Management Recommendation</t>
  </si>
  <si>
    <t>Decision element</t>
  </si>
  <si>
    <t>Your response</t>
  </si>
  <si>
    <t>Recommended inventory method for internal reporting</t>
  </si>
  <si>
    <t>Effect on COGS, gross profit, and ending inventory</t>
  </si>
  <si>
    <t>Overhead-driver rationale</t>
  </si>
  <si>
    <t>Risk or limitation</t>
  </si>
  <si>
    <t>Control or follow-up action</t>
  </si>
  <si>
    <t>10% Revenue Downside</t>
  </si>
  <si>
    <t>What changes in the overhead rate?</t>
  </si>
  <si>
    <t>What management risk does this create?</t>
  </si>
  <si>
    <t>What action would you take first?</t>
  </si>
  <si>
    <t>Which number would you monitor next?</t>
  </si>
  <si>
    <t>Quality Check</t>
  </si>
  <si>
    <t>Yes / Not yet</t>
  </si>
  <si>
    <t>Evidence location</t>
  </si>
  <si>
    <t>Why it matters</t>
  </si>
  <si>
    <t>All model controls pass</t>
  </si>
  <si>
    <t>Prevents explaining an unreconciled model</t>
  </si>
  <si>
    <t>Recommendation cites at least two numbers</t>
  </si>
  <si>
    <t>Connects action to evidence</t>
  </si>
  <si>
    <t>Risk and control are specific</t>
  </si>
  <si>
    <t>Makes the recommendation usable</t>
  </si>
  <si>
    <t>BUS123 · MATH-M06 — Formula Reference</t>
  </si>
  <si>
    <t>Use only after choosing the business question, cost flow, and denominator</t>
  </si>
  <si>
    <t>Concept</t>
  </si>
  <si>
    <t>Excel pattern</t>
  </si>
  <si>
    <t>Plain-English meaning</t>
  </si>
  <si>
    <t>Watch out for</t>
  </si>
  <si>
    <t>=Quantity*UnitCost</t>
  </si>
  <si>
    <t>Calculates cost in one purchase layer.</t>
  </si>
  <si>
    <t>Reference cells; do not type the answer into the formula.</t>
  </si>
  <si>
    <t>FIFO layer COGS</t>
  </si>
  <si>
    <t>=UnitsAssignedToCOGS*UnitCost</t>
  </si>
  <si>
    <t>Costs the specific units assigned from each layer.</t>
  </si>
  <si>
    <t>Sold units + ending units must equal layer quantity.</t>
  </si>
  <si>
    <t>A simple average is wrong when quantities differ.</t>
  </si>
  <si>
    <t>=BeginningInventory+Purchases-EndingInventory</t>
  </si>
  <si>
    <t>Calculates product cost sold during the period.</t>
  </si>
  <si>
    <t>Ending inventory is subtracted.</t>
  </si>
  <si>
    <t>=BeginningInventory+Purchases</t>
  </si>
  <si>
    <t>Shows inventory cost available to sell.</t>
  </si>
  <si>
    <t>COGS + ending inventory must reconcile to this amount.</t>
  </si>
  <si>
    <t>=Revenue-COGS</t>
  </si>
  <si>
    <t>Shows profit before operating and overhead costs.</t>
  </si>
  <si>
    <t>Revenue and COGS must cover the same period.</t>
  </si>
  <si>
    <t>=GrossProfit/Revenue</t>
  </si>
  <si>
    <t>Shows the share of revenue remaining after product cost.</t>
  </si>
  <si>
    <t>Margin divides by revenue.</t>
  </si>
  <si>
    <t>Markup</t>
  </si>
  <si>
    <t>=(Price-Cost)/Cost</t>
  </si>
  <si>
    <t>Shows the amount added relative to cost.</t>
  </si>
  <si>
    <t>Markup divides by cost—not revenue.</t>
  </si>
  <si>
    <t>Overhead allocation</t>
  </si>
  <si>
    <t>=CostPool*(DepartmentBase/TotalBase)</t>
  </si>
  <si>
    <t>Assigns a shared cost using the selected driver.</t>
  </si>
  <si>
    <t>The base must fit the cost pool.</t>
  </si>
  <si>
    <t>=TotalOverhead/Revenue</t>
  </si>
  <si>
    <t>Shows overhead used by each revenue dollar.</t>
  </si>
  <si>
    <t>A higher rate may reflect cost growth or revenue decline.</t>
  </si>
  <si>
    <t>Model Controls</t>
  </si>
  <si>
    <t>Units</t>
  </si>
  <si>
    <t>Sold units + ending units = available units</t>
  </si>
  <si>
    <t>Confirms no unit was lost or duplicated</t>
  </si>
  <si>
    <t>Check each layer and the total</t>
  </si>
  <si>
    <t>FIFO cost</t>
  </si>
  <si>
    <t>FIFO COGS + FIFO ending inventory = goods available</t>
  </si>
  <si>
    <t>Confirms all layer costs are assigned</t>
  </si>
  <si>
    <t>Allow only small rounding differences</t>
  </si>
  <si>
    <t>WAC cost</t>
  </si>
  <si>
    <t>WAC COGS + WAC ending inventory = goods available</t>
  </si>
  <si>
    <t>Confirms the average cost was applied consistently</t>
  </si>
  <si>
    <t>Keep full precision in formulas</t>
  </si>
  <si>
    <t>Allocation</t>
  </si>
  <si>
    <t>Department allocations = the full cost pool</t>
  </si>
  <si>
    <t>Confirms shared costs are fully assigned</t>
  </si>
  <si>
    <t>A passing total does not prove the driver is fair</t>
  </si>
  <si>
    <t>Learn FIFO first → compare weighted average → use the management model → decide</t>
  </si>
  <si>
    <t>Live You Try It</t>
  </si>
  <si>
    <t>Stage 1: A with the instructor (rows 4–17), then B independently (rows 20–33). Decide units sold first; calculate costs second.</t>
  </si>
  <si>
    <t>You can explain which purchases supplied the sold units and which units remain.</t>
  </si>
  <si>
    <t>Stage 2: weighted average in rows 36–46 and LIFO in rows 52–65. Compare the same sale under all three methods.</t>
  </si>
  <si>
    <t>You can explain why the same sale has different assigned costs.</t>
  </si>
  <si>
    <t>Management Model</t>
  </si>
  <si>
    <t>Stage 3: FIFO and weighted-average A results flow here automatically. Complete the profit schedule and, when assigned, the later overhead work and Decision Brief.</t>
  </si>
  <si>
    <t>Use completed inventory results; do not rebuild the FIFO calculation.</t>
  </si>
  <si>
    <t>Check units and dollars. Finish the Decision Brief and downside scenario when assigned. Save before submitting.</t>
  </si>
  <si>
    <t>Source value or scenario given</t>
  </si>
  <si>
    <t>Enter sold quantities, formulas, or choices as directed</t>
  </si>
  <si>
    <t>FIFO first</t>
  </si>
  <si>
    <t>A: D6:G9. B: D22:G25. Enter sold quantities in column D; use formulas for costs and remaining units.</t>
  </si>
  <si>
    <t>LINKS</t>
  </si>
  <si>
    <t>Pale cream: supplied model links; no entry needed</t>
  </si>
  <si>
    <t>Stage 3 · A inventory results link from Live You Try It. Complete yellow profit cells next; overhead and Decision Brief come later when assigned.</t>
  </si>
  <si>
    <t>1 · FIFO results linked from guided A</t>
  </si>
  <si>
    <t>2 · Weighted-average results linked from A</t>
  </si>
  <si>
    <t>Paddleboard revenue</t>
  </si>
  <si>
    <t>4 · Later stage: overhead allocation</t>
  </si>
  <si>
    <t>Total business revenue</t>
  </si>
  <si>
    <t>Broader business revenue, separate from paddleboard sales above</t>
  </si>
  <si>
    <t>Rate rises when the revenue denominator falls; spending is unchanged</t>
  </si>
  <si>
    <t>PASS checks arithmetic and completeness. Explain why each driver fits its cost pool in Decision Brief. Alternative available drivers are acceptable with evidence; an allocation total alone does not prove fairness.</t>
  </si>
  <si>
    <t>=TotalAvailableCost/TotalAvailableUnits</t>
  </si>
  <si>
    <t>Divide the cost of all available boards by the number of available boards.</t>
  </si>
  <si>
    <t>PASS does not prove driver fairness</t>
  </si>
  <si>
    <t>Explain the driver and trace the source cells. Reconcile totals and confirm FIFO uses oldest costs first.</t>
  </si>
  <si>
    <t>M06 · FIFO first: decide units, then calculate costs</t>
  </si>
  <si>
    <t>Blue = given facts. Yellow = your work. Enter sold quantities in D: oldest first for FIFO, newest first for LIFO. In E, F and G use formulas.</t>
  </si>
  <si>
    <t>Stage 1 · A: guided FIFO · 19 boards sold</t>
  </si>
  <si>
    <t>Oldest → newest</t>
  </si>
  <si>
    <t>Available units</t>
  </si>
  <si>
    <t>Cost per unit</t>
  </si>
  <si>
    <t>Cost of units sold</t>
  </si>
  <si>
    <t>Units left</t>
  </si>
  <si>
    <t>Ending value</t>
  </si>
  <si>
    <t>Think / check</t>
  </si>
  <si>
    <t>Start with the oldest purchase.</t>
  </si>
  <si>
    <t>How many sales remain after the first row?</t>
  </si>
  <si>
    <t>Are any sales still unfilled?</t>
  </si>
  <si>
    <t>Units sold (given)</t>
  </si>
  <si>
    <t>Units available</t>
  </si>
  <si>
    <t>Before B: explain why FIFO starts with the oldest purchase. How many sales still need a cost after each row?</t>
  </si>
  <si>
    <t>Stage 1 · B: independent FIFO · 21 boards sold</t>
  </si>
  <si>
    <t>Use older units before newer units.</t>
  </si>
  <si>
    <t>Compare A and B: two more boards sold. Which purchases supply them? What happens to COGS and inventory left?</t>
  </si>
  <si>
    <t>Stage 2 · Weighted average: compare after both FIFO attempts</t>
  </si>
  <si>
    <t>Blend the cost of all 30 available boards. Calculate one average cost per board, then apply it to boards sold and boards left. Keep full precision.</t>
  </si>
  <si>
    <t>Given / total</t>
  </si>
  <si>
    <t>A: 19 sold</t>
  </si>
  <si>
    <t>B: 21 sold</t>
  </si>
  <si>
    <t>Average cost per board</t>
  </si>
  <si>
    <t>Total cost</t>
  </si>
  <si>
    <t>Total available cost ÷ total available units</t>
  </si>
  <si>
    <t>Cost of boards sold</t>
  </si>
  <si>
    <t>Total units</t>
  </si>
  <si>
    <t>Units sold × average cost per board</t>
  </si>
  <si>
    <t>Units left × average cost per board</t>
  </si>
  <si>
    <t>Compare each sale under FIFO and weighted average. Units and total available cost stay the same; the assigned cost per sold unit changes.</t>
  </si>
  <si>
    <t>Next: compare LIFO in rows 52–65. Start with the bottom purchase row and work upward. The sale and total available cost stay the same.</t>
  </si>
  <si>
    <t>Stage 2 · LIFO comparison · 19 boards sold · start with the newest purchase</t>
  </si>
  <si>
    <t>3 · Are any sales still unfilled?</t>
  </si>
  <si>
    <t>2 · How many sales remain after April?</t>
  </si>
  <si>
    <t>1 · Start here: newest purchase.</t>
  </si>
  <si>
    <t>LIFO COGS</t>
  </si>
  <si>
    <t>Compare the same 19 sales: FIFO E14/E15, weighted average E41/E42, LIFO E62/E63. Which method assigns more cost to sales when purchase costs rise?</t>
  </si>
  <si>
    <t>Stage 3: open Management Model. FIFO and weighted-average A results link automatically. Complete profit next; overhead and Decision Brief come later.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</si>
</sst>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"/>
    <numFmt numFmtId="165" formatCode="\$#,##0"/>
    <numFmt numFmtId="166" formatCode="0.0%"/>
    <numFmt numFmtId="167" formatCode="&quot;$&quot;#,##0.00"/>
    <numFmt numFmtId="168" formatCode="&quot;$&quot;#,##0"/>
  </numFmts>
  <fonts count="12">
    <font>
      <sz val="11"/>
      <name val="Carlito"/>
    </font>
    <font>
      <sz val="11"/>
      <color rgb="FF1A1F2C"/>
      <name val="Aptos"/>
    </font>
    <font>
      <b/>
      <sz val="22"/>
      <color rgb="FFFFFFFF"/>
      <name val="Aptos Display"/>
    </font>
    <font>
      <i/>
      <sz val="11"/>
      <color rgb="FF4A5567"/>
      <name val="Aptos"/>
    </font>
    <font>
      <b/>
      <sz val="13"/>
      <color rgb="FFFFFFFF"/>
      <name val="Aptos Display"/>
    </font>
    <font>
      <b/>
      <sz val="10"/>
      <color rgb="FFFFFFFF"/>
      <name val="Aptos"/>
    </font>
    <font>
      <b/>
      <sz val="11"/>
      <color rgb="FF4A7C5E"/>
      <name val="Aptos"/>
    </font>
    <font>
      <b/>
      <sz val="11"/>
      <color rgb="FF1A1F2C"/>
      <name val="Aptos"/>
    </font>
    <font>
      <sz val="11"/>
      <color rgb="FF355773"/>
      <name val="Aptos"/>
    </font>
    <font>
      <b/>
      <sz val="11"/>
      <color rgb="FF355773"/>
      <name val="Aptos"/>
    </font>
    <font>
      <sz val="10"/>
      <color rgb="FF355773"/>
      <name val="Consolas"/>
      <family val="2"/>
    </font>
    <font>
      <b/>
      <sz val="14"/>
      <color rgb="FFFFFFFF"/>
      <name val="Aptos"/>
    </font>
  </fonts>
  <fills count="2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EAF3EC"/>
      </patternFill>
    </fill>
    <fill>
      <patternFill patternType="solid">
        <fgColor rgb="FF355773"/>
      </patternFill>
    </fill>
    <fill>
      <patternFill patternType="solid">
        <fgColor rgb="FFE8EFF5"/>
      </patternFill>
    </fill>
    <fill>
      <patternFill patternType="solid">
        <fgColor rgb="FFFFF2B2"/>
      </patternFill>
    </fill>
    <fill>
      <patternFill patternType="solid">
        <fgColor rgb="FFDDEFE2"/>
      </patternFill>
    </fill>
    <fill>
      <patternFill patternType="solid">
        <fgColor rgb="FFF6E8E1"/>
      </patternFill>
    </fill>
    <fill>
      <patternFill patternType="solid">
        <fgColor rgb="FF9C4A2B"/>
      </patternFill>
    </fill>
    <fill>
      <patternFill patternType="solid">
        <fgColor rgb="FFEAF3EC"/>
      </patternFill>
    </fill>
    <fill>
      <patternFill patternType="solid">
        <fgColor rgb="FFFFFFFF"/>
      </patternFill>
    </fill>
    <fill>
      <patternFill patternType="solid">
        <fgColor rgb="FF355773"/>
      </patternFill>
    </fill>
    <fill>
      <patternFill patternType="solid">
        <fgColor rgb="FFDDEBF7"/>
      </patternFill>
    </fill>
    <fill>
      <patternFill patternType="solid">
        <fgColor rgb="FFFFF2B2"/>
      </patternFill>
    </fill>
    <fill>
      <patternFill patternType="solid">
        <fgColor rgb="FFF2EEE5"/>
      </patternFill>
    </fill>
  </fills>
  <borders count="11">
    <border>
      <left/>
      <right/>
      <top/>
      <bottom/>
      <diagonal/>
    </border>
    <border>
      <left style="thin">
        <color rgb="FFDCD7CA"/>
      </left>
      <right style="thin">
        <color rgb="FFDCD7CA"/>
      </right>
      <top style="thin">
        <color rgb="FFDCD7CA"/>
      </top>
      <bottom style="thin">
        <color rgb="FFDCD7CA"/>
      </bottom>
      <diagonal/>
    </border>
    <border>
      <left style="thin">
        <color rgb="FF355773"/>
      </left>
      <right/>
      <top style="thin">
        <color rgb="FF355773"/>
      </top>
      <bottom/>
      <diagonal/>
    </border>
    <border>
      <left/>
      <right/>
      <top style="thin">
        <color rgb="FF355773"/>
      </top>
      <bottom/>
      <diagonal/>
    </border>
    <border>
      <left/>
      <right style="thin">
        <color rgb="FF355773"/>
      </right>
      <top style="thin">
        <color rgb="FF355773"/>
      </top>
      <bottom/>
      <diagonal/>
    </border>
    <border>
      <left style="thin">
        <color rgb="FF355773"/>
      </left>
      <right/>
      <top/>
      <bottom/>
      <diagonal/>
    </border>
    <border>
      <left/>
      <right style="thin">
        <color rgb="FF355773"/>
      </right>
      <top/>
      <bottom/>
      <diagonal/>
    </border>
    <border>
      <left style="thin">
        <color rgb="FF355773"/>
      </left>
      <right/>
      <top/>
      <bottom style="thin">
        <color rgb="FF355773"/>
      </bottom>
      <diagonal/>
    </border>
    <border>
      <left/>
      <right/>
      <top/>
      <bottom style="thin">
        <color rgb="FF355773"/>
      </bottom>
      <diagonal/>
    </border>
    <border>
      <left/>
      <right style="thin">
        <color rgb="FF355773"/>
      </right>
      <top/>
      <bottom style="thin">
        <color rgb="FF355773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4" fontId="1" fillId="2" borderId="1" xfId="0" applyNumberFormat="1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5" fontId="1" fillId="2" borderId="1" xfId="0" applyNumberFormat="1" applyFont="1" applyFill="1" applyBorder="1" applyAlignment="1">
      <alignment vertical="center" wrapText="1"/>
    </xf>
    <xf numFmtId="165" fontId="7" fillId="2" borderId="1" xfId="0" applyNumberFormat="1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vertical="center"/>
    </xf>
    <xf numFmtId="0" fontId="9" fillId="9" borderId="1" xfId="0" applyFont="1" applyFill="1" applyBorder="1" applyAlignment="1">
      <alignment vertical="center" wrapText="1"/>
    </xf>
    <xf numFmtId="164" fontId="8" fillId="9" borderId="1" xfId="0" applyNumberFormat="1" applyFont="1" applyFill="1" applyBorder="1" applyAlignment="1">
      <alignment vertical="center"/>
    </xf>
    <xf numFmtId="164" fontId="1" fillId="10" borderId="1" xfId="0" applyNumberFormat="1" applyFont="1" applyFill="1" applyBorder="1" applyAlignment="1">
      <alignment vertical="center"/>
    </xf>
    <xf numFmtId="164" fontId="9" fillId="9" borderId="1" xfId="0" applyNumberFormat="1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164" fontId="1" fillId="10" borderId="1" xfId="0" applyNumberFormat="1" applyFont="1" applyFill="1" applyBorder="1" applyAlignment="1">
      <alignment vertical="center" wrapText="1"/>
    </xf>
    <xf numFmtId="164" fontId="8" fillId="9" borderId="1" xfId="0" applyNumberFormat="1" applyFont="1" applyFill="1" applyBorder="1" applyAlignment="1">
      <alignment vertical="center" wrapText="1"/>
    </xf>
    <xf numFmtId="166" fontId="1" fillId="10" borderId="1" xfId="0" applyNumberFormat="1" applyFont="1" applyFill="1" applyBorder="1" applyAlignment="1">
      <alignment vertical="center" wrapText="1"/>
    </xf>
    <xf numFmtId="166" fontId="1" fillId="2" borderId="1" xfId="0" applyNumberFormat="1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0" fontId="1" fillId="15" borderId="10" xfId="0" applyFont="1" applyFill="1" applyBorder="1" applyAlignment="1">
      <alignment vertical="center" wrapText="1"/>
    </xf>
    <xf numFmtId="0" fontId="1" fillId="14" borderId="10" xfId="0" applyFont="1" applyFill="1" applyBorder="1" applyAlignment="1">
      <alignment vertical="center" wrapText="1"/>
    </xf>
    <xf numFmtId="0" fontId="7" fillId="14" borderId="10" xfId="0" applyFont="1" applyFill="1" applyBorder="1" applyAlignment="1">
      <alignment vertical="center" wrapText="1"/>
    </xf>
    <xf numFmtId="0" fontId="1" fillId="17" borderId="10" xfId="0" applyFont="1" applyFill="1" applyBorder="1" applyAlignment="1">
      <alignment vertical="center" wrapText="1"/>
    </xf>
    <xf numFmtId="0" fontId="7" fillId="15" borderId="10" xfId="0" applyFont="1" applyFill="1" applyBorder="1" applyAlignment="1">
      <alignment vertical="center" wrapText="1"/>
    </xf>
    <xf numFmtId="168" fontId="1" fillId="17" borderId="10" xfId="0" applyNumberFormat="1" applyFont="1" applyFill="1" applyBorder="1" applyAlignment="1">
      <alignment vertical="center" wrapText="1"/>
    </xf>
    <xf numFmtId="167" fontId="1" fillId="18" borderId="10" xfId="0" applyNumberFormat="1" applyFont="1" applyFill="1" applyBorder="1" applyAlignment="1">
      <alignment vertical="center" wrapText="1"/>
    </xf>
    <xf numFmtId="167" fontId="7" fillId="18" borderId="10" xfId="0" applyNumberFormat="1" applyFont="1" applyFill="1" applyBorder="1" applyAlignment="1">
      <alignment vertical="center" wrapText="1"/>
    </xf>
    <xf numFmtId="167" fontId="1" fillId="15" borderId="10" xfId="0" applyNumberFormat="1" applyFont="1" applyFill="1" applyBorder="1" applyAlignment="1">
      <alignment vertical="center" wrapText="1"/>
    </xf>
    <xf numFmtId="1" fontId="1" fillId="17" borderId="10" xfId="0" applyNumberFormat="1" applyFont="1" applyFill="1" applyBorder="1" applyAlignment="1">
      <alignment vertical="center" wrapText="1"/>
    </xf>
    <xf numFmtId="1" fontId="7" fillId="15" borderId="10" xfId="0" applyNumberFormat="1" applyFont="1" applyFill="1" applyBorder="1" applyAlignment="1">
      <alignment vertical="center" wrapText="1"/>
    </xf>
    <xf numFmtId="1" fontId="1" fillId="15" borderId="10" xfId="0" applyNumberFormat="1" applyFont="1" applyFill="1" applyBorder="1" applyAlignment="1">
      <alignment vertical="center" wrapText="1"/>
    </xf>
    <xf numFmtId="1" fontId="1" fillId="18" borderId="10" xfId="0" applyNumberFormat="1" applyFont="1" applyFill="1" applyBorder="1" applyAlignment="1">
      <alignment vertical="center" wrapText="1"/>
    </xf>
    <xf numFmtId="1" fontId="7" fillId="18" borderId="10" xfId="0" applyNumberFormat="1" applyFont="1" applyFill="1" applyBorder="1" applyAlignment="1">
      <alignment vertical="center" wrapText="1"/>
    </xf>
    <xf numFmtId="167" fontId="1" fillId="17" borderId="10" xfId="0" applyNumberFormat="1" applyFont="1" applyFill="1" applyBorder="1" applyAlignment="1">
      <alignment vertical="center" wrapText="1"/>
    </xf>
    <xf numFmtId="164" fontId="1" fillId="19" borderId="1" xfId="0" applyNumberFormat="1" applyFont="1" applyFill="1" applyBorder="1" applyAlignment="1">
      <alignment vertical="center"/>
    </xf>
    <xf numFmtId="0" fontId="1" fillId="19" borderId="1" xfId="0" applyFont="1" applyFill="1" applyBorder="1" applyAlignment="1">
      <alignment vertical="center"/>
    </xf>
    <xf numFmtId="164" fontId="7" fillId="19" borderId="1" xfId="0" applyNumberFormat="1" applyFont="1" applyFill="1" applyBorder="1" applyAlignment="1">
      <alignment vertical="center" wrapText="1"/>
    </xf>
    <xf numFmtId="0" fontId="7" fillId="19" borderId="1" xfId="0" applyFont="1" applyFill="1" applyBorder="1" applyAlignment="1">
      <alignment vertical="center" wrapText="1"/>
    </xf>
    <xf numFmtId="164" fontId="1" fillId="19" borderId="1" xfId="0" applyNumberFormat="1" applyFont="1" applyFill="1" applyBorder="1" applyAlignment="1">
      <alignment vertical="center" wrapText="1"/>
    </xf>
    <xf numFmtId="1" fontId="1" fillId="19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4" fillId="8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8" fillId="9" borderId="2" xfId="0" applyFont="1" applyFill="1" applyBorder="1" applyAlignment="1">
      <alignment vertical="center" wrapText="1"/>
    </xf>
    <xf numFmtId="0" fontId="8" fillId="9" borderId="3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8" fillId="9" borderId="5" xfId="0" applyFont="1" applyFill="1" applyBorder="1" applyAlignment="1">
      <alignment vertical="center" wrapText="1"/>
    </xf>
    <xf numFmtId="0" fontId="8" fillId="9" borderId="0" xfId="0" applyFont="1" applyFill="1" applyAlignment="1">
      <alignment vertical="center" wrapText="1"/>
    </xf>
    <xf numFmtId="0" fontId="8" fillId="9" borderId="6" xfId="0" applyFont="1" applyFill="1" applyBorder="1" applyAlignment="1">
      <alignment vertical="center" wrapText="1"/>
    </xf>
    <xf numFmtId="0" fontId="8" fillId="9" borderId="7" xfId="0" applyFont="1" applyFill="1" applyBorder="1" applyAlignment="1">
      <alignment vertical="center" wrapText="1"/>
    </xf>
    <xf numFmtId="0" fontId="8" fillId="9" borderId="8" xfId="0" applyFont="1" applyFill="1" applyBorder="1" applyAlignment="1">
      <alignment vertical="center" wrapText="1"/>
    </xf>
    <xf numFmtId="0" fontId="8" fillId="9" borderId="9" xfId="0" applyFont="1" applyFill="1" applyBorder="1" applyAlignment="1">
      <alignment vertical="center" wrapText="1"/>
    </xf>
    <xf numFmtId="0" fontId="4" fillId="13" borderId="0" xfId="0" applyFont="1" applyFill="1" applyAlignment="1">
      <alignment vertical="center"/>
    </xf>
    <xf numFmtId="0" fontId="8" fillId="14" borderId="0" xfId="0" applyFont="1" applyFill="1" applyAlignment="1">
      <alignment wrapText="1"/>
    </xf>
    <xf numFmtId="0" fontId="5" fillId="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0" fontId="11" fillId="16" borderId="10" xfId="0" applyFont="1" applyFill="1" applyBorder="1" applyAlignment="1">
      <alignment vertical="center" wrapText="1"/>
    </xf>
    <xf numFmtId="0" fontId="1" fillId="15" borderId="10" xfId="0" applyFont="1" applyFill="1" applyBorder="1" applyAlignment="1">
      <alignment vertical="center" wrapText="1"/>
    </xf>
  </cellXfs>
  <cellStyles count="1">
    <cellStyle name="Normal" xfId="0" builtinId="0"/>
  </cellStyles>
  <dxfs count="18">
    <dxf>
      <font>
        <color rgb="FF9C0006"/>
      </font>
      <fill>
        <patternFill patternType="solid">
          <bgColor rgb="FFFCE4D6"/>
        </patternFill>
      </fill>
    </dxf>
    <dxf>
      <font>
        <color rgb="FF355773"/>
      </font>
      <fill>
        <patternFill patternType="solid">
          <bgColor rgb="FFEAF3E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355773"/>
      </font>
      <fill>
        <patternFill patternType="solid">
          <bgColor rgb="FFEAF3EC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355773"/>
      </font>
      <fill>
        <patternFill>
          <bgColor rgb="FFEAF3E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355773"/>
      </font>
      <fill>
        <patternFill patternType="solid">
          <bgColor rgb="FFEAF3EC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355773"/>
      </font>
      <fill>
        <patternFill>
          <bgColor rgb="FFEAF3EC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  <dxf>
      <font>
        <b/>
        <color rgb="FF9C4A2B"/>
      </font>
      <fill>
        <patternFill>
          <bgColor rgb="FFF6E8E1"/>
        </patternFill>
      </fill>
    </dxf>
    <dxf>
      <font>
        <b/>
        <color rgb="FF4A7C5E"/>
      </font>
      <fill>
        <patternFill>
          <bgColor rgb="FFDDEF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showGridLines="0" tabSelected="1" workbookViewId="0">
      <selection sqref="A1:H1"/>
    </sheetView>
  </sheetViews>
  <sheetFormatPr baseColWidth="10" defaultColWidth="8.83203125" defaultRowHeight="14"/>
  <cols>
    <col min="1" max="1" width="7" customWidth="1"/>
    <col min="2" max="2" width="24" customWidth="1"/>
    <col min="3" max="3" width="58" customWidth="1"/>
    <col min="4" max="8" width="19" customWidth="1"/>
  </cols>
  <sheetData>
    <row r="1" spans="1:11" ht="34" customHeight="1">
      <c r="A1" s="51" t="s">
        <v>0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214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1</v>
      </c>
      <c r="B4" s="53" t="s">
        <v>1</v>
      </c>
      <c r="C4" s="53" t="s">
        <v>1</v>
      </c>
      <c r="D4" s="53" t="s">
        <v>1</v>
      </c>
      <c r="E4" s="53" t="s">
        <v>1</v>
      </c>
      <c r="F4" s="53" t="s">
        <v>1</v>
      </c>
      <c r="G4" s="53" t="s">
        <v>1</v>
      </c>
      <c r="H4" s="53" t="s">
        <v>1</v>
      </c>
      <c r="I4" s="1"/>
      <c r="J4" s="1"/>
      <c r="K4" s="1"/>
    </row>
    <row r="5" spans="1:11" ht="30" customHeight="1">
      <c r="A5" s="2" t="s">
        <v>2</v>
      </c>
      <c r="B5" s="2" t="s">
        <v>3</v>
      </c>
      <c r="C5" s="2" t="s">
        <v>4</v>
      </c>
      <c r="D5" s="2" t="s">
        <v>5</v>
      </c>
      <c r="E5" s="1"/>
      <c r="F5" s="1"/>
      <c r="G5" s="1"/>
      <c r="H5" s="1"/>
      <c r="I5" s="1"/>
      <c r="J5" s="1"/>
      <c r="K5" s="1"/>
    </row>
    <row r="6" spans="1:11" ht="42" customHeight="1">
      <c r="A6" s="4">
        <v>1</v>
      </c>
      <c r="B6" s="3" t="s">
        <v>6</v>
      </c>
      <c r="C6" s="3" t="s">
        <v>7</v>
      </c>
      <c r="D6" s="3" t="s">
        <v>8</v>
      </c>
      <c r="E6" s="1"/>
      <c r="F6" s="1"/>
      <c r="G6" s="1"/>
      <c r="H6" s="1"/>
      <c r="I6" s="1"/>
      <c r="J6" s="1"/>
      <c r="K6" s="1"/>
    </row>
    <row r="7" spans="1:11" ht="68" customHeight="1">
      <c r="A7" s="4">
        <v>2</v>
      </c>
      <c r="B7" s="3" t="s">
        <v>215</v>
      </c>
      <c r="C7" s="3" t="s">
        <v>216</v>
      </c>
      <c r="D7" s="3" t="s">
        <v>217</v>
      </c>
      <c r="E7" s="1"/>
      <c r="F7" s="1"/>
      <c r="G7" s="1"/>
      <c r="H7" s="1"/>
      <c r="I7" s="1"/>
      <c r="J7" s="1"/>
      <c r="K7" s="1"/>
    </row>
    <row r="8" spans="1:11" ht="68" customHeight="1">
      <c r="A8" s="4">
        <v>3</v>
      </c>
      <c r="B8" s="3" t="s">
        <v>215</v>
      </c>
      <c r="C8" s="3" t="s">
        <v>218</v>
      </c>
      <c r="D8" s="3" t="s">
        <v>219</v>
      </c>
      <c r="E8" s="1"/>
      <c r="F8" s="1"/>
      <c r="G8" s="1"/>
      <c r="H8" s="1"/>
      <c r="I8" s="1"/>
      <c r="J8" s="1"/>
      <c r="K8" s="1"/>
    </row>
    <row r="9" spans="1:11" ht="68" customHeight="1">
      <c r="A9" s="4">
        <v>4</v>
      </c>
      <c r="B9" s="3" t="s">
        <v>220</v>
      </c>
      <c r="C9" s="3" t="s">
        <v>221</v>
      </c>
      <c r="D9" s="3" t="s">
        <v>222</v>
      </c>
      <c r="E9" s="1"/>
      <c r="F9" s="1"/>
      <c r="G9" s="1"/>
      <c r="H9" s="1"/>
      <c r="I9" s="1"/>
      <c r="J9" s="1"/>
      <c r="K9" s="1"/>
    </row>
    <row r="10" spans="1:11" ht="42" customHeight="1">
      <c r="A10" s="4">
        <v>5</v>
      </c>
      <c r="B10" s="3" t="s">
        <v>9</v>
      </c>
      <c r="C10" s="3" t="s">
        <v>223</v>
      </c>
      <c r="D10" s="3" t="s">
        <v>10</v>
      </c>
      <c r="E10" s="1"/>
      <c r="F10" s="1"/>
      <c r="G10" s="1"/>
      <c r="H10" s="1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54" t="s">
        <v>11</v>
      </c>
      <c r="B12" s="54" t="s">
        <v>11</v>
      </c>
      <c r="C12" s="54" t="s">
        <v>11</v>
      </c>
      <c r="D12" s="54" t="s">
        <v>11</v>
      </c>
      <c r="E12" s="54" t="s">
        <v>11</v>
      </c>
      <c r="F12" s="54" t="s">
        <v>11</v>
      </c>
      <c r="G12" s="54" t="s">
        <v>11</v>
      </c>
      <c r="H12" s="54" t="s">
        <v>11</v>
      </c>
      <c r="I12" s="1"/>
      <c r="J12" s="1"/>
      <c r="K12" s="1"/>
    </row>
    <row r="13" spans="1:11" ht="30" customHeight="1">
      <c r="A13" s="5" t="s">
        <v>12</v>
      </c>
      <c r="B13" s="49" t="s">
        <v>13</v>
      </c>
      <c r="C13" s="49"/>
      <c r="D13" s="49"/>
      <c r="E13" s="49"/>
      <c r="F13" s="49"/>
      <c r="G13" s="49"/>
      <c r="H13" s="49"/>
      <c r="I13" s="1"/>
      <c r="J13" s="1"/>
      <c r="K13" s="1"/>
    </row>
    <row r="14" spans="1:11" ht="30" customHeight="1">
      <c r="A14" s="5" t="s">
        <v>12</v>
      </c>
      <c r="B14" s="49" t="s">
        <v>14</v>
      </c>
      <c r="C14" s="49"/>
      <c r="D14" s="49"/>
      <c r="E14" s="49"/>
      <c r="F14" s="49"/>
      <c r="G14" s="49"/>
      <c r="H14" s="49"/>
      <c r="I14" s="1"/>
      <c r="J14" s="1"/>
      <c r="K14" s="1"/>
    </row>
    <row r="15" spans="1:11" ht="30" customHeight="1">
      <c r="A15" s="5" t="s">
        <v>12</v>
      </c>
      <c r="B15" s="49" t="s">
        <v>15</v>
      </c>
      <c r="C15" s="49"/>
      <c r="D15" s="49"/>
      <c r="E15" s="49"/>
      <c r="F15" s="49"/>
      <c r="G15" s="49"/>
      <c r="H15" s="49"/>
      <c r="I15" s="1"/>
      <c r="J15" s="1"/>
      <c r="K15" s="1"/>
    </row>
    <row r="16" spans="1:11" ht="30" customHeight="1">
      <c r="A16" s="5" t="s">
        <v>12</v>
      </c>
      <c r="B16" s="49" t="s">
        <v>16</v>
      </c>
      <c r="C16" s="49"/>
      <c r="D16" s="49"/>
      <c r="E16" s="49"/>
      <c r="F16" s="49"/>
      <c r="G16" s="49"/>
      <c r="H16" s="49"/>
      <c r="I16" s="1"/>
      <c r="J16" s="1"/>
      <c r="K16" s="1"/>
    </row>
    <row r="17" spans="1:11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24" customHeight="1">
      <c r="A18" s="50" t="s">
        <v>17</v>
      </c>
      <c r="B18" s="50" t="s">
        <v>17</v>
      </c>
      <c r="C18" s="50" t="s">
        <v>17</v>
      </c>
      <c r="D18" s="50" t="s">
        <v>17</v>
      </c>
      <c r="E18" s="50" t="s">
        <v>17</v>
      </c>
      <c r="F18" s="50" t="s">
        <v>17</v>
      </c>
      <c r="G18" s="50" t="s">
        <v>17</v>
      </c>
      <c r="H18" s="50" t="s">
        <v>17</v>
      </c>
      <c r="I18" s="1"/>
      <c r="J18" s="1"/>
      <c r="K18" s="1"/>
    </row>
    <row r="19" spans="1:11" ht="48">
      <c r="A19" s="6" t="s">
        <v>18</v>
      </c>
      <c r="B19" s="3" t="s">
        <v>224</v>
      </c>
      <c r="C19" s="7" t="s">
        <v>19</v>
      </c>
      <c r="D19" s="3" t="s">
        <v>225</v>
      </c>
      <c r="E19" s="1"/>
      <c r="F19" s="1"/>
      <c r="G19" s="1"/>
      <c r="H19" s="1"/>
      <c r="I19" s="1"/>
      <c r="J19" s="1"/>
      <c r="K19" s="1"/>
    </row>
    <row r="20" spans="1:11" ht="16">
      <c r="A20" s="8" t="s">
        <v>20</v>
      </c>
      <c r="B20" s="3" t="s">
        <v>21</v>
      </c>
      <c r="C20" s="9" t="s">
        <v>22</v>
      </c>
      <c r="D20" s="3" t="s">
        <v>23</v>
      </c>
      <c r="E20" s="1"/>
      <c r="F20" s="1"/>
      <c r="G20" s="1"/>
      <c r="H20" s="1"/>
      <c r="I20" s="1"/>
      <c r="J20" s="1"/>
      <c r="K20" s="1"/>
    </row>
    <row r="21" spans="1:11" ht="16">
      <c r="A21" s="3" t="s">
        <v>24</v>
      </c>
      <c r="B21" s="3" t="s">
        <v>25</v>
      </c>
      <c r="C21" s="3"/>
      <c r="D21" s="3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48" customHeight="1">
      <c r="A23" s="27" t="s">
        <v>226</v>
      </c>
      <c r="B23" s="27" t="s">
        <v>215</v>
      </c>
      <c r="C23" s="27" t="s">
        <v>227</v>
      </c>
      <c r="D23" s="27"/>
      <c r="E23" s="1"/>
      <c r="F23" s="1"/>
      <c r="G23" s="1"/>
      <c r="H23" s="1"/>
      <c r="I23" s="1"/>
      <c r="J23" s="1"/>
      <c r="K23" s="1"/>
    </row>
    <row r="24" spans="1:11" ht="42" customHeight="1">
      <c r="A24" s="27" t="s">
        <v>228</v>
      </c>
      <c r="B24" s="27" t="s">
        <v>229</v>
      </c>
      <c r="C24" s="1"/>
      <c r="D24" s="1"/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9">
    <mergeCell ref="B14:H14"/>
    <mergeCell ref="B15:H15"/>
    <mergeCell ref="B16:H16"/>
    <mergeCell ref="A18:H18"/>
    <mergeCell ref="A1:H1"/>
    <mergeCell ref="A2:H2"/>
    <mergeCell ref="A4:H4"/>
    <mergeCell ref="A12:H12"/>
    <mergeCell ref="B13:H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0"/>
  <sheetViews>
    <sheetView showGridLines="0" workbookViewId="0"/>
  </sheetViews>
  <sheetFormatPr baseColWidth="10" defaultColWidth="8.83203125" defaultRowHeight="14"/>
  <cols>
    <col min="1" max="1" width="22" customWidth="1"/>
    <col min="2" max="3" width="16" customWidth="1"/>
    <col min="4" max="8" width="18" customWidth="1"/>
  </cols>
  <sheetData>
    <row r="1" spans="1:11" ht="34" customHeight="1">
      <c r="A1" s="51" t="s">
        <v>26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27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28</v>
      </c>
      <c r="B4" s="53" t="s">
        <v>28</v>
      </c>
      <c r="C4" s="53" t="s">
        <v>28</v>
      </c>
      <c r="D4" s="53" t="s">
        <v>28</v>
      </c>
      <c r="E4" s="53" t="s">
        <v>28</v>
      </c>
      <c r="F4" s="53" t="s">
        <v>28</v>
      </c>
      <c r="G4" s="53" t="s">
        <v>28</v>
      </c>
      <c r="H4" s="53" t="s">
        <v>28</v>
      </c>
      <c r="I4" s="1"/>
      <c r="J4" s="1"/>
      <c r="K4" s="1"/>
    </row>
    <row r="5" spans="1:11" ht="30" customHeight="1">
      <c r="A5" s="2" t="s">
        <v>29</v>
      </c>
      <c r="B5" s="2" t="s">
        <v>30</v>
      </c>
      <c r="C5" s="2" t="s">
        <v>31</v>
      </c>
      <c r="D5" s="2" t="s">
        <v>32</v>
      </c>
      <c r="E5" s="1"/>
      <c r="F5" s="1"/>
      <c r="G5" s="1"/>
      <c r="H5" s="1"/>
      <c r="I5" s="1"/>
      <c r="J5" s="1"/>
      <c r="K5" s="1"/>
    </row>
    <row r="6" spans="1:11" ht="16">
      <c r="A6" s="3" t="s">
        <v>33</v>
      </c>
      <c r="B6" s="3">
        <v>8</v>
      </c>
      <c r="C6" s="11">
        <v>205</v>
      </c>
      <c r="D6" s="11">
        <f>B6*C6</f>
        <v>1640</v>
      </c>
      <c r="E6" s="1"/>
      <c r="F6" s="1"/>
      <c r="G6" s="1"/>
      <c r="H6" s="1"/>
      <c r="I6" s="1"/>
      <c r="J6" s="1"/>
      <c r="K6" s="1"/>
    </row>
    <row r="7" spans="1:11" ht="16">
      <c r="A7" s="3" t="s">
        <v>34</v>
      </c>
      <c r="B7" s="3">
        <v>12</v>
      </c>
      <c r="C7" s="11">
        <v>232</v>
      </c>
      <c r="D7" s="11">
        <f>B7*C7</f>
        <v>2784</v>
      </c>
      <c r="E7" s="1"/>
      <c r="F7" s="1"/>
      <c r="G7" s="1"/>
      <c r="H7" s="1"/>
      <c r="I7" s="1"/>
      <c r="J7" s="1"/>
      <c r="K7" s="1"/>
    </row>
    <row r="8" spans="1:11" ht="16">
      <c r="A8" s="3" t="s">
        <v>35</v>
      </c>
      <c r="B8" s="3">
        <v>10</v>
      </c>
      <c r="C8" s="11">
        <v>258</v>
      </c>
      <c r="D8" s="11">
        <f>B8*C8</f>
        <v>2580</v>
      </c>
      <c r="E8" s="1"/>
      <c r="F8" s="1"/>
      <c r="G8" s="1"/>
      <c r="H8" s="1"/>
      <c r="I8" s="1"/>
      <c r="J8" s="1"/>
      <c r="K8" s="1"/>
    </row>
    <row r="9" spans="1:11" ht="16">
      <c r="A9" s="10" t="s">
        <v>36</v>
      </c>
      <c r="B9" s="10">
        <v>30</v>
      </c>
      <c r="C9" s="12"/>
      <c r="D9" s="12">
        <f>SUM(D6:D8)</f>
        <v>7004</v>
      </c>
      <c r="E9" s="1"/>
      <c r="F9" s="1"/>
      <c r="G9" s="1"/>
      <c r="H9" s="1"/>
      <c r="I9" s="1"/>
      <c r="J9" s="1"/>
      <c r="K9" s="1"/>
    </row>
    <row r="10" spans="1:11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30" customHeight="1">
      <c r="A11" s="2" t="s">
        <v>37</v>
      </c>
      <c r="B11" s="2" t="s">
        <v>38</v>
      </c>
      <c r="C11" s="1"/>
      <c r="D11" s="1"/>
      <c r="E11" s="1"/>
      <c r="F11" s="1"/>
      <c r="G11" s="1"/>
      <c r="H11" s="1"/>
      <c r="I11" s="1"/>
      <c r="J11" s="1"/>
      <c r="K11" s="1"/>
    </row>
    <row r="12" spans="1:11" ht="16">
      <c r="A12" s="3" t="s">
        <v>39</v>
      </c>
      <c r="B12" s="3">
        <v>19</v>
      </c>
      <c r="C12" s="1"/>
      <c r="D12" s="1"/>
      <c r="E12" s="1"/>
      <c r="F12" s="1"/>
      <c r="G12" s="1"/>
      <c r="H12" s="1"/>
      <c r="I12" s="1"/>
      <c r="J12" s="1"/>
      <c r="K12" s="1"/>
    </row>
    <row r="13" spans="1:11" ht="16">
      <c r="A13" s="3" t="s">
        <v>40</v>
      </c>
      <c r="B13" s="11">
        <v>420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24" customHeight="1">
      <c r="A16" s="54" t="s">
        <v>41</v>
      </c>
      <c r="B16" s="54" t="s">
        <v>41</v>
      </c>
      <c r="C16" s="54" t="s">
        <v>41</v>
      </c>
      <c r="D16" s="54" t="s">
        <v>41</v>
      </c>
      <c r="E16" s="54" t="s">
        <v>41</v>
      </c>
      <c r="F16" s="54" t="s">
        <v>41</v>
      </c>
      <c r="G16" s="54" t="s">
        <v>41</v>
      </c>
      <c r="H16" s="54" t="s">
        <v>41</v>
      </c>
      <c r="I16" s="1"/>
      <c r="J16" s="1"/>
      <c r="K16" s="1"/>
    </row>
    <row r="17" spans="1:11" ht="30" customHeight="1">
      <c r="A17" s="2" t="s">
        <v>42</v>
      </c>
      <c r="B17" s="2" t="s">
        <v>43</v>
      </c>
      <c r="C17" s="2" t="s">
        <v>44</v>
      </c>
      <c r="D17" s="1"/>
      <c r="E17" s="1"/>
      <c r="F17" s="1"/>
      <c r="G17" s="1"/>
      <c r="H17" s="1"/>
      <c r="I17" s="1"/>
      <c r="J17" s="1"/>
      <c r="K17" s="1"/>
    </row>
    <row r="18" spans="1:11" ht="16">
      <c r="A18" s="3" t="s">
        <v>45</v>
      </c>
      <c r="B18" s="3">
        <v>2400</v>
      </c>
      <c r="C18" s="3">
        <v>1600</v>
      </c>
      <c r="D18" s="1"/>
      <c r="E18" s="1"/>
      <c r="F18" s="1"/>
      <c r="G18" s="1"/>
      <c r="H18" s="1"/>
      <c r="I18" s="1"/>
      <c r="J18" s="1"/>
      <c r="K18" s="1"/>
    </row>
    <row r="19" spans="1:11" ht="16">
      <c r="A19" s="3" t="s">
        <v>46</v>
      </c>
      <c r="B19" s="13">
        <v>66000</v>
      </c>
      <c r="C19" s="13">
        <v>44000</v>
      </c>
      <c r="D19" s="1"/>
      <c r="E19" s="1"/>
      <c r="F19" s="1"/>
      <c r="G19" s="1"/>
      <c r="H19" s="1"/>
      <c r="I19" s="1"/>
      <c r="J19" s="1"/>
      <c r="K19" s="1"/>
    </row>
    <row r="20" spans="1:11" ht="16">
      <c r="A20" s="3" t="s">
        <v>47</v>
      </c>
      <c r="B20" s="3">
        <v>620</v>
      </c>
      <c r="C20" s="3">
        <v>380</v>
      </c>
      <c r="D20" s="1"/>
      <c r="E20" s="1"/>
      <c r="F20" s="1"/>
      <c r="G20" s="1"/>
      <c r="H20" s="1"/>
      <c r="I20" s="1"/>
      <c r="J20" s="1"/>
      <c r="K20" s="1"/>
    </row>
    <row r="21" spans="1:11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4" customHeight="1">
      <c r="A23" s="64" t="s">
        <v>48</v>
      </c>
      <c r="B23" s="64" t="s">
        <v>48</v>
      </c>
      <c r="C23" s="64" t="s">
        <v>48</v>
      </c>
      <c r="D23" s="64" t="s">
        <v>48</v>
      </c>
      <c r="E23" s="64" t="s">
        <v>48</v>
      </c>
      <c r="F23" s="64" t="s">
        <v>48</v>
      </c>
      <c r="G23" s="64" t="s">
        <v>48</v>
      </c>
      <c r="H23" s="64" t="s">
        <v>48</v>
      </c>
      <c r="I23" s="1"/>
      <c r="J23" s="1"/>
      <c r="K23" s="1"/>
    </row>
    <row r="24" spans="1:11" ht="30" customHeight="1">
      <c r="A24" s="2" t="s">
        <v>49</v>
      </c>
      <c r="B24" s="2" t="s">
        <v>50</v>
      </c>
      <c r="C24" s="2" t="s">
        <v>51</v>
      </c>
      <c r="D24" s="1"/>
      <c r="E24" s="1"/>
      <c r="F24" s="1"/>
      <c r="G24" s="1"/>
      <c r="H24" s="1"/>
      <c r="I24" s="1"/>
      <c r="J24" s="1"/>
      <c r="K24" s="1"/>
    </row>
    <row r="25" spans="1:11" ht="16">
      <c r="A25" s="3" t="s">
        <v>52</v>
      </c>
      <c r="B25" s="13">
        <v>9000</v>
      </c>
      <c r="C25" s="3" t="s">
        <v>45</v>
      </c>
      <c r="D25" s="1"/>
      <c r="E25" s="1"/>
      <c r="F25" s="1"/>
      <c r="G25" s="1"/>
      <c r="H25" s="1"/>
      <c r="I25" s="1"/>
      <c r="J25" s="1"/>
      <c r="K25" s="1"/>
    </row>
    <row r="26" spans="1:11" ht="32">
      <c r="A26" s="3" t="s">
        <v>53</v>
      </c>
      <c r="B26" s="13">
        <v>4200</v>
      </c>
      <c r="C26" s="3" t="s">
        <v>54</v>
      </c>
      <c r="D26" s="1"/>
      <c r="E26" s="1"/>
      <c r="F26" s="1"/>
      <c r="G26" s="1"/>
      <c r="H26" s="1"/>
      <c r="I26" s="1"/>
      <c r="J26" s="1"/>
      <c r="K26" s="1"/>
    </row>
    <row r="27" spans="1:11" ht="32">
      <c r="A27" s="3" t="s">
        <v>55</v>
      </c>
      <c r="B27" s="13">
        <v>3800</v>
      </c>
      <c r="C27" s="3" t="s">
        <v>56</v>
      </c>
      <c r="D27" s="1"/>
      <c r="E27" s="1"/>
      <c r="F27" s="1"/>
      <c r="G27" s="1"/>
      <c r="H27" s="1"/>
      <c r="I27" s="1"/>
      <c r="J27" s="1"/>
      <c r="K27" s="1"/>
    </row>
    <row r="28" spans="1:11" ht="32">
      <c r="A28" s="3" t="s">
        <v>57</v>
      </c>
      <c r="B28" s="13">
        <v>3500</v>
      </c>
      <c r="C28" s="3" t="s">
        <v>58</v>
      </c>
      <c r="D28" s="1"/>
      <c r="E28" s="1"/>
      <c r="F28" s="1"/>
      <c r="G28" s="1"/>
      <c r="H28" s="1"/>
      <c r="I28" s="1"/>
      <c r="J28" s="1"/>
      <c r="K28" s="1"/>
    </row>
    <row r="29" spans="1:11" ht="48">
      <c r="A29" s="3" t="s">
        <v>59</v>
      </c>
      <c r="B29" s="13">
        <v>1500</v>
      </c>
      <c r="C29" s="3" t="s">
        <v>60</v>
      </c>
      <c r="D29" s="1"/>
      <c r="E29" s="1"/>
      <c r="F29" s="1"/>
      <c r="G29" s="1"/>
      <c r="H29" s="1"/>
      <c r="I29" s="1"/>
      <c r="J29" s="1"/>
      <c r="K29" s="1"/>
    </row>
    <row r="30" spans="1:11" ht="16">
      <c r="A30" s="10" t="s">
        <v>61</v>
      </c>
      <c r="B30" s="14">
        <f>SUM(B25:B29)</f>
        <v>22000</v>
      </c>
      <c r="C30" s="10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24" customHeight="1">
      <c r="A33" s="50" t="s">
        <v>62</v>
      </c>
      <c r="B33" s="50" t="s">
        <v>62</v>
      </c>
      <c r="C33" s="50" t="s">
        <v>62</v>
      </c>
      <c r="D33" s="50" t="s">
        <v>62</v>
      </c>
      <c r="E33" s="50" t="s">
        <v>62</v>
      </c>
      <c r="F33" s="50" t="s">
        <v>62</v>
      </c>
      <c r="G33" s="50" t="s">
        <v>62</v>
      </c>
      <c r="H33" s="50" t="s">
        <v>62</v>
      </c>
      <c r="I33" s="1"/>
      <c r="J33" s="1"/>
      <c r="K33" s="1"/>
    </row>
    <row r="34" spans="1:11" ht="15">
      <c r="A34" s="55" t="s">
        <v>63</v>
      </c>
      <c r="B34" s="56"/>
      <c r="C34" s="56"/>
      <c r="D34" s="56"/>
      <c r="E34" s="56"/>
      <c r="F34" s="56"/>
      <c r="G34" s="56"/>
      <c r="H34" s="57"/>
      <c r="I34" s="1"/>
      <c r="J34" s="1"/>
      <c r="K34" s="1"/>
    </row>
    <row r="35" spans="1:11" ht="15">
      <c r="A35" s="58"/>
      <c r="B35" s="59"/>
      <c r="C35" s="59"/>
      <c r="D35" s="59"/>
      <c r="E35" s="59"/>
      <c r="F35" s="59"/>
      <c r="G35" s="59"/>
      <c r="H35" s="60"/>
      <c r="I35" s="1"/>
      <c r="J35" s="1"/>
      <c r="K35" s="1"/>
    </row>
    <row r="36" spans="1:11" ht="15">
      <c r="A36" s="61"/>
      <c r="B36" s="62"/>
      <c r="C36" s="62"/>
      <c r="D36" s="62"/>
      <c r="E36" s="62"/>
      <c r="F36" s="62"/>
      <c r="G36" s="62"/>
      <c r="H36" s="63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7">
    <mergeCell ref="A33:H33"/>
    <mergeCell ref="A34:H36"/>
    <mergeCell ref="A1:H1"/>
    <mergeCell ref="A2:H2"/>
    <mergeCell ref="A4:H4"/>
    <mergeCell ref="A16:H16"/>
    <mergeCell ref="A23:H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0"/>
  <sheetViews>
    <sheetView showGridLines="0" workbookViewId="0"/>
  </sheetViews>
  <sheetFormatPr baseColWidth="10" defaultColWidth="8.83203125" defaultRowHeight="14"/>
  <cols>
    <col min="1" max="1" width="22" customWidth="1"/>
    <col min="2" max="3" width="14" customWidth="1"/>
    <col min="4" max="4" width="16" customWidth="1"/>
    <col min="5" max="5" width="18" customWidth="1"/>
    <col min="6" max="7" width="16" customWidth="1"/>
    <col min="8" max="8" width="18" customWidth="1"/>
    <col min="9" max="9" width="16" customWidth="1"/>
  </cols>
  <sheetData>
    <row r="1" spans="1:11" ht="34" customHeight="1">
      <c r="A1" s="51" t="s">
        <v>64</v>
      </c>
      <c r="B1" s="51"/>
      <c r="C1" s="51"/>
      <c r="D1" s="51"/>
      <c r="E1" s="51"/>
      <c r="F1" s="51"/>
      <c r="G1" s="51"/>
      <c r="H1" s="51"/>
      <c r="I1" s="51"/>
      <c r="J1" s="1"/>
      <c r="K1" s="1"/>
    </row>
    <row r="2" spans="1:11" ht="24" customHeight="1">
      <c r="A2" s="52" t="s">
        <v>230</v>
      </c>
      <c r="B2" s="52"/>
      <c r="C2" s="52"/>
      <c r="D2" s="52"/>
      <c r="E2" s="52"/>
      <c r="F2" s="52"/>
      <c r="G2" s="52"/>
      <c r="H2" s="52"/>
      <c r="I2" s="52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231</v>
      </c>
      <c r="B4" s="53" t="s">
        <v>65</v>
      </c>
      <c r="C4" s="53" t="s">
        <v>65</v>
      </c>
      <c r="D4" s="53" t="s">
        <v>65</v>
      </c>
      <c r="E4" s="53" t="s">
        <v>65</v>
      </c>
      <c r="F4" s="53" t="s">
        <v>65</v>
      </c>
      <c r="G4" s="53" t="s">
        <v>65</v>
      </c>
      <c r="H4" s="53" t="s">
        <v>65</v>
      </c>
      <c r="I4" s="53" t="s">
        <v>65</v>
      </c>
      <c r="J4" s="1"/>
      <c r="K4" s="1"/>
    </row>
    <row r="5" spans="1:11" ht="30" customHeight="1">
      <c r="A5" s="2" t="s">
        <v>66</v>
      </c>
      <c r="B5" s="2" t="s">
        <v>67</v>
      </c>
      <c r="C5" s="2" t="s">
        <v>31</v>
      </c>
      <c r="D5" s="2" t="s">
        <v>32</v>
      </c>
      <c r="E5" s="2" t="s">
        <v>68</v>
      </c>
      <c r="F5" s="2" t="s">
        <v>69</v>
      </c>
      <c r="G5" s="2" t="s">
        <v>70</v>
      </c>
      <c r="H5" s="2" t="s">
        <v>71</v>
      </c>
      <c r="I5" s="2" t="s">
        <v>72</v>
      </c>
      <c r="J5" s="1"/>
      <c r="K5" s="1"/>
    </row>
    <row r="6" spans="1:11" ht="16">
      <c r="A6" s="15" t="str">
        <f>'Raw Data'!A6</f>
        <v>Beginning inventory</v>
      </c>
      <c r="B6" s="15">
        <f>'Raw Data'!B6</f>
        <v>8</v>
      </c>
      <c r="C6" s="18">
        <f>'Raw Data'!C6</f>
        <v>205</v>
      </c>
      <c r="D6" s="43">
        <f>B6*C6</f>
        <v>1640</v>
      </c>
      <c r="E6" s="44" t="str">
        <f>IF(COUNT('Live You Try It'!D6:G9)&lt;16,"",'Live You Try It'!D6)</f>
        <v/>
      </c>
      <c r="F6" s="43" t="str">
        <f>IF(COUNT('Live You Try It'!D6:G9)&lt;16,"",'Live You Try It'!E6)</f>
        <v/>
      </c>
      <c r="G6" s="44" t="str">
        <f>IF(COUNT('Live You Try It'!D6:G9)&lt;16,"",'Live You Try It'!F6)</f>
        <v/>
      </c>
      <c r="H6" s="43" t="str">
        <f>IF(COUNT('Live You Try It'!D6:G9)&lt;16,"",'Live You Try It'!G6)</f>
        <v/>
      </c>
      <c r="I6" s="3" t="str">
        <f>IF(COUNT(D6:H6)&lt;5,"BUILD MODEL",IF(AND(D6=B6*C6,E6=MIN(B6,MAX(0,'Raw Data'!B12)),E6+G6=B6,F6=E6*C6,H6=G6*C6),"PASS","REVIEW"))</f>
        <v>BUILD MODEL</v>
      </c>
      <c r="J6" s="1"/>
      <c r="K6" s="1"/>
    </row>
    <row r="7" spans="1:11" ht="16">
      <c r="A7" s="15" t="str">
        <f>'Raw Data'!A7</f>
        <v>March purchase</v>
      </c>
      <c r="B7" s="15">
        <f>'Raw Data'!B7</f>
        <v>12</v>
      </c>
      <c r="C7" s="18">
        <f>'Raw Data'!C7</f>
        <v>232</v>
      </c>
      <c r="D7" s="43">
        <f>B7*C7</f>
        <v>2784</v>
      </c>
      <c r="E7" s="44" t="str">
        <f>IF(COUNT('Live You Try It'!D6:G9)&lt;16,"",'Live You Try It'!D7)</f>
        <v/>
      </c>
      <c r="F7" s="43" t="str">
        <f>IF(COUNT('Live You Try It'!D6:G9)&lt;16,"",'Live You Try It'!E7)</f>
        <v/>
      </c>
      <c r="G7" s="44" t="str">
        <f>IF(COUNT('Live You Try It'!D6:G9)&lt;16,"",'Live You Try It'!F7)</f>
        <v/>
      </c>
      <c r="H7" s="43" t="str">
        <f>IF(COUNT('Live You Try It'!D6:G9)&lt;16,"",'Live You Try It'!G7)</f>
        <v/>
      </c>
      <c r="I7" s="3" t="str">
        <f>IF(COUNT(D7:H7)&lt;5,"BUILD MODEL",IF(AND(D7=B7*C7,E7=MIN(B7,MAX(0,'Raw Data'!B12-SUM(E6:E6))),E7+G7=B7,F7=E7*C7,H7=G7*C7),"PASS","REVIEW"))</f>
        <v>BUILD MODEL</v>
      </c>
      <c r="J7" s="1"/>
      <c r="K7" s="1"/>
    </row>
    <row r="8" spans="1:11" ht="16">
      <c r="A8" s="15" t="str">
        <f>'Raw Data'!A8</f>
        <v>April purchase</v>
      </c>
      <c r="B8" s="15">
        <f>'Raw Data'!B8</f>
        <v>10</v>
      </c>
      <c r="C8" s="18">
        <f>'Raw Data'!C8</f>
        <v>258</v>
      </c>
      <c r="D8" s="43">
        <f>B8*C8</f>
        <v>2580</v>
      </c>
      <c r="E8" s="44" t="str">
        <f>IF(COUNT('Live You Try It'!D6:G9)&lt;16,"",'Live You Try It'!D8)</f>
        <v/>
      </c>
      <c r="F8" s="43" t="str">
        <f>IF(COUNT('Live You Try It'!D6:G9)&lt;16,"",'Live You Try It'!E8)</f>
        <v/>
      </c>
      <c r="G8" s="44" t="str">
        <f>IF(COUNT('Live You Try It'!D6:G9)&lt;16,"",'Live You Try It'!F8)</f>
        <v/>
      </c>
      <c r="H8" s="43" t="str">
        <f>IF(COUNT('Live You Try It'!D6:G9)&lt;16,"",'Live You Try It'!G8)</f>
        <v/>
      </c>
      <c r="I8" s="3" t="str">
        <f>IF(COUNT(D8:H8)&lt;5,"BUILD MODEL",IF(AND(D8=B8*C8,E8=MIN(B8,MAX(0,'Raw Data'!B12-SUM(E6:E7))),E8+G8=B8,F8=E8*C8,H8=G8*C8),"PASS","REVIEW"))</f>
        <v>BUILD MODEL</v>
      </c>
      <c r="J8" s="1"/>
      <c r="K8" s="1"/>
    </row>
    <row r="9" spans="1:11" ht="16">
      <c r="A9" s="10" t="s">
        <v>73</v>
      </c>
      <c r="B9" s="17">
        <f>SUM(B6:B8)</f>
        <v>30</v>
      </c>
      <c r="C9" s="20"/>
      <c r="D9" s="45">
        <f>SUM(D6:D8)</f>
        <v>7004</v>
      </c>
      <c r="E9" s="46" t="str">
        <f>IF(COUNT('Live You Try It'!D6:G9)&lt;16,"",SUM(E6:E8))</f>
        <v/>
      </c>
      <c r="F9" s="45" t="str">
        <f>IF(COUNT('Live You Try It'!D6:G9)&lt;16,"",SUM(F6:F8))</f>
        <v/>
      </c>
      <c r="G9" s="46" t="str">
        <f>IF(COUNT('Live You Try It'!D6:G9)&lt;16,"",SUM(G6:G8))</f>
        <v/>
      </c>
      <c r="H9" s="45" t="str">
        <f>IF(COUNT('Live You Try It'!D6:G9)&lt;16,"",SUM(H6:H8))</f>
        <v/>
      </c>
      <c r="I9" s="10" t="str">
        <f>IF(COUNT(D6:H9)&lt;20,"BUILD MODEL",IF(AND(COUNTIF(I6:I8,"PASS")=3,D9=SUM(D6:D8),E9=SUM(E6:E8),F9=SUM(F6:F8),G9=SUM(G6:G8),H9=SUM(H6:H8),E9='Raw Data'!B12),"PASS","REVIEW"))</f>
        <v>BUILD MODEL</v>
      </c>
      <c r="J9" s="1"/>
      <c r="K9" s="1"/>
    </row>
    <row r="10" spans="1:11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53" t="s">
        <v>232</v>
      </c>
      <c r="B12" s="53" t="s">
        <v>74</v>
      </c>
      <c r="C12" s="53" t="s">
        <v>74</v>
      </c>
      <c r="D12" s="53" t="s">
        <v>74</v>
      </c>
      <c r="E12" s="53" t="s">
        <v>74</v>
      </c>
      <c r="F12" s="53" t="s">
        <v>74</v>
      </c>
      <c r="G12" s="53" t="s">
        <v>74</v>
      </c>
      <c r="H12" s="53" t="s">
        <v>74</v>
      </c>
      <c r="I12" s="53" t="s">
        <v>74</v>
      </c>
      <c r="J12" s="1"/>
      <c r="K12" s="1"/>
    </row>
    <row r="13" spans="1:11" ht="30" customHeight="1">
      <c r="A13" s="2" t="s">
        <v>75</v>
      </c>
      <c r="B13" s="2" t="s">
        <v>76</v>
      </c>
      <c r="C13" s="2" t="s">
        <v>77</v>
      </c>
      <c r="D13" s="1"/>
      <c r="E13" s="2" t="s">
        <v>78</v>
      </c>
      <c r="F13" s="2" t="s">
        <v>79</v>
      </c>
      <c r="G13" s="2" t="s">
        <v>80</v>
      </c>
      <c r="H13" s="2" t="s">
        <v>81</v>
      </c>
      <c r="I13" s="2" t="s">
        <v>82</v>
      </c>
      <c r="J13" s="1"/>
      <c r="K13" s="1"/>
    </row>
    <row r="14" spans="1:11" ht="16">
      <c r="A14" s="3" t="s">
        <v>83</v>
      </c>
      <c r="B14" s="21">
        <f>B9</f>
        <v>30</v>
      </c>
      <c r="C14" s="3" t="s">
        <v>84</v>
      </c>
      <c r="D14" s="1"/>
      <c r="E14" s="3" t="s">
        <v>85</v>
      </c>
      <c r="F14" s="3">
        <f>SUM(E9,G9)</f>
        <v>0</v>
      </c>
      <c r="G14" s="3">
        <f>B9</f>
        <v>30</v>
      </c>
      <c r="H14" s="3">
        <f>F14-G14</f>
        <v>-30</v>
      </c>
      <c r="I14" s="3" t="str">
        <f>IF(COUNT(D6:H9)&lt;20,"BUILD MODEL",IF(AND(I9="PASS",ABS(H14)&lt;0.01),"PASS","REVIEW"))</f>
        <v>BUILD MODEL</v>
      </c>
      <c r="J14" s="1"/>
      <c r="K14" s="1"/>
    </row>
    <row r="15" spans="1:11" ht="32">
      <c r="A15" s="3" t="s">
        <v>86</v>
      </c>
      <c r="B15" s="47">
        <f>D9</f>
        <v>7004</v>
      </c>
      <c r="C15" s="3" t="s">
        <v>87</v>
      </c>
      <c r="D15" s="1"/>
      <c r="E15" s="3" t="s">
        <v>88</v>
      </c>
      <c r="F15" s="11">
        <f>SUM(F9,H9)</f>
        <v>0</v>
      </c>
      <c r="G15" s="11">
        <f>D9</f>
        <v>7004</v>
      </c>
      <c r="H15" s="11">
        <f>F15-G15</f>
        <v>-7004</v>
      </c>
      <c r="I15" s="3" t="str">
        <f>IF(COUNT(D6:H9)&lt;20,"BUILD MODEL",IF(AND(I9="PASS",ABS(H15)&lt;0.01),"PASS","REVIEW"))</f>
        <v>BUILD MODEL</v>
      </c>
      <c r="J15" s="1"/>
      <c r="K15" s="1"/>
    </row>
    <row r="16" spans="1:11" ht="32">
      <c r="A16" s="3" t="s">
        <v>89</v>
      </c>
      <c r="B16" s="47" t="str">
        <f>IF(COUNT('Live You Try It'!E40:E42)&lt;3,"",'Live You Try It'!E40)</f>
        <v/>
      </c>
      <c r="C16" s="3" t="s">
        <v>90</v>
      </c>
      <c r="D16" s="1"/>
      <c r="E16" s="3" t="s">
        <v>91</v>
      </c>
      <c r="F16" s="11">
        <f>SUM(B18,B20)</f>
        <v>0</v>
      </c>
      <c r="G16" s="11">
        <f>B15</f>
        <v>7004</v>
      </c>
      <c r="H16" s="11">
        <f>F16-G16</f>
        <v>-7004</v>
      </c>
      <c r="I16" s="3" t="str">
        <f>IF(COUNT(B15:B20)&lt;6,"BUILD MODEL",IF(AND(B15=D9,ABS(B16-B15/B14)&lt;0.000001,B18=B17*B16,B19=B14-B17,B20=B19*B16,ABS(H16)&lt;0.01),"PASS","REVIEW"))</f>
        <v>BUILD MODEL</v>
      </c>
      <c r="J16" s="1"/>
      <c r="K16" s="1"/>
    </row>
    <row r="17" spans="1:11" ht="16">
      <c r="A17" s="3" t="s">
        <v>39</v>
      </c>
      <c r="B17" s="21">
        <f>'Raw Data'!B12</f>
        <v>19</v>
      </c>
      <c r="C17" s="3" t="s">
        <v>92</v>
      </c>
      <c r="D17" s="1"/>
      <c r="E17" s="1"/>
      <c r="F17" s="1"/>
      <c r="G17" s="1"/>
      <c r="H17" s="1"/>
      <c r="I17" s="1"/>
      <c r="J17" s="1"/>
      <c r="K17" s="1"/>
    </row>
    <row r="18" spans="1:11" ht="32">
      <c r="A18" s="3" t="s">
        <v>93</v>
      </c>
      <c r="B18" s="47" t="str">
        <f>IF(COUNT('Live You Try It'!E40:E42)&lt;3,"",'Live You Try It'!E41)</f>
        <v/>
      </c>
      <c r="C18" s="3" t="s">
        <v>94</v>
      </c>
      <c r="D18" s="1"/>
      <c r="E18" s="1"/>
      <c r="F18" s="1"/>
      <c r="G18" s="1"/>
      <c r="H18" s="1"/>
      <c r="I18" s="1"/>
      <c r="J18" s="1"/>
      <c r="K18" s="1"/>
    </row>
    <row r="19" spans="1:11" ht="16">
      <c r="A19" s="3" t="s">
        <v>95</v>
      </c>
      <c r="B19" s="48">
        <f>B14-B17</f>
        <v>11</v>
      </c>
      <c r="C19" s="3" t="s">
        <v>96</v>
      </c>
      <c r="D19" s="1"/>
      <c r="E19" s="1"/>
      <c r="F19" s="1"/>
      <c r="G19" s="1"/>
      <c r="H19" s="1"/>
      <c r="I19" s="1"/>
      <c r="J19" s="1"/>
      <c r="K19" s="1"/>
    </row>
    <row r="20" spans="1:11" ht="32">
      <c r="A20" s="3" t="s">
        <v>97</v>
      </c>
      <c r="B20" s="47" t="str">
        <f>IF(COUNT('Live You Try It'!E40:E42)&lt;3,"",'Live You Try It'!E42)</f>
        <v/>
      </c>
      <c r="C20" s="3" t="s">
        <v>98</v>
      </c>
      <c r="D20" s="1"/>
      <c r="E20" s="1"/>
      <c r="F20" s="1"/>
      <c r="G20" s="1"/>
      <c r="H20" s="1"/>
      <c r="I20" s="1"/>
      <c r="J20" s="1"/>
      <c r="K20" s="1"/>
    </row>
    <row r="21" spans="1:11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24" customHeight="1">
      <c r="A23" s="54" t="s">
        <v>99</v>
      </c>
      <c r="B23" s="54" t="s">
        <v>99</v>
      </c>
      <c r="C23" s="54" t="s">
        <v>99</v>
      </c>
      <c r="D23" s="54" t="s">
        <v>99</v>
      </c>
      <c r="E23" s="54" t="s">
        <v>99</v>
      </c>
      <c r="F23" s="54" t="s">
        <v>99</v>
      </c>
      <c r="G23" s="54" t="s">
        <v>99</v>
      </c>
      <c r="H23" s="54" t="s">
        <v>99</v>
      </c>
      <c r="I23" s="54" t="s">
        <v>99</v>
      </c>
      <c r="J23" s="1"/>
      <c r="K23" s="1"/>
    </row>
    <row r="24" spans="1:11" ht="30" customHeight="1">
      <c r="A24" s="2" t="s">
        <v>100</v>
      </c>
      <c r="B24" s="2" t="s">
        <v>101</v>
      </c>
      <c r="C24" s="2" t="s">
        <v>102</v>
      </c>
      <c r="D24" s="2" t="s">
        <v>103</v>
      </c>
      <c r="E24" s="1"/>
      <c r="F24" s="2" t="s">
        <v>104</v>
      </c>
      <c r="G24" s="2" t="s">
        <v>101</v>
      </c>
      <c r="H24" s="2" t="s">
        <v>105</v>
      </c>
      <c r="I24" s="2" t="s">
        <v>82</v>
      </c>
      <c r="J24" s="1"/>
      <c r="K24" s="1"/>
    </row>
    <row r="25" spans="1:11" ht="32">
      <c r="A25" s="3" t="s">
        <v>33</v>
      </c>
      <c r="B25" s="23">
        <f>'Raw Data'!D6</f>
        <v>1640</v>
      </c>
      <c r="C25" s="23">
        <f>'Raw Data'!D6</f>
        <v>1640</v>
      </c>
      <c r="D25" s="3" t="s">
        <v>106</v>
      </c>
      <c r="E25" s="1"/>
      <c r="F25" s="3" t="s">
        <v>36</v>
      </c>
      <c r="G25" s="11">
        <f>B27</f>
        <v>0</v>
      </c>
      <c r="H25" s="11">
        <f>C27</f>
        <v>0</v>
      </c>
      <c r="I25" s="3" t="str">
        <f>IF(COUNT(B27:C29)&lt;6,"BUILD MODEL",IF(AND(B27=SUM(B25:B26),C27=SUM(C25:C26)),"PASS","REVIEW"))</f>
        <v>BUILD MODEL</v>
      </c>
      <c r="J25" s="1"/>
      <c r="K25" s="1"/>
    </row>
    <row r="26" spans="1:11" ht="32">
      <c r="A26" s="3" t="s">
        <v>107</v>
      </c>
      <c r="B26" s="23">
        <f>SUM('Raw Data'!D7:D8)</f>
        <v>5364</v>
      </c>
      <c r="C26" s="23">
        <f>SUM('Raw Data'!D7:D8)</f>
        <v>5364</v>
      </c>
      <c r="D26" s="3" t="s">
        <v>108</v>
      </c>
      <c r="E26" s="1"/>
      <c r="F26" s="3" t="s">
        <v>109</v>
      </c>
      <c r="G26" s="11">
        <f>SUM(B28:B29)</f>
        <v>0</v>
      </c>
      <c r="H26" s="11">
        <f>SUM(C28:C29)</f>
        <v>0</v>
      </c>
      <c r="I26" s="3" t="str">
        <f>IF(COUNT(B27:C29)&lt;6,"BUILD MODEL",IF(AND(B28=H9,C28=B20,ABS(G26-G25)&lt;0.01,ABS(H26-H25)&lt;0.01),"PASS","REVIEW"))</f>
        <v>BUILD MODEL</v>
      </c>
      <c r="J26" s="1"/>
      <c r="K26" s="1"/>
    </row>
    <row r="27" spans="1:11" ht="32">
      <c r="A27" s="3" t="s">
        <v>36</v>
      </c>
      <c r="B27" s="22"/>
      <c r="C27" s="22"/>
      <c r="D27" s="3" t="s">
        <v>110</v>
      </c>
      <c r="E27" s="1"/>
      <c r="F27" s="3" t="s">
        <v>111</v>
      </c>
      <c r="G27" s="3"/>
      <c r="H27" s="3"/>
      <c r="I27" s="3" t="str">
        <f>IF(COUNT(B27:C32)&lt;12,"BUILD MODEL",IF(AND(I25="PASS",I26="PASS",B31=B30-B29,C31=C30-C29,ABS(B32-B31/B30)&lt;0.000001,ABS(C32-C31/C30)&lt;0.000001),"PASS","REVIEW"))</f>
        <v>BUILD MODEL</v>
      </c>
      <c r="J27" s="1"/>
      <c r="K27" s="1"/>
    </row>
    <row r="28" spans="1:11" ht="32">
      <c r="A28" s="3" t="s">
        <v>71</v>
      </c>
      <c r="B28" s="22"/>
      <c r="C28" s="22"/>
      <c r="D28" s="3" t="s">
        <v>112</v>
      </c>
      <c r="E28" s="1"/>
      <c r="F28" s="1"/>
      <c r="G28" s="1"/>
      <c r="H28" s="1"/>
      <c r="I28" s="1"/>
      <c r="J28" s="1"/>
      <c r="K28" s="1"/>
    </row>
    <row r="29" spans="1:11" ht="32">
      <c r="A29" s="3" t="s">
        <v>113</v>
      </c>
      <c r="B29" s="22"/>
      <c r="C29" s="22"/>
      <c r="D29" s="3" t="s">
        <v>114</v>
      </c>
      <c r="E29" s="1"/>
      <c r="F29" s="1"/>
      <c r="G29" s="1"/>
      <c r="H29" s="1"/>
      <c r="I29" s="1"/>
      <c r="J29" s="1"/>
      <c r="K29" s="1"/>
    </row>
    <row r="30" spans="1:11" ht="16">
      <c r="A30" s="3" t="s">
        <v>233</v>
      </c>
      <c r="B30" s="23">
        <f>'Raw Data'!B12*'Raw Data'!B13</f>
        <v>7980</v>
      </c>
      <c r="C30" s="23">
        <f>'Raw Data'!B12*'Raw Data'!B13</f>
        <v>7980</v>
      </c>
      <c r="D30" s="3" t="s">
        <v>115</v>
      </c>
      <c r="E30" s="1"/>
      <c r="F30" s="1"/>
      <c r="G30" s="1"/>
      <c r="H30" s="1"/>
      <c r="I30" s="1"/>
      <c r="J30" s="1"/>
      <c r="K30" s="1"/>
    </row>
    <row r="31" spans="1:11" ht="16">
      <c r="A31" s="3" t="s">
        <v>116</v>
      </c>
      <c r="B31" s="22"/>
      <c r="C31" s="22"/>
      <c r="D31" s="3" t="s">
        <v>117</v>
      </c>
      <c r="E31" s="1"/>
      <c r="F31" s="1"/>
      <c r="G31" s="1"/>
      <c r="H31" s="1"/>
      <c r="I31" s="1"/>
      <c r="J31" s="1"/>
      <c r="K31" s="1"/>
    </row>
    <row r="32" spans="1:11" ht="32">
      <c r="A32" s="3" t="s">
        <v>118</v>
      </c>
      <c r="B32" s="24"/>
      <c r="C32" s="24"/>
      <c r="D32" s="3" t="s">
        <v>119</v>
      </c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24" customHeight="1">
      <c r="A35" s="64" t="s">
        <v>234</v>
      </c>
      <c r="B35" s="64" t="s">
        <v>120</v>
      </c>
      <c r="C35" s="64" t="s">
        <v>120</v>
      </c>
      <c r="D35" s="64" t="s">
        <v>120</v>
      </c>
      <c r="E35" s="64" t="s">
        <v>120</v>
      </c>
      <c r="F35" s="64" t="s">
        <v>120</v>
      </c>
      <c r="G35" s="64" t="s">
        <v>120</v>
      </c>
      <c r="H35" s="64" t="s">
        <v>120</v>
      </c>
      <c r="I35" s="64" t="s">
        <v>120</v>
      </c>
      <c r="J35" s="1"/>
      <c r="K35" s="1"/>
    </row>
    <row r="36" spans="1:11" ht="30" customHeight="1">
      <c r="A36" s="2" t="s">
        <v>49</v>
      </c>
      <c r="B36" s="2" t="s">
        <v>50</v>
      </c>
      <c r="C36" s="2" t="s">
        <v>121</v>
      </c>
      <c r="D36" s="2" t="s">
        <v>122</v>
      </c>
      <c r="E36" s="2" t="s">
        <v>123</v>
      </c>
      <c r="F36" s="2" t="s">
        <v>124</v>
      </c>
      <c r="G36" s="2" t="s">
        <v>125</v>
      </c>
      <c r="H36" s="2" t="s">
        <v>126</v>
      </c>
      <c r="I36" s="2" t="s">
        <v>127</v>
      </c>
      <c r="J36" s="1"/>
      <c r="K36" s="1"/>
    </row>
    <row r="37" spans="1:11" ht="16">
      <c r="A37" s="15" t="str">
        <f>'Raw Data'!A25</f>
        <v>Rent</v>
      </c>
      <c r="B37" s="18">
        <f>'Raw Data'!B25</f>
        <v>9000</v>
      </c>
      <c r="C37" s="16"/>
      <c r="D37" s="16"/>
      <c r="E37" s="16"/>
      <c r="F37" s="16"/>
      <c r="G37" s="19"/>
      <c r="H37" s="19"/>
      <c r="I37" s="3" t="str">
        <f>IF(OR(C37="",COUNT(D37:H37)&lt;5),"BUILD MODEL",IF(AND(D37&gt;=0,E37&gt;=0,F37&gt;0,F37=SUM(D37:E37),ABS(G37-B37*D37/F37)&lt;0.01,ABS(H37-B37*E37/F37)&lt;0.01,ABS(SUM(G37:H37)-B37)&lt;0.01),"PASS","REVIEW"))</f>
        <v>BUILD MODEL</v>
      </c>
      <c r="J37" s="1"/>
      <c r="K37" s="1"/>
    </row>
    <row r="38" spans="1:11" ht="16">
      <c r="A38" s="15" t="str">
        <f>'Raw Data'!A26</f>
        <v>Utilities</v>
      </c>
      <c r="B38" s="18">
        <f>'Raw Data'!B26</f>
        <v>4200</v>
      </c>
      <c r="C38" s="16"/>
      <c r="D38" s="16"/>
      <c r="E38" s="16"/>
      <c r="F38" s="16"/>
      <c r="G38" s="19"/>
      <c r="H38" s="19"/>
      <c r="I38" s="3" t="str">
        <f>IF(OR(C38="",COUNT(D38:H38)&lt;5),"BUILD MODEL",IF(AND(D38&gt;=0,E38&gt;=0,F38&gt;0,F38=SUM(D38:E38),ABS(G38-B38*D38/F38)&lt;0.01,ABS(H38-B38*E38/F38)&lt;0.01,ABS(SUM(G38:H38)-B38)&lt;0.01),"PASS","REVIEW"))</f>
        <v>BUILD MODEL</v>
      </c>
      <c r="J38" s="1"/>
      <c r="K38" s="1"/>
    </row>
    <row r="39" spans="1:11" ht="16">
      <c r="A39" s="15" t="str">
        <f>'Raw Data'!A27</f>
        <v>Insurance</v>
      </c>
      <c r="B39" s="18">
        <f>'Raw Data'!B27</f>
        <v>3800</v>
      </c>
      <c r="C39" s="16"/>
      <c r="D39" s="16"/>
      <c r="E39" s="16"/>
      <c r="F39" s="16"/>
      <c r="G39" s="19"/>
      <c r="H39" s="19"/>
      <c r="I39" s="3" t="str">
        <f>IF(OR(C39="",COUNT(D39:H39)&lt;5),"BUILD MODEL",IF(AND(D39&gt;=0,E39&gt;=0,F39&gt;0,F39=SUM(D39:E39),ABS(G39-B39*D39/F39)&lt;0.01,ABS(H39-B39*E39/F39)&lt;0.01,ABS(SUM(G39:H39)-B39)&lt;0.01),"PASS","REVIEW"))</f>
        <v>BUILD MODEL</v>
      </c>
      <c r="J39" s="1"/>
      <c r="K39" s="1"/>
    </row>
    <row r="40" spans="1:11" ht="16">
      <c r="A40" s="15" t="str">
        <f>'Raw Data'!A28</f>
        <v>Indirect labor</v>
      </c>
      <c r="B40" s="18">
        <f>'Raw Data'!B28</f>
        <v>3500</v>
      </c>
      <c r="C40" s="16"/>
      <c r="D40" s="16"/>
      <c r="E40" s="16"/>
      <c r="F40" s="16"/>
      <c r="G40" s="19"/>
      <c r="H40" s="19"/>
      <c r="I40" s="3" t="str">
        <f>IF(OR(C40="",COUNT(D40:H40)&lt;5),"BUILD MODEL",IF(AND(D40&gt;=0,E40&gt;=0,F40&gt;0,F40=SUM(D40:E40),ABS(G40-B40*D40/F40)&lt;0.01,ABS(H40-B40*E40/F40)&lt;0.01,ABS(SUM(G40:H40)-B40)&lt;0.01),"PASS","REVIEW"))</f>
        <v>BUILD MODEL</v>
      </c>
      <c r="J40" s="1"/>
      <c r="K40" s="1"/>
    </row>
    <row r="41" spans="1:11" ht="16">
      <c r="A41" s="15" t="str">
        <f>'Raw Data'!A29</f>
        <v>Maintenance</v>
      </c>
      <c r="B41" s="18">
        <f>'Raw Data'!B29</f>
        <v>1500</v>
      </c>
      <c r="C41" s="16"/>
      <c r="D41" s="16"/>
      <c r="E41" s="16"/>
      <c r="F41" s="16"/>
      <c r="G41" s="19"/>
      <c r="H41" s="19"/>
      <c r="I41" s="3" t="str">
        <f>IF(OR(C41="",COUNT(D41:H41)&lt;5),"BUILD MODEL",IF(AND(D41&gt;=0,E41&gt;=0,F41&gt;0,F41=SUM(D41:E41),ABS(G41-B41*D41/F41)&lt;0.01,ABS(H41-B41*E41/F41)&lt;0.01,ABS(SUM(G41:H41)-B41)&lt;0.01),"PASS","REVIEW"))</f>
        <v>BUILD MODEL</v>
      </c>
      <c r="J41" s="1"/>
      <c r="K41" s="1"/>
    </row>
    <row r="42" spans="1:11" ht="16">
      <c r="A42" s="10" t="s">
        <v>128</v>
      </c>
      <c r="B42" s="12">
        <f>SUM(B37:B41)</f>
        <v>22000</v>
      </c>
      <c r="C42" s="10"/>
      <c r="D42" s="10"/>
      <c r="E42" s="10"/>
      <c r="F42" s="10"/>
      <c r="G42" s="12">
        <f>SUM(G37:G41)</f>
        <v>0</v>
      </c>
      <c r="H42" s="12">
        <f>SUM(H37:H41)</f>
        <v>0</v>
      </c>
      <c r="I42" s="10" t="str">
        <f>IF(COUNTA(C37:H41)=0,"BUILD MODEL",IF(COUNTIF(I37:I41,"PASS")=5,"PASS","REVIEW"))</f>
        <v>BUILD MODEL</v>
      </c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30" customHeight="1">
      <c r="A45" s="2" t="s">
        <v>129</v>
      </c>
      <c r="B45" s="2" t="s">
        <v>130</v>
      </c>
      <c r="C45" s="2" t="s">
        <v>131</v>
      </c>
      <c r="D45" s="2" t="s">
        <v>132</v>
      </c>
      <c r="E45" s="1"/>
      <c r="F45" s="1"/>
      <c r="G45" s="1"/>
      <c r="H45" s="1"/>
      <c r="I45" s="1"/>
      <c r="J45" s="1"/>
      <c r="K45" s="1"/>
    </row>
    <row r="46" spans="1:11" ht="64">
      <c r="A46" s="3" t="s">
        <v>235</v>
      </c>
      <c r="B46" s="11">
        <f>SUM('Raw Data'!B19:C19)</f>
        <v>110000</v>
      </c>
      <c r="C46" s="11"/>
      <c r="D46" s="3" t="s">
        <v>236</v>
      </c>
      <c r="E46" s="1"/>
      <c r="F46" s="1"/>
      <c r="G46" s="1"/>
      <c r="H46" s="1"/>
      <c r="I46" s="1"/>
      <c r="J46" s="1"/>
      <c r="K46" s="1"/>
    </row>
    <row r="47" spans="1:11" ht="48">
      <c r="A47" s="3" t="s">
        <v>61</v>
      </c>
      <c r="B47" s="11">
        <f>'Raw Data'!B30</f>
        <v>22000</v>
      </c>
      <c r="C47" s="11"/>
      <c r="D47" s="3" t="s">
        <v>133</v>
      </c>
      <c r="E47" s="1"/>
      <c r="F47" s="1"/>
      <c r="G47" s="1"/>
      <c r="H47" s="1"/>
      <c r="I47" s="1"/>
      <c r="J47" s="1"/>
      <c r="K47" s="1"/>
    </row>
    <row r="48" spans="1:11" ht="80">
      <c r="A48" s="3" t="s">
        <v>134</v>
      </c>
      <c r="B48" s="25"/>
      <c r="C48" s="25"/>
      <c r="D48" s="3" t="s">
        <v>237</v>
      </c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30" customHeight="1">
      <c r="A50" s="65" t="s">
        <v>238</v>
      </c>
      <c r="B50" s="65"/>
      <c r="C50" s="65"/>
      <c r="D50" s="65"/>
      <c r="E50" s="65"/>
      <c r="F50" s="65"/>
      <c r="G50" s="65"/>
      <c r="H50" s="65"/>
      <c r="I50" s="65"/>
      <c r="J50" s="1"/>
      <c r="K50" s="1"/>
    </row>
    <row r="51" spans="1:11" ht="30" customHeight="1">
      <c r="A51" s="65"/>
      <c r="B51" s="65"/>
      <c r="C51" s="65"/>
      <c r="D51" s="65"/>
      <c r="E51" s="65"/>
      <c r="F51" s="65"/>
      <c r="G51" s="65"/>
      <c r="H51" s="65"/>
      <c r="I51" s="65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7">
    <mergeCell ref="A50:I51"/>
    <mergeCell ref="A35:I35"/>
    <mergeCell ref="A1:I1"/>
    <mergeCell ref="A2:I2"/>
    <mergeCell ref="A4:I4"/>
    <mergeCell ref="A12:I12"/>
    <mergeCell ref="A23:I23"/>
  </mergeCells>
  <conditionalFormatting sqref="I6:I9">
    <cfRule type="containsText" dxfId="17" priority="1" operator="containsText" text="PASS"/>
    <cfRule type="containsText" dxfId="16" priority="2" operator="containsText" text="REVIEW"/>
  </conditionalFormatting>
  <conditionalFormatting sqref="I14:I16">
    <cfRule type="containsText" dxfId="15" priority="3" operator="containsText" text="PASS"/>
    <cfRule type="containsText" dxfId="14" priority="4" operator="containsText" text="REVIEW"/>
  </conditionalFormatting>
  <conditionalFormatting sqref="I25:I27">
    <cfRule type="containsText" dxfId="13" priority="5" operator="containsText" text="PASS"/>
    <cfRule type="containsText" dxfId="12" priority="6" operator="containsText" text="REVIEW"/>
  </conditionalFormatting>
  <conditionalFormatting sqref="I37:I42">
    <cfRule type="containsText" dxfId="11" priority="7" operator="containsText" text="PASS"/>
    <cfRule type="containsText" dxfId="10" priority="8" operator="containsText" text="REVIEW"/>
  </conditionalFormatting>
  <dataValidations count="1">
    <dataValidation type="list" sqref="C37:C41" xr:uid="{00000000-0002-0000-0200-000000000000}">
      <formula1>"Square footage,Revenue,Direct labor hours"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0"/>
  <sheetViews>
    <sheetView showGridLines="0" workbookViewId="0"/>
  </sheetViews>
  <sheetFormatPr baseColWidth="10" defaultColWidth="8.83203125" defaultRowHeight="14"/>
  <cols>
    <col min="1" max="1" width="23" customWidth="1"/>
    <col min="2" max="6" width="24" customWidth="1"/>
    <col min="7" max="8" width="18" customWidth="1"/>
  </cols>
  <sheetData>
    <row r="1" spans="1:11" ht="34" customHeight="1">
      <c r="A1" s="51" t="s">
        <v>135</v>
      </c>
      <c r="B1" s="51"/>
      <c r="C1" s="51"/>
      <c r="D1" s="51"/>
      <c r="E1" s="51"/>
      <c r="F1" s="51"/>
      <c r="G1" s="51"/>
      <c r="H1" s="51"/>
      <c r="I1" s="1"/>
      <c r="J1" s="1"/>
      <c r="K1" s="1"/>
    </row>
    <row r="2" spans="1:11" ht="24" customHeight="1">
      <c r="A2" s="52" t="s">
        <v>136</v>
      </c>
      <c r="B2" s="52"/>
      <c r="C2" s="52"/>
      <c r="D2" s="52"/>
      <c r="E2" s="52"/>
      <c r="F2" s="52"/>
      <c r="G2" s="52"/>
      <c r="H2" s="52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53" t="s">
        <v>137</v>
      </c>
      <c r="B4" s="53" t="s">
        <v>137</v>
      </c>
      <c r="C4" s="53" t="s">
        <v>137</v>
      </c>
      <c r="D4" s="53" t="s">
        <v>137</v>
      </c>
      <c r="E4" s="53" t="s">
        <v>137</v>
      </c>
      <c r="F4" s="53" t="s">
        <v>137</v>
      </c>
      <c r="G4" s="53" t="s">
        <v>137</v>
      </c>
      <c r="H4" s="53" t="s">
        <v>137</v>
      </c>
      <c r="I4" s="1"/>
      <c r="J4" s="1"/>
      <c r="K4" s="1"/>
    </row>
    <row r="5" spans="1:11" ht="30" customHeight="1">
      <c r="A5" s="2" t="s">
        <v>138</v>
      </c>
      <c r="B5" s="66" t="s">
        <v>139</v>
      </c>
      <c r="C5" s="66"/>
      <c r="D5" s="66"/>
      <c r="E5" s="66"/>
      <c r="F5" s="66"/>
      <c r="G5" s="66"/>
      <c r="H5" s="66"/>
      <c r="I5" s="1"/>
      <c r="J5" s="1"/>
      <c r="K5" s="1"/>
    </row>
    <row r="6" spans="1:11" ht="54" customHeight="1">
      <c r="A6" s="3" t="s">
        <v>140</v>
      </c>
      <c r="B6" s="67"/>
      <c r="C6" s="67"/>
      <c r="D6" s="67"/>
      <c r="E6" s="67"/>
      <c r="F6" s="67"/>
      <c r="G6" s="67"/>
      <c r="H6" s="67"/>
      <c r="I6" s="1"/>
      <c r="J6" s="1"/>
      <c r="K6" s="1"/>
    </row>
    <row r="7" spans="1:11" ht="54" customHeight="1">
      <c r="A7" s="3" t="s">
        <v>141</v>
      </c>
      <c r="B7" s="67"/>
      <c r="C7" s="67"/>
      <c r="D7" s="67"/>
      <c r="E7" s="67"/>
      <c r="F7" s="67"/>
      <c r="G7" s="67"/>
      <c r="H7" s="67"/>
      <c r="I7" s="1"/>
      <c r="J7" s="1"/>
      <c r="K7" s="1"/>
    </row>
    <row r="8" spans="1:11" ht="54" customHeight="1">
      <c r="A8" s="3" t="s">
        <v>142</v>
      </c>
      <c r="B8" s="67"/>
      <c r="C8" s="67"/>
      <c r="D8" s="67"/>
      <c r="E8" s="67"/>
      <c r="F8" s="67"/>
      <c r="G8" s="67"/>
      <c r="H8" s="67"/>
      <c r="I8" s="1"/>
      <c r="J8" s="1"/>
      <c r="K8" s="1"/>
    </row>
    <row r="9" spans="1:11" ht="54" customHeight="1">
      <c r="A9" s="3" t="s">
        <v>143</v>
      </c>
      <c r="B9" s="67"/>
      <c r="C9" s="67"/>
      <c r="D9" s="67"/>
      <c r="E9" s="67"/>
      <c r="F9" s="67"/>
      <c r="G9" s="67"/>
      <c r="H9" s="67"/>
      <c r="I9" s="1"/>
      <c r="J9" s="1"/>
      <c r="K9" s="1"/>
    </row>
    <row r="10" spans="1:11" ht="54" customHeight="1">
      <c r="A10" s="3" t="s">
        <v>144</v>
      </c>
      <c r="B10" s="67"/>
      <c r="C10" s="67"/>
      <c r="D10" s="67"/>
      <c r="E10" s="67"/>
      <c r="F10" s="67"/>
      <c r="G10" s="67"/>
      <c r="H10" s="67"/>
      <c r="I10" s="1"/>
      <c r="J10" s="1"/>
      <c r="K10" s="1"/>
    </row>
    <row r="11" spans="1:11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ht="24" customHeight="1">
      <c r="A13" s="64" t="s">
        <v>145</v>
      </c>
      <c r="B13" s="64" t="s">
        <v>145</v>
      </c>
      <c r="C13" s="64" t="s">
        <v>145</v>
      </c>
      <c r="D13" s="64" t="s">
        <v>145</v>
      </c>
      <c r="E13" s="64" t="s">
        <v>145</v>
      </c>
      <c r="F13" s="64" t="s">
        <v>145</v>
      </c>
      <c r="G13" s="64" t="s">
        <v>145</v>
      </c>
      <c r="H13" s="64" t="s">
        <v>145</v>
      </c>
      <c r="I13" s="1"/>
      <c r="J13" s="1"/>
      <c r="K13" s="1"/>
    </row>
    <row r="14" spans="1:11" ht="48" customHeight="1">
      <c r="A14" s="3" t="s">
        <v>146</v>
      </c>
      <c r="B14" s="67"/>
      <c r="C14" s="67"/>
      <c r="D14" s="67"/>
      <c r="E14" s="67"/>
      <c r="F14" s="67"/>
      <c r="G14" s="67"/>
      <c r="H14" s="67"/>
      <c r="I14" s="1"/>
      <c r="J14" s="1"/>
      <c r="K14" s="1"/>
    </row>
    <row r="15" spans="1:11" ht="48" customHeight="1">
      <c r="A15" s="3" t="s">
        <v>147</v>
      </c>
      <c r="B15" s="67"/>
      <c r="C15" s="67"/>
      <c r="D15" s="67"/>
      <c r="E15" s="67"/>
      <c r="F15" s="67"/>
      <c r="G15" s="67"/>
      <c r="H15" s="67"/>
      <c r="I15" s="1"/>
      <c r="J15" s="1"/>
      <c r="K15" s="1"/>
    </row>
    <row r="16" spans="1:11" ht="48" customHeight="1">
      <c r="A16" s="3" t="s">
        <v>148</v>
      </c>
      <c r="B16" s="67"/>
      <c r="C16" s="67"/>
      <c r="D16" s="67"/>
      <c r="E16" s="67"/>
      <c r="F16" s="67"/>
      <c r="G16" s="67"/>
      <c r="H16" s="67"/>
      <c r="I16" s="1"/>
      <c r="J16" s="1"/>
      <c r="K16" s="1"/>
    </row>
    <row r="17" spans="1:11" ht="48" customHeight="1">
      <c r="A17" s="3" t="s">
        <v>149</v>
      </c>
      <c r="B17" s="67"/>
      <c r="C17" s="67"/>
      <c r="D17" s="67"/>
      <c r="E17" s="67"/>
      <c r="F17" s="67"/>
      <c r="G17" s="67"/>
      <c r="H17" s="67"/>
      <c r="I17" s="1"/>
      <c r="J17" s="1"/>
      <c r="K17" s="1"/>
    </row>
    <row r="18" spans="1:11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24" customHeight="1">
      <c r="A20" s="50" t="s">
        <v>150</v>
      </c>
      <c r="B20" s="50" t="s">
        <v>150</v>
      </c>
      <c r="C20" s="50" t="s">
        <v>150</v>
      </c>
      <c r="D20" s="50" t="s">
        <v>150</v>
      </c>
      <c r="E20" s="50" t="s">
        <v>150</v>
      </c>
      <c r="F20" s="50" t="s">
        <v>150</v>
      </c>
      <c r="G20" s="50" t="s">
        <v>150</v>
      </c>
      <c r="H20" s="50" t="s">
        <v>150</v>
      </c>
      <c r="I20" s="1"/>
      <c r="J20" s="1"/>
      <c r="K20" s="1"/>
    </row>
    <row r="21" spans="1:11" ht="30" customHeight="1">
      <c r="A21" s="2" t="s">
        <v>127</v>
      </c>
      <c r="B21" s="2" t="s">
        <v>151</v>
      </c>
      <c r="C21" s="2" t="s">
        <v>152</v>
      </c>
      <c r="D21" s="2" t="s">
        <v>153</v>
      </c>
      <c r="E21" s="1"/>
      <c r="F21" s="1"/>
      <c r="G21" s="1"/>
      <c r="H21" s="1"/>
      <c r="I21" s="1"/>
      <c r="J21" s="1"/>
      <c r="K21" s="1"/>
    </row>
    <row r="22" spans="1:11" ht="32">
      <c r="A22" s="3" t="s">
        <v>154</v>
      </c>
      <c r="B22" s="7"/>
      <c r="C22" s="7"/>
      <c r="D22" s="3" t="s">
        <v>155</v>
      </c>
      <c r="E22" s="1"/>
      <c r="F22" s="1"/>
      <c r="G22" s="1"/>
      <c r="H22" s="1"/>
      <c r="I22" s="1"/>
      <c r="J22" s="1"/>
      <c r="K22" s="1"/>
    </row>
    <row r="23" spans="1:11" ht="32">
      <c r="A23" s="3" t="s">
        <v>156</v>
      </c>
      <c r="B23" s="7"/>
      <c r="C23" s="7"/>
      <c r="D23" s="3" t="s">
        <v>157</v>
      </c>
      <c r="E23" s="1"/>
      <c r="F23" s="1"/>
      <c r="G23" s="1"/>
      <c r="H23" s="1"/>
      <c r="I23" s="1"/>
      <c r="J23" s="1"/>
      <c r="K23" s="1"/>
    </row>
    <row r="24" spans="1:11" ht="32">
      <c r="A24" s="3" t="s">
        <v>158</v>
      </c>
      <c r="B24" s="7"/>
      <c r="C24" s="7"/>
      <c r="D24" s="3" t="s">
        <v>159</v>
      </c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15">
    <mergeCell ref="B14:H14"/>
    <mergeCell ref="B15:H15"/>
    <mergeCell ref="B16:H16"/>
    <mergeCell ref="B17:H17"/>
    <mergeCell ref="A20:H20"/>
    <mergeCell ref="B7:H7"/>
    <mergeCell ref="B8:H8"/>
    <mergeCell ref="B9:H9"/>
    <mergeCell ref="B10:H10"/>
    <mergeCell ref="A13:H13"/>
    <mergeCell ref="A1:H1"/>
    <mergeCell ref="A2:H2"/>
    <mergeCell ref="A4:H4"/>
    <mergeCell ref="B5:H5"/>
    <mergeCell ref="B6:H6"/>
  </mergeCells>
  <dataValidations count="1">
    <dataValidation type="list" sqref="B22:B24" xr:uid="{00000000-0002-0000-0300-000000000000}">
      <formula1>"Yes,Not yet"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0"/>
  <sheetViews>
    <sheetView showGridLines="0" workbookViewId="0"/>
  </sheetViews>
  <sheetFormatPr baseColWidth="10" defaultColWidth="8.83203125" defaultRowHeight="14"/>
  <cols>
    <col min="1" max="1" width="24" customWidth="1"/>
    <col min="2" max="2" width="45" customWidth="1"/>
    <col min="3" max="3" width="52" customWidth="1"/>
    <col min="4" max="4" width="45" customWidth="1"/>
    <col min="5" max="5" width="18" customWidth="1"/>
  </cols>
  <sheetData>
    <row r="1" spans="1:11" ht="34" customHeight="1">
      <c r="A1" s="51" t="s">
        <v>160</v>
      </c>
      <c r="B1" s="51"/>
      <c r="C1" s="51"/>
      <c r="D1" s="51"/>
      <c r="E1" s="1"/>
      <c r="F1" s="1"/>
      <c r="G1" s="1"/>
      <c r="H1" s="1"/>
      <c r="I1" s="1"/>
      <c r="J1" s="1"/>
      <c r="K1" s="1"/>
    </row>
    <row r="2" spans="1:11" ht="24" customHeight="1">
      <c r="A2" s="52" t="s">
        <v>161</v>
      </c>
      <c r="B2" s="52"/>
      <c r="C2" s="52"/>
      <c r="D2" s="52"/>
      <c r="E2" s="1"/>
      <c r="F2" s="1"/>
      <c r="G2" s="1"/>
      <c r="H2" s="1"/>
      <c r="I2" s="1"/>
      <c r="J2" s="1"/>
      <c r="K2" s="1"/>
    </row>
    <row r="3" spans="1:11" ht="1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30" customHeight="1">
      <c r="A4" s="2" t="s">
        <v>162</v>
      </c>
      <c r="B4" s="2" t="s">
        <v>163</v>
      </c>
      <c r="C4" s="2" t="s">
        <v>164</v>
      </c>
      <c r="D4" s="2" t="s">
        <v>165</v>
      </c>
      <c r="E4" s="1"/>
      <c r="F4" s="1"/>
      <c r="G4" s="1"/>
      <c r="H4" s="1"/>
      <c r="I4" s="1"/>
      <c r="J4" s="1"/>
      <c r="K4" s="1"/>
    </row>
    <row r="5" spans="1:11" ht="42" customHeight="1">
      <c r="A5" s="3" t="s">
        <v>32</v>
      </c>
      <c r="B5" s="26" t="s">
        <v>166</v>
      </c>
      <c r="C5" s="3" t="s">
        <v>167</v>
      </c>
      <c r="D5" s="3" t="s">
        <v>168</v>
      </c>
      <c r="E5" s="1"/>
      <c r="F5" s="1"/>
      <c r="G5" s="1"/>
      <c r="H5" s="1"/>
      <c r="I5" s="1"/>
      <c r="J5" s="1"/>
      <c r="K5" s="1"/>
    </row>
    <row r="6" spans="1:11" ht="42" customHeight="1">
      <c r="A6" s="3" t="s">
        <v>169</v>
      </c>
      <c r="B6" s="26" t="s">
        <v>170</v>
      </c>
      <c r="C6" s="3" t="s">
        <v>171</v>
      </c>
      <c r="D6" s="3" t="s">
        <v>172</v>
      </c>
      <c r="E6" s="1"/>
      <c r="F6" s="1"/>
      <c r="G6" s="1"/>
      <c r="H6" s="1"/>
      <c r="I6" s="1"/>
      <c r="J6" s="1"/>
      <c r="K6" s="1"/>
    </row>
    <row r="7" spans="1:11" ht="42" customHeight="1">
      <c r="A7" s="3" t="s">
        <v>89</v>
      </c>
      <c r="B7" s="26" t="s">
        <v>239</v>
      </c>
      <c r="C7" s="3" t="s">
        <v>240</v>
      </c>
      <c r="D7" s="3" t="s">
        <v>173</v>
      </c>
      <c r="E7" s="1"/>
      <c r="F7" s="1"/>
      <c r="G7" s="1"/>
      <c r="H7" s="1"/>
      <c r="I7" s="1"/>
      <c r="J7" s="1"/>
      <c r="K7" s="1"/>
    </row>
    <row r="8" spans="1:11" ht="42" customHeight="1">
      <c r="A8" s="3" t="s">
        <v>113</v>
      </c>
      <c r="B8" s="26" t="s">
        <v>174</v>
      </c>
      <c r="C8" s="3" t="s">
        <v>175</v>
      </c>
      <c r="D8" s="3" t="s">
        <v>176</v>
      </c>
      <c r="E8" s="1"/>
      <c r="F8" s="1"/>
      <c r="G8" s="1"/>
      <c r="H8" s="1"/>
      <c r="I8" s="1"/>
      <c r="J8" s="1"/>
      <c r="K8" s="1"/>
    </row>
    <row r="9" spans="1:11" ht="42" customHeight="1">
      <c r="A9" s="3" t="s">
        <v>36</v>
      </c>
      <c r="B9" s="26" t="s">
        <v>177</v>
      </c>
      <c r="C9" s="3" t="s">
        <v>178</v>
      </c>
      <c r="D9" s="3" t="s">
        <v>179</v>
      </c>
      <c r="E9" s="1"/>
      <c r="F9" s="1"/>
      <c r="G9" s="1"/>
      <c r="H9" s="1"/>
      <c r="I9" s="1"/>
      <c r="J9" s="1"/>
      <c r="K9" s="1"/>
    </row>
    <row r="10" spans="1:11" ht="42" customHeight="1">
      <c r="A10" s="3" t="s">
        <v>116</v>
      </c>
      <c r="B10" s="26" t="s">
        <v>180</v>
      </c>
      <c r="C10" s="3" t="s">
        <v>181</v>
      </c>
      <c r="D10" s="3" t="s">
        <v>182</v>
      </c>
      <c r="E10" s="1"/>
      <c r="F10" s="1"/>
      <c r="G10" s="1"/>
      <c r="H10" s="1"/>
      <c r="I10" s="1"/>
      <c r="J10" s="1"/>
      <c r="K10" s="1"/>
    </row>
    <row r="11" spans="1:11" ht="42" customHeight="1">
      <c r="A11" s="3" t="s">
        <v>118</v>
      </c>
      <c r="B11" s="26" t="s">
        <v>183</v>
      </c>
      <c r="C11" s="3" t="s">
        <v>184</v>
      </c>
      <c r="D11" s="3" t="s">
        <v>185</v>
      </c>
      <c r="E11" s="1"/>
      <c r="F11" s="1"/>
      <c r="G11" s="1"/>
      <c r="H11" s="1"/>
      <c r="I11" s="1"/>
      <c r="J11" s="1"/>
      <c r="K11" s="1"/>
    </row>
    <row r="12" spans="1:11" ht="42" customHeight="1">
      <c r="A12" s="3" t="s">
        <v>186</v>
      </c>
      <c r="B12" s="26" t="s">
        <v>187</v>
      </c>
      <c r="C12" s="3" t="s">
        <v>188</v>
      </c>
      <c r="D12" s="3" t="s">
        <v>189</v>
      </c>
      <c r="E12" s="1"/>
      <c r="F12" s="1"/>
      <c r="G12" s="1"/>
      <c r="H12" s="1"/>
      <c r="I12" s="1"/>
      <c r="J12" s="1"/>
      <c r="K12" s="1"/>
    </row>
    <row r="13" spans="1:11" ht="42" customHeight="1">
      <c r="A13" s="3" t="s">
        <v>190</v>
      </c>
      <c r="B13" s="26" t="s">
        <v>191</v>
      </c>
      <c r="C13" s="3" t="s">
        <v>192</v>
      </c>
      <c r="D13" s="3" t="s">
        <v>193</v>
      </c>
      <c r="E13" s="1"/>
      <c r="F13" s="1"/>
      <c r="G13" s="1"/>
      <c r="H13" s="1"/>
      <c r="I13" s="1"/>
      <c r="J13" s="1"/>
      <c r="K13" s="1"/>
    </row>
    <row r="14" spans="1:11" ht="42" customHeight="1">
      <c r="A14" s="3" t="s">
        <v>134</v>
      </c>
      <c r="B14" s="26" t="s">
        <v>194</v>
      </c>
      <c r="C14" s="3" t="s">
        <v>195</v>
      </c>
      <c r="D14" s="3" t="s">
        <v>196</v>
      </c>
      <c r="E14" s="1"/>
      <c r="F14" s="1"/>
      <c r="G14" s="1"/>
      <c r="H14" s="1"/>
      <c r="I14" s="1"/>
      <c r="J14" s="1"/>
      <c r="K14" s="1"/>
    </row>
    <row r="15" spans="1:11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24" customHeight="1">
      <c r="A17" s="54" t="s">
        <v>197</v>
      </c>
      <c r="B17" s="54" t="s">
        <v>197</v>
      </c>
      <c r="C17" s="54" t="s">
        <v>197</v>
      </c>
      <c r="D17" s="54" t="s">
        <v>197</v>
      </c>
      <c r="E17" s="1"/>
      <c r="F17" s="1"/>
      <c r="G17" s="1"/>
      <c r="H17" s="1"/>
      <c r="I17" s="1"/>
      <c r="J17" s="1"/>
      <c r="K17" s="1"/>
    </row>
    <row r="18" spans="1:11" ht="16">
      <c r="A18" s="3" t="s">
        <v>198</v>
      </c>
      <c r="B18" s="3" t="s">
        <v>199</v>
      </c>
      <c r="C18" s="3" t="s">
        <v>200</v>
      </c>
      <c r="D18" s="3" t="s">
        <v>201</v>
      </c>
      <c r="E18" s="1"/>
      <c r="F18" s="1"/>
      <c r="G18" s="1"/>
      <c r="H18" s="1"/>
      <c r="I18" s="1"/>
      <c r="J18" s="1"/>
      <c r="K18" s="1"/>
    </row>
    <row r="19" spans="1:11" ht="16">
      <c r="A19" s="3" t="s">
        <v>202</v>
      </c>
      <c r="B19" s="3" t="s">
        <v>203</v>
      </c>
      <c r="C19" s="3" t="s">
        <v>204</v>
      </c>
      <c r="D19" s="3" t="s">
        <v>205</v>
      </c>
      <c r="E19" s="1"/>
      <c r="F19" s="1"/>
      <c r="G19" s="1"/>
      <c r="H19" s="1"/>
      <c r="I19" s="1"/>
      <c r="J19" s="1"/>
      <c r="K19" s="1"/>
    </row>
    <row r="20" spans="1:11" ht="16">
      <c r="A20" s="3" t="s">
        <v>206</v>
      </c>
      <c r="B20" s="3" t="s">
        <v>207</v>
      </c>
      <c r="C20" s="3" t="s">
        <v>208</v>
      </c>
      <c r="D20" s="3" t="s">
        <v>209</v>
      </c>
      <c r="E20" s="1"/>
      <c r="F20" s="1"/>
      <c r="G20" s="1"/>
      <c r="H20" s="1"/>
      <c r="I20" s="1"/>
      <c r="J20" s="1"/>
      <c r="K20" s="1"/>
    </row>
    <row r="21" spans="1:11" ht="16">
      <c r="A21" s="3" t="s">
        <v>210</v>
      </c>
      <c r="B21" s="3" t="s">
        <v>211</v>
      </c>
      <c r="C21" s="3" t="s">
        <v>212</v>
      </c>
      <c r="D21" s="3" t="s">
        <v>213</v>
      </c>
      <c r="E21" s="1"/>
      <c r="F21" s="1"/>
      <c r="G21" s="1"/>
      <c r="H21" s="1"/>
      <c r="I21" s="1"/>
      <c r="J21" s="1"/>
      <c r="K21" s="1"/>
    </row>
    <row r="22" spans="1:11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48" customHeight="1">
      <c r="A24" s="27" t="s">
        <v>241</v>
      </c>
      <c r="B24" s="68" t="s">
        <v>242</v>
      </c>
      <c r="C24" s="68"/>
      <c r="D24" s="68"/>
      <c r="E24" s="1"/>
      <c r="F24" s="1"/>
      <c r="G24" s="1"/>
      <c r="H24" s="1"/>
      <c r="I24" s="1"/>
      <c r="J24" s="1"/>
      <c r="K24" s="1"/>
    </row>
    <row r="25" spans="1:11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</sheetData>
  <mergeCells count="4">
    <mergeCell ref="A1:D1"/>
    <mergeCell ref="A2:D2"/>
    <mergeCell ref="A17:D17"/>
    <mergeCell ref="B24:D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6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4"/>
  <cols>
    <col min="1" max="1" width="22.83203125" customWidth="1"/>
    <col min="2" max="2" width="10" customWidth="1"/>
    <col min="3" max="4" width="11.6640625" customWidth="1"/>
    <col min="5" max="5" width="15.5" customWidth="1"/>
    <col min="6" max="6" width="11.6640625" customWidth="1"/>
    <col min="7" max="7" width="16.1640625" customWidth="1"/>
    <col min="8" max="8" width="32.1640625" customWidth="1"/>
  </cols>
  <sheetData>
    <row r="1" spans="1:8" ht="35" customHeight="1">
      <c r="A1" s="69" t="s">
        <v>243</v>
      </c>
      <c r="B1" s="69"/>
      <c r="C1" s="69"/>
      <c r="D1" s="69"/>
      <c r="E1" s="69"/>
      <c r="F1" s="69"/>
      <c r="G1" s="69"/>
      <c r="H1" s="69"/>
    </row>
    <row r="2" spans="1:8" ht="36" customHeight="1">
      <c r="A2" s="70" t="s">
        <v>244</v>
      </c>
      <c r="B2" s="70"/>
      <c r="C2" s="70"/>
      <c r="D2" s="70"/>
      <c r="E2" s="70"/>
      <c r="F2" s="70"/>
      <c r="G2" s="70"/>
      <c r="H2" s="70"/>
    </row>
    <row r="3" spans="1:8" ht="29" customHeight="1">
      <c r="A3" s="28"/>
      <c r="B3" s="28"/>
      <c r="C3" s="28"/>
      <c r="D3" s="28"/>
      <c r="E3" s="28"/>
      <c r="F3" s="28"/>
      <c r="G3" s="28"/>
      <c r="H3" s="28"/>
    </row>
    <row r="4" spans="1:8" ht="35" customHeight="1">
      <c r="A4" s="69" t="s">
        <v>245</v>
      </c>
      <c r="B4" s="69"/>
      <c r="C4" s="69"/>
      <c r="D4" s="69"/>
      <c r="E4" s="69"/>
      <c r="F4" s="69"/>
      <c r="G4" s="69"/>
      <c r="H4" s="69"/>
    </row>
    <row r="5" spans="1:8" ht="42" customHeight="1">
      <c r="A5" s="30" t="s">
        <v>246</v>
      </c>
      <c r="B5" s="30" t="s">
        <v>247</v>
      </c>
      <c r="C5" s="30" t="s">
        <v>248</v>
      </c>
      <c r="D5" s="30" t="s">
        <v>39</v>
      </c>
      <c r="E5" s="30" t="s">
        <v>249</v>
      </c>
      <c r="F5" s="30" t="s">
        <v>250</v>
      </c>
      <c r="G5" s="30" t="s">
        <v>251</v>
      </c>
      <c r="H5" s="30" t="s">
        <v>252</v>
      </c>
    </row>
    <row r="6" spans="1:8" ht="29" customHeight="1">
      <c r="A6" s="28" t="str">
        <f>'Raw Data'!A6</f>
        <v>Beginning inventory</v>
      </c>
      <c r="B6" s="37">
        <f>'Raw Data'!B6</f>
        <v>8</v>
      </c>
      <c r="C6" s="33">
        <f>'Raw Data'!C6</f>
        <v>205</v>
      </c>
      <c r="D6" s="40"/>
      <c r="E6" s="34"/>
      <c r="F6" s="40"/>
      <c r="G6" s="34"/>
      <c r="H6" s="28" t="s">
        <v>253</v>
      </c>
    </row>
    <row r="7" spans="1:8" ht="29" customHeight="1">
      <c r="A7" s="28" t="str">
        <f>'Raw Data'!A7</f>
        <v>March purchase</v>
      </c>
      <c r="B7" s="37">
        <f>'Raw Data'!B7</f>
        <v>12</v>
      </c>
      <c r="C7" s="33">
        <f>'Raw Data'!C7</f>
        <v>232</v>
      </c>
      <c r="D7" s="40"/>
      <c r="E7" s="34"/>
      <c r="F7" s="40"/>
      <c r="G7" s="34"/>
      <c r="H7" s="28" t="s">
        <v>254</v>
      </c>
    </row>
    <row r="8" spans="1:8" ht="29" customHeight="1">
      <c r="A8" s="28" t="str">
        <f>'Raw Data'!A8</f>
        <v>April purchase</v>
      </c>
      <c r="B8" s="37">
        <f>'Raw Data'!B8</f>
        <v>10</v>
      </c>
      <c r="C8" s="33">
        <f>'Raw Data'!C8</f>
        <v>258</v>
      </c>
      <c r="D8" s="40"/>
      <c r="E8" s="34"/>
      <c r="F8" s="40"/>
      <c r="G8" s="34"/>
      <c r="H8" s="28" t="s">
        <v>255</v>
      </c>
    </row>
    <row r="9" spans="1:8" ht="29" customHeight="1">
      <c r="A9" s="32" t="s">
        <v>73</v>
      </c>
      <c r="B9" s="38">
        <f>SUM(B6:B8)</f>
        <v>30</v>
      </c>
      <c r="C9" s="32"/>
      <c r="D9" s="41"/>
      <c r="E9" s="35"/>
      <c r="F9" s="41"/>
      <c r="G9" s="35"/>
      <c r="H9" s="32" t="str">
        <f>IF(COUNT(D6:G9)&lt;16,"TRY FIRST",IF(NOT(AND(D6=MIN(B6,B11),D7=MIN(B7,MAX(0,B11-D6)),D8=MAX(0,B11-SUM(D6:D7)))),"REVIEW: oldest units first",IF(AND(E6=D6*C6,F6=B6-D6,G6=F6*C6,E7=D7*C7,F7=B7-D7,G7=F7*C7,E8=D8*C8,F8=B8-D8,G8=F8*C8,D9=SUM(D6:D8),E9=SUM(E6:E8),F9=SUM(F6:F8),G9=SUM(G6:G8),D9=B11,D9+F9=B9,E9+G9=SUMPRODUCT(B6:B8,C6:C8)),"PASS: explain the units","REVIEW: units or costs")))</f>
        <v>TRY FIRST</v>
      </c>
    </row>
    <row r="10" spans="1:8" ht="29" customHeight="1">
      <c r="A10" s="28"/>
      <c r="B10" s="39"/>
      <c r="C10" s="28"/>
      <c r="D10" s="39"/>
      <c r="E10" s="36"/>
      <c r="F10" s="39"/>
      <c r="G10" s="36"/>
      <c r="H10" s="28"/>
    </row>
    <row r="11" spans="1:8" ht="29" customHeight="1">
      <c r="A11" s="28" t="s">
        <v>256</v>
      </c>
      <c r="B11" s="37">
        <f>'Raw Data'!B12</f>
        <v>19</v>
      </c>
      <c r="C11" s="28"/>
      <c r="D11" s="39"/>
      <c r="E11" s="36"/>
      <c r="F11" s="39"/>
      <c r="G11" s="36"/>
      <c r="H11" s="28"/>
    </row>
    <row r="12" spans="1:8" ht="29" customHeight="1">
      <c r="A12" s="28" t="s">
        <v>257</v>
      </c>
      <c r="B12" s="39">
        <f>B9</f>
        <v>30</v>
      </c>
      <c r="C12" s="28"/>
      <c r="D12" s="39"/>
      <c r="E12" s="36"/>
      <c r="F12" s="39"/>
      <c r="G12" s="36"/>
      <c r="H12" s="28"/>
    </row>
    <row r="13" spans="1:8" ht="29" customHeight="1">
      <c r="A13" s="28"/>
      <c r="B13" s="28"/>
      <c r="C13" s="28"/>
      <c r="D13" s="28"/>
      <c r="E13" s="36"/>
      <c r="F13" s="28"/>
      <c r="G13" s="36"/>
      <c r="H13" s="28"/>
    </row>
    <row r="14" spans="1:8" ht="29" customHeight="1">
      <c r="A14" s="28" t="s">
        <v>69</v>
      </c>
      <c r="B14" s="28"/>
      <c r="C14" s="28"/>
      <c r="D14" s="28"/>
      <c r="E14" s="36" t="str">
        <f>IF(COUNT(D6:G9)&lt;16,"",E9)</f>
        <v/>
      </c>
      <c r="F14" s="28"/>
      <c r="G14" s="36"/>
      <c r="H14" s="28"/>
    </row>
    <row r="15" spans="1:8" ht="29" customHeight="1">
      <c r="A15" s="28" t="s">
        <v>71</v>
      </c>
      <c r="B15" s="28"/>
      <c r="C15" s="28"/>
      <c r="D15" s="28"/>
      <c r="E15" s="36" t="str">
        <f>IF(COUNT(D6:G9)&lt;16,"",G9)</f>
        <v/>
      </c>
      <c r="F15" s="28"/>
      <c r="G15" s="36"/>
      <c r="H15" s="28"/>
    </row>
    <row r="16" spans="1:8" ht="29" customHeight="1">
      <c r="A16" s="28"/>
      <c r="B16" s="28"/>
      <c r="C16" s="28"/>
      <c r="D16" s="28"/>
      <c r="E16" s="28"/>
      <c r="F16" s="28"/>
      <c r="G16" s="28"/>
      <c r="H16" s="28"/>
    </row>
    <row r="17" spans="1:8" ht="36" customHeight="1">
      <c r="A17" s="70" t="s">
        <v>258</v>
      </c>
      <c r="B17" s="70"/>
      <c r="C17" s="70"/>
      <c r="D17" s="70"/>
      <c r="E17" s="70"/>
      <c r="F17" s="70"/>
      <c r="G17" s="70"/>
      <c r="H17" s="70"/>
    </row>
    <row r="18" spans="1:8" ht="29" customHeight="1">
      <c r="A18" s="28"/>
      <c r="B18" s="28"/>
      <c r="C18" s="28"/>
      <c r="D18" s="28"/>
      <c r="E18" s="28"/>
      <c r="F18" s="28"/>
      <c r="G18" s="28"/>
      <c r="H18" s="28"/>
    </row>
    <row r="19" spans="1:8" ht="29" customHeight="1">
      <c r="A19" s="28"/>
      <c r="B19" s="28"/>
      <c r="C19" s="28"/>
      <c r="D19" s="28"/>
      <c r="E19" s="28"/>
      <c r="F19" s="28"/>
      <c r="G19" s="28"/>
      <c r="H19" s="28"/>
    </row>
    <row r="20" spans="1:8" ht="35" customHeight="1">
      <c r="A20" s="69" t="s">
        <v>259</v>
      </c>
      <c r="B20" s="69"/>
      <c r="C20" s="69"/>
      <c r="D20" s="69"/>
      <c r="E20" s="69"/>
      <c r="F20" s="69"/>
      <c r="G20" s="69"/>
      <c r="H20" s="69"/>
    </row>
    <row r="21" spans="1:8" ht="42" customHeight="1">
      <c r="A21" s="30" t="s">
        <v>246</v>
      </c>
      <c r="B21" s="30" t="s">
        <v>247</v>
      </c>
      <c r="C21" s="30" t="s">
        <v>248</v>
      </c>
      <c r="D21" s="30" t="s">
        <v>39</v>
      </c>
      <c r="E21" s="30" t="s">
        <v>249</v>
      </c>
      <c r="F21" s="30" t="s">
        <v>250</v>
      </c>
      <c r="G21" s="30" t="s">
        <v>251</v>
      </c>
      <c r="H21" s="30" t="s">
        <v>252</v>
      </c>
    </row>
    <row r="22" spans="1:8" ht="29" customHeight="1">
      <c r="A22" s="28" t="str">
        <f>'Raw Data'!A6</f>
        <v>Beginning inventory</v>
      </c>
      <c r="B22" s="37">
        <f>'Raw Data'!B6</f>
        <v>8</v>
      </c>
      <c r="C22" s="33">
        <f>'Raw Data'!C6</f>
        <v>205</v>
      </c>
      <c r="D22" s="40"/>
      <c r="E22" s="34"/>
      <c r="F22" s="40"/>
      <c r="G22" s="34"/>
      <c r="H22" s="28" t="s">
        <v>260</v>
      </c>
    </row>
    <row r="23" spans="1:8" ht="29" customHeight="1">
      <c r="A23" s="28" t="str">
        <f>'Raw Data'!A7</f>
        <v>March purchase</v>
      </c>
      <c r="B23" s="37">
        <f>'Raw Data'!B7</f>
        <v>12</v>
      </c>
      <c r="C23" s="33">
        <f>'Raw Data'!C7</f>
        <v>232</v>
      </c>
      <c r="D23" s="40"/>
      <c r="E23" s="34"/>
      <c r="F23" s="40"/>
      <c r="G23" s="34"/>
      <c r="H23" s="28" t="s">
        <v>260</v>
      </c>
    </row>
    <row r="24" spans="1:8" ht="29" customHeight="1">
      <c r="A24" s="28" t="str">
        <f>'Raw Data'!A8</f>
        <v>April purchase</v>
      </c>
      <c r="B24" s="37">
        <f>'Raw Data'!B8</f>
        <v>10</v>
      </c>
      <c r="C24" s="33">
        <f>'Raw Data'!C8</f>
        <v>258</v>
      </c>
      <c r="D24" s="40"/>
      <c r="E24" s="34"/>
      <c r="F24" s="40"/>
      <c r="G24" s="34"/>
      <c r="H24" s="28" t="s">
        <v>260</v>
      </c>
    </row>
    <row r="25" spans="1:8" ht="29" customHeight="1">
      <c r="A25" s="32" t="s">
        <v>73</v>
      </c>
      <c r="B25" s="38">
        <f>SUM(B22:B24)</f>
        <v>30</v>
      </c>
      <c r="C25" s="32"/>
      <c r="D25" s="41"/>
      <c r="E25" s="35"/>
      <c r="F25" s="41"/>
      <c r="G25" s="35"/>
      <c r="H25" s="32" t="str">
        <f>IF(COUNT(D22:G25)&lt;16,"TRY FIRST",IF(NOT(AND(D22=MIN(B22,B27),D23=MIN(B23,MAX(0,B27-D22)),D24=MAX(0,B27-SUM(D22:D23)))),"REVIEW: oldest units first",IF(AND(E22=D22*C22,F22=B22-D22,G22=F22*C22,E23=D23*C23,F23=B23-D23,G23=F23*C23,E24=D24*C24,F24=B24-D24,G24=F24*C24,D25=SUM(D22:D24),E25=SUM(E22:E24),F25=SUM(F22:F24),G25=SUM(G22:G24),D25=B27,D25+F25=B25,E25+G25=SUMPRODUCT(B22:B24,C22:C24)),"PASS: explain the units","REVIEW: units or costs")))</f>
        <v>TRY FIRST</v>
      </c>
    </row>
    <row r="26" spans="1:8" ht="29" customHeight="1">
      <c r="A26" s="28"/>
      <c r="B26" s="39"/>
      <c r="C26" s="28"/>
      <c r="D26" s="39"/>
      <c r="E26" s="36"/>
      <c r="F26" s="39"/>
      <c r="G26" s="36"/>
      <c r="H26" s="28"/>
    </row>
    <row r="27" spans="1:8" ht="29" customHeight="1">
      <c r="A27" s="28" t="s">
        <v>256</v>
      </c>
      <c r="B27" s="37">
        <v>21</v>
      </c>
      <c r="C27" s="28"/>
      <c r="D27" s="39"/>
      <c r="E27" s="36"/>
      <c r="F27" s="39"/>
      <c r="G27" s="36"/>
      <c r="H27" s="28"/>
    </row>
    <row r="28" spans="1:8" ht="29" customHeight="1">
      <c r="A28" s="28" t="s">
        <v>257</v>
      </c>
      <c r="B28" s="39">
        <f>B25</f>
        <v>30</v>
      </c>
      <c r="C28" s="28"/>
      <c r="D28" s="39"/>
      <c r="E28" s="36"/>
      <c r="F28" s="39"/>
      <c r="G28" s="36"/>
      <c r="H28" s="28"/>
    </row>
    <row r="29" spans="1:8" ht="29" customHeight="1">
      <c r="A29" s="28"/>
      <c r="B29" s="28"/>
      <c r="C29" s="28"/>
      <c r="D29" s="28"/>
      <c r="E29" s="36"/>
      <c r="F29" s="28"/>
      <c r="G29" s="36"/>
      <c r="H29" s="28"/>
    </row>
    <row r="30" spans="1:8" ht="29" customHeight="1">
      <c r="A30" s="28" t="s">
        <v>69</v>
      </c>
      <c r="B30" s="28"/>
      <c r="C30" s="28"/>
      <c r="D30" s="28"/>
      <c r="E30" s="36" t="str">
        <f>IF(COUNT(D22:G25)&lt;16,"",E25)</f>
        <v/>
      </c>
      <c r="F30" s="28"/>
      <c r="G30" s="36"/>
      <c r="H30" s="28"/>
    </row>
    <row r="31" spans="1:8" ht="29" customHeight="1">
      <c r="A31" s="28" t="s">
        <v>71</v>
      </c>
      <c r="B31" s="28"/>
      <c r="C31" s="28"/>
      <c r="D31" s="28"/>
      <c r="E31" s="36" t="str">
        <f>IF(COUNT(D22:G25)&lt;16,"",G25)</f>
        <v/>
      </c>
      <c r="F31" s="28"/>
      <c r="G31" s="36"/>
      <c r="H31" s="28"/>
    </row>
    <row r="32" spans="1:8" ht="29" customHeight="1">
      <c r="A32" s="28"/>
      <c r="B32" s="28"/>
      <c r="C32" s="28"/>
      <c r="D32" s="28"/>
      <c r="E32" s="28"/>
      <c r="F32" s="28"/>
      <c r="G32" s="28"/>
      <c r="H32" s="28"/>
    </row>
    <row r="33" spans="1:8" ht="36" customHeight="1">
      <c r="A33" s="70" t="s">
        <v>261</v>
      </c>
      <c r="B33" s="70"/>
      <c r="C33" s="70"/>
      <c r="D33" s="70"/>
      <c r="E33" s="70"/>
      <c r="F33" s="70"/>
      <c r="G33" s="70"/>
      <c r="H33" s="70"/>
    </row>
    <row r="34" spans="1:8" ht="29" customHeight="1">
      <c r="A34" s="28"/>
      <c r="B34" s="28"/>
      <c r="C34" s="28"/>
      <c r="D34" s="28"/>
      <c r="E34" s="28"/>
      <c r="F34" s="28"/>
      <c r="G34" s="28"/>
      <c r="H34" s="28"/>
    </row>
    <row r="35" spans="1:8" ht="29" customHeight="1">
      <c r="A35" s="28"/>
      <c r="B35" s="28"/>
      <c r="C35" s="28"/>
      <c r="D35" s="28"/>
      <c r="E35" s="28"/>
      <c r="F35" s="28"/>
      <c r="G35" s="28"/>
      <c r="H35" s="28"/>
    </row>
    <row r="36" spans="1:8" ht="35" customHeight="1">
      <c r="A36" s="69" t="s">
        <v>262</v>
      </c>
      <c r="B36" s="69"/>
      <c r="C36" s="69"/>
      <c r="D36" s="69"/>
      <c r="E36" s="69"/>
      <c r="F36" s="69"/>
      <c r="G36" s="69"/>
      <c r="H36" s="69"/>
    </row>
    <row r="37" spans="1:8" ht="36" customHeight="1">
      <c r="A37" s="70" t="s">
        <v>263</v>
      </c>
      <c r="B37" s="70"/>
      <c r="C37" s="70"/>
      <c r="D37" s="70"/>
      <c r="E37" s="70"/>
      <c r="F37" s="70"/>
      <c r="G37" s="70"/>
      <c r="H37" s="70"/>
    </row>
    <row r="38" spans="1:8" ht="29" customHeight="1">
      <c r="A38" s="28"/>
      <c r="B38" s="28"/>
      <c r="C38" s="28"/>
      <c r="D38" s="28"/>
      <c r="E38" s="28"/>
      <c r="F38" s="28"/>
      <c r="G38" s="28"/>
      <c r="H38" s="28"/>
    </row>
    <row r="39" spans="1:8" ht="29" customHeight="1">
      <c r="A39" s="29" t="s">
        <v>75</v>
      </c>
      <c r="B39" s="29" t="s">
        <v>264</v>
      </c>
      <c r="C39" s="29"/>
      <c r="D39" s="29"/>
      <c r="E39" s="29" t="s">
        <v>265</v>
      </c>
      <c r="F39" s="29" t="s">
        <v>266</v>
      </c>
      <c r="G39" s="29"/>
      <c r="H39" s="29" t="s">
        <v>252</v>
      </c>
    </row>
    <row r="40" spans="1:8" ht="29" customHeight="1">
      <c r="A40" s="28" t="s">
        <v>267</v>
      </c>
      <c r="B40" s="42">
        <f>SUM('Raw Data'!D6:D8)</f>
        <v>7004</v>
      </c>
      <c r="C40" s="28" t="s">
        <v>268</v>
      </c>
      <c r="D40" s="28"/>
      <c r="E40" s="34"/>
      <c r="F40" s="34"/>
      <c r="G40" s="28"/>
      <c r="H40" s="28" t="s">
        <v>269</v>
      </c>
    </row>
    <row r="41" spans="1:8" ht="29" customHeight="1">
      <c r="A41" s="28" t="s">
        <v>270</v>
      </c>
      <c r="B41" s="31">
        <f>SUM('Raw Data'!B6:B8)</f>
        <v>30</v>
      </c>
      <c r="C41" s="28" t="s">
        <v>271</v>
      </c>
      <c r="D41" s="28"/>
      <c r="E41" s="34"/>
      <c r="F41" s="34"/>
      <c r="G41" s="28"/>
      <c r="H41" s="28" t="s">
        <v>272</v>
      </c>
    </row>
    <row r="42" spans="1:8" ht="29" customHeight="1">
      <c r="A42" s="28" t="s">
        <v>71</v>
      </c>
      <c r="B42" s="28"/>
      <c r="C42" s="28"/>
      <c r="D42" s="28"/>
      <c r="E42" s="34"/>
      <c r="F42" s="34"/>
      <c r="G42" s="28"/>
      <c r="H42" s="28" t="s">
        <v>273</v>
      </c>
    </row>
    <row r="43" spans="1:8" ht="29" customHeight="1">
      <c r="A43" s="28"/>
      <c r="B43" s="28"/>
      <c r="C43" s="28"/>
      <c r="D43" s="28"/>
      <c r="E43" s="28"/>
      <c r="F43" s="28"/>
      <c r="G43" s="28"/>
      <c r="H43" s="28"/>
    </row>
    <row r="44" spans="1:8" ht="29" customHeight="1">
      <c r="A44" s="28"/>
      <c r="B44" s="28"/>
      <c r="C44" s="28"/>
      <c r="D44" s="28"/>
      <c r="E44" s="28"/>
      <c r="F44" s="28"/>
      <c r="G44" s="28"/>
      <c r="H44" s="28"/>
    </row>
    <row r="45" spans="1:8" ht="36" customHeight="1">
      <c r="A45" s="70" t="s">
        <v>274</v>
      </c>
      <c r="B45" s="70"/>
      <c r="C45" s="70"/>
      <c r="D45" s="70"/>
      <c r="E45" s="70"/>
      <c r="F45" s="70"/>
      <c r="G45" s="70"/>
      <c r="H45" s="70"/>
    </row>
    <row r="46" spans="1:8" ht="36" customHeight="1">
      <c r="A46" s="70" t="s">
        <v>275</v>
      </c>
      <c r="B46" s="70"/>
      <c r="C46" s="70"/>
      <c r="D46" s="70"/>
      <c r="E46" s="70"/>
      <c r="F46" s="70"/>
      <c r="G46" s="70"/>
      <c r="H46" s="70"/>
    </row>
    <row r="47" spans="1:8" ht="29" customHeight="1">
      <c r="A47" s="28"/>
      <c r="B47" s="28"/>
      <c r="C47" s="28"/>
      <c r="D47" s="28"/>
      <c r="E47" s="28"/>
      <c r="F47" s="28"/>
      <c r="G47" s="28"/>
      <c r="H47" s="28"/>
    </row>
    <row r="48" spans="1:8" ht="29" customHeight="1">
      <c r="A48" s="28"/>
      <c r="B48" s="28"/>
      <c r="C48" s="28"/>
      <c r="D48" s="28"/>
      <c r="E48" s="28"/>
      <c r="F48" s="28"/>
      <c r="G48" s="28"/>
      <c r="H48" s="28"/>
    </row>
    <row r="49" spans="1:8" ht="29" customHeight="1">
      <c r="A49" s="28"/>
      <c r="B49" s="28"/>
      <c r="C49" s="28"/>
      <c r="D49" s="28"/>
      <c r="E49" s="28"/>
      <c r="F49" s="28"/>
      <c r="G49" s="28"/>
      <c r="H49" s="28"/>
    </row>
    <row r="50" spans="1:8" ht="29" customHeight="1">
      <c r="A50" s="28"/>
      <c r="B50" s="28"/>
      <c r="C50" s="28"/>
      <c r="D50" s="28"/>
      <c r="E50" s="28"/>
      <c r="F50" s="28"/>
      <c r="G50" s="28"/>
      <c r="H50" s="28"/>
    </row>
    <row r="51" spans="1:8" ht="29" customHeight="1">
      <c r="A51" s="28"/>
      <c r="B51" s="28"/>
      <c r="C51" s="28"/>
      <c r="D51" s="28"/>
      <c r="E51" s="28"/>
      <c r="F51" s="28"/>
      <c r="G51" s="28"/>
      <c r="H51" s="28"/>
    </row>
    <row r="52" spans="1:8" ht="35" customHeight="1">
      <c r="A52" s="69" t="s">
        <v>276</v>
      </c>
      <c r="B52" s="69"/>
      <c r="C52" s="69"/>
      <c r="D52" s="69"/>
      <c r="E52" s="69"/>
      <c r="F52" s="69"/>
      <c r="G52" s="69"/>
      <c r="H52" s="69"/>
    </row>
    <row r="53" spans="1:8" ht="42" customHeight="1">
      <c r="A53" s="30" t="s">
        <v>246</v>
      </c>
      <c r="B53" s="30" t="s">
        <v>247</v>
      </c>
      <c r="C53" s="30" t="s">
        <v>248</v>
      </c>
      <c r="D53" s="30" t="s">
        <v>39</v>
      </c>
      <c r="E53" s="30" t="s">
        <v>249</v>
      </c>
      <c r="F53" s="30" t="s">
        <v>250</v>
      </c>
      <c r="G53" s="30" t="s">
        <v>251</v>
      </c>
      <c r="H53" s="30" t="s">
        <v>252</v>
      </c>
    </row>
    <row r="54" spans="1:8" ht="29" customHeight="1">
      <c r="A54" s="28" t="str">
        <f>'Raw Data'!A6</f>
        <v>Beginning inventory</v>
      </c>
      <c r="B54" s="37">
        <f>'Raw Data'!B6</f>
        <v>8</v>
      </c>
      <c r="C54" s="33">
        <f>'Raw Data'!C6</f>
        <v>205</v>
      </c>
      <c r="D54" s="40"/>
      <c r="E54" s="34"/>
      <c r="F54" s="40"/>
      <c r="G54" s="34"/>
      <c r="H54" s="28" t="s">
        <v>277</v>
      </c>
    </row>
    <row r="55" spans="1:8" ht="29" customHeight="1">
      <c r="A55" s="28" t="str">
        <f>'Raw Data'!A7</f>
        <v>March purchase</v>
      </c>
      <c r="B55" s="37">
        <f>'Raw Data'!B7</f>
        <v>12</v>
      </c>
      <c r="C55" s="33">
        <f>'Raw Data'!C7</f>
        <v>232</v>
      </c>
      <c r="D55" s="40"/>
      <c r="E55" s="34"/>
      <c r="F55" s="40"/>
      <c r="G55" s="34"/>
      <c r="H55" s="28" t="s">
        <v>278</v>
      </c>
    </row>
    <row r="56" spans="1:8" ht="29" customHeight="1">
      <c r="A56" s="28" t="str">
        <f>'Raw Data'!A8</f>
        <v>April purchase</v>
      </c>
      <c r="B56" s="37">
        <f>'Raw Data'!B8</f>
        <v>10</v>
      </c>
      <c r="C56" s="33">
        <f>'Raw Data'!C8</f>
        <v>258</v>
      </c>
      <c r="D56" s="40"/>
      <c r="E56" s="34"/>
      <c r="F56" s="40"/>
      <c r="G56" s="34"/>
      <c r="H56" s="28" t="s">
        <v>279</v>
      </c>
    </row>
    <row r="57" spans="1:8" ht="29" customHeight="1">
      <c r="A57" s="32" t="s">
        <v>73</v>
      </c>
      <c r="B57" s="38">
        <f>SUM(B54:B56)</f>
        <v>30</v>
      </c>
      <c r="C57" s="32"/>
      <c r="D57" s="41"/>
      <c r="E57" s="35"/>
      <c r="F57" s="41"/>
      <c r="G57" s="35"/>
      <c r="H57" s="32" t="str">
        <f>IF(COUNT(D54:G57)&lt;16,"TRY FIRST",IF(NOT(AND(D56=MIN(B56,B59),D55=MIN(B55,MAX(0,B59-D56)),D54=MAX(0,B59-SUM(D55:D56)))),"REVIEW: newest units first",IF(AND(E54=D54*C54,F54=B54-D54,G54=F54*C54,E55=D55*C55,F55=B55-D55,G55=F55*C55,E56=D56*C56,F56=B56-D56,G56=F56*C56,D57=SUM(D54:D56),E57=SUM(E54:E56),F57=SUM(F54:F56),G57=SUM(G54:G56),D57=B59,D57+F57=B57,E57+G57=SUMPRODUCT(B54:B56,C54:C56)),"PASS: explain the units","REVIEW: units or costs")))</f>
        <v>TRY FIRST</v>
      </c>
    </row>
    <row r="58" spans="1:8" ht="29" customHeight="1">
      <c r="A58" s="28"/>
      <c r="B58" s="39"/>
      <c r="C58" s="28"/>
      <c r="D58" s="39"/>
      <c r="E58" s="36"/>
      <c r="F58" s="39"/>
      <c r="G58" s="36"/>
      <c r="H58" s="28"/>
    </row>
    <row r="59" spans="1:8" ht="29" customHeight="1">
      <c r="A59" s="28" t="s">
        <v>256</v>
      </c>
      <c r="B59" s="37">
        <f>'Raw Data'!B12</f>
        <v>19</v>
      </c>
      <c r="C59" s="28"/>
      <c r="D59" s="39"/>
      <c r="E59" s="36"/>
      <c r="F59" s="39"/>
      <c r="G59" s="36"/>
      <c r="H59" s="28"/>
    </row>
    <row r="60" spans="1:8" ht="29" customHeight="1">
      <c r="A60" s="28" t="s">
        <v>257</v>
      </c>
      <c r="B60" s="39">
        <f>B57</f>
        <v>30</v>
      </c>
      <c r="C60" s="28"/>
      <c r="D60" s="39"/>
      <c r="E60" s="36"/>
      <c r="F60" s="39"/>
      <c r="G60" s="36"/>
      <c r="H60" s="28"/>
    </row>
    <row r="61" spans="1:8" ht="29" customHeight="1">
      <c r="A61" s="28"/>
      <c r="B61" s="28"/>
      <c r="C61" s="28"/>
      <c r="D61" s="28"/>
      <c r="E61" s="36"/>
      <c r="F61" s="28"/>
      <c r="G61" s="36"/>
      <c r="H61" s="28"/>
    </row>
    <row r="62" spans="1:8" ht="29" customHeight="1">
      <c r="A62" s="28" t="s">
        <v>280</v>
      </c>
      <c r="B62" s="28"/>
      <c r="C62" s="28"/>
      <c r="D62" s="28"/>
      <c r="E62" s="36" t="str">
        <f>IF(COUNT(D54:G57)&lt;16,"",E57)</f>
        <v/>
      </c>
      <c r="F62" s="28"/>
      <c r="G62" s="36"/>
      <c r="H62" s="28"/>
    </row>
    <row r="63" spans="1:8" ht="29" customHeight="1">
      <c r="A63" s="28" t="s">
        <v>71</v>
      </c>
      <c r="B63" s="28"/>
      <c r="C63" s="28"/>
      <c r="D63" s="28"/>
      <c r="E63" s="36" t="str">
        <f>IF(COUNT(D54:G57)&lt;16,"",G57)</f>
        <v/>
      </c>
      <c r="F63" s="28"/>
      <c r="G63" s="36"/>
      <c r="H63" s="28"/>
    </row>
    <row r="64" spans="1:8" ht="29" customHeight="1">
      <c r="A64" s="28"/>
      <c r="B64" s="28"/>
      <c r="C64" s="28"/>
      <c r="D64" s="28"/>
      <c r="E64" s="28"/>
      <c r="F64" s="28"/>
      <c r="G64" s="28"/>
      <c r="H64" s="28"/>
    </row>
    <row r="65" spans="1:8" ht="36" customHeight="1">
      <c r="A65" s="70" t="s">
        <v>281</v>
      </c>
      <c r="B65" s="70"/>
      <c r="C65" s="70"/>
      <c r="D65" s="70"/>
      <c r="E65" s="70"/>
      <c r="F65" s="70"/>
      <c r="G65" s="70"/>
      <c r="H65" s="70"/>
    </row>
    <row r="66" spans="1:8" ht="29" customHeight="1">
      <c r="A66" s="28"/>
      <c r="B66" s="28"/>
      <c r="C66" s="28"/>
      <c r="D66" s="28"/>
      <c r="E66" s="28"/>
      <c r="F66" s="28"/>
      <c r="G66" s="28"/>
      <c r="H66" s="28"/>
    </row>
    <row r="67" spans="1:8" ht="29" customHeight="1">
      <c r="A67" s="28"/>
      <c r="B67" s="28"/>
      <c r="C67" s="28"/>
      <c r="D67" s="28"/>
      <c r="E67" s="28"/>
      <c r="F67" s="28"/>
      <c r="G67" s="28"/>
      <c r="H67" s="28"/>
    </row>
    <row r="68" spans="1:8" ht="36" customHeight="1">
      <c r="A68" s="70" t="s">
        <v>282</v>
      </c>
      <c r="B68" s="70"/>
      <c r="C68" s="70"/>
      <c r="D68" s="70"/>
      <c r="E68" s="70"/>
      <c r="F68" s="70"/>
      <c r="G68" s="70"/>
      <c r="H68" s="70"/>
    </row>
    <row r="69" spans="1:8" ht="36" customHeight="1"/>
    <row r="70" spans="1:8" ht="36" customHeight="1"/>
    <row r="71" spans="1:8" ht="36" customHeight="1"/>
    <row r="72" spans="1:8" ht="36" customHeight="1"/>
    <row r="73" spans="1:8" ht="36" customHeight="1"/>
    <row r="74" spans="1:8" ht="36" customHeight="1"/>
    <row r="75" spans="1:8" ht="36" customHeight="1"/>
    <row r="76" spans="1:8" ht="36" customHeight="1"/>
  </sheetData>
  <mergeCells count="13">
    <mergeCell ref="A68:H68"/>
    <mergeCell ref="A33:H33"/>
    <mergeCell ref="A52:H52"/>
    <mergeCell ref="A65:H65"/>
    <mergeCell ref="A36:H36"/>
    <mergeCell ref="A37:H37"/>
    <mergeCell ref="A45:H45"/>
    <mergeCell ref="A46:H46"/>
    <mergeCell ref="A1:H1"/>
    <mergeCell ref="A2:H2"/>
    <mergeCell ref="A4:H4"/>
    <mergeCell ref="A17:H17"/>
    <mergeCell ref="A20:H20"/>
  </mergeCells>
  <conditionalFormatting sqref="H9">
    <cfRule type="expression" dxfId="9" priority="1">
      <formula>LEFT(H9,4)="PASS"</formula>
    </cfRule>
    <cfRule type="expression" dxfId="8" priority="2">
      <formula>LEFT(H9,6)="REVIEW"</formula>
    </cfRule>
    <cfRule type="expression" dxfId="7" priority="5">
      <formula>LEFT(H9,4)="PASS"</formula>
    </cfRule>
    <cfRule type="expression" dxfId="6" priority="6">
      <formula>LEFT(H9,6)="REVIEW"</formula>
    </cfRule>
  </conditionalFormatting>
  <conditionalFormatting sqref="H25">
    <cfRule type="expression" dxfId="5" priority="3">
      <formula>LEFT(H25,4)="PASS"</formula>
    </cfRule>
    <cfRule type="expression" dxfId="4" priority="4">
      <formula>LEFT(H25,6)="REVIEW"</formula>
    </cfRule>
    <cfRule type="expression" dxfId="3" priority="7">
      <formula>LEFT(H25,4)="PASS"</formula>
    </cfRule>
    <cfRule type="expression" dxfId="2" priority="8">
      <formula>LEFT(H25,6)="REVIEW"</formula>
    </cfRule>
  </conditionalFormatting>
  <conditionalFormatting sqref="H57">
    <cfRule type="expression" dxfId="1" priority="9">
      <formula>LEFT(H57,4)="PASS"</formula>
    </cfRule>
    <cfRule type="expression" dxfId="0" priority="10">
      <formula>LEFT(H57,6)="REVIEW"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Raw Data</vt:lpstr>
      <vt:lpstr>Management Model</vt:lpstr>
      <vt:lpstr>Decision Brief</vt:lpstr>
      <vt:lpstr>Formula Reference</vt:lpstr>
      <vt:lpstr>Live You Try 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2026-10-08T00:26:42Z</dcterms:modified>
</cp:coreProperties>
</file>