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ab1f1c54e74e2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16140ca14c48413f"/>
    <x:sheet xmlns:r="http://schemas.openxmlformats.org/officeDocument/2006/relationships" name="Assumptions" sheetId="2" r:id="R1c4cc17a5e474517"/>
    <x:sheet xmlns:r="http://schemas.openxmlformats.org/officeDocument/2006/relationships" name="Financing Model" sheetId="3" r:id="Rd01cb7bc67f34bc0"/>
    <x:sheet xmlns:r="http://schemas.openxmlformats.org/officeDocument/2006/relationships" name="Revenue Forecast" sheetId="4" r:id="Rf9d84a6dd17a4b37"/>
    <x:sheet xmlns:r="http://schemas.openxmlformats.org/officeDocument/2006/relationships" name="Cash Flow Model" sheetId="5" r:id="Rf292c88c4c524b91"/>
    <x:sheet xmlns:r="http://schemas.openxmlformats.org/officeDocument/2006/relationships" name="Dashboard" sheetId="6" r:id="R7f25786fc0424011"/>
    <x:sheet xmlns:r="http://schemas.openxmlformats.org/officeDocument/2006/relationships" name="Checks" sheetId="7" r:id="Rcef442b805a74dcf"/>
    <x:sheet xmlns:r="http://schemas.openxmlformats.org/officeDocument/2006/relationships" name="Sources" sheetId="8" r:id="Ra0c9e27d75b349b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$#,##0;[Red]($#,##0);-"/>
    <x:numFmt numFmtId="201" formatCode="0.0%;[Red](0.0%);-"/>
    <x:numFmt numFmtId="202" formatCode="0"/>
    <x:numFmt numFmtId="203" formatCode="#,##0;[Red](#,##0);-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  <x:font>
      <x:sz val="11"/>
      <x:color rgb="FF1F4E79"/>
      <x:name val="Carlito"/>
    </x:font>
    <x:font>
      <x:b/>
      <x:sz val="11"/>
      <x:name val="Carlito"/>
    </x:font>
    <x:font>
      <x:i/>
      <x:sz val="11"/>
      <x:color rgb="FF1F4E79"/>
      <x:name val="Carlito"/>
    </x:font>
    <x:font>
      <x:b/>
      <x:sz val="10"/>
      <x:color rgb="FFFFFFFF"/>
      <x:name val="Aptos"/>
    </x:font>
    <x:font>
      <x:sz val="10"/>
      <x:name val="Aptos"/>
    </x:font>
    <x:font>
      <x:i/>
      <x:sz val="10"/>
      <x:color rgb="FF17365D"/>
      <x:name val="Aptos"/>
    </x:font>
    <x:font>
      <x:sz val="10"/>
      <x:color rgb="FF1F4E79"/>
      <x:name val="Aptos"/>
    </x:font>
    <x:font>
      <x:b/>
      <x:sz val="10"/>
      <x:name val="Aptos"/>
    </x:font>
    <x:font>
      <x:i/>
      <x:sz val="10"/>
      <x:color rgb="FF1F4E79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D9EAD3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7C9D6"/>
      </x:left>
      <x:right style="thin">
        <x:color rgb="FFB7C9D6"/>
      </x:right>
      <x:top style="thin">
        <x:color rgb="FFB7C9D6"/>
      </x:top>
      <x:bottom style="thin">
        <x:color rgb="FFB7C9D6"/>
      </x:bottom>
    </x:border>
  </x:borders>
  <x:cellStyleXfs count="1">
    <x:xf numFmtId="0" fontId="0" fillId="0" borderId="0"/>
  </x:cellStyleXfs>
  <x:cellXfs count="4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 applyAlignment="1">
      <x:alignment vertical="center"/>
    </x:xf>
    <x:xf numFmtId="200" fontId="0" fillId="4" borderId="1" xfId="0" applyNumberFormat="1" applyFont="1" applyFill="1" applyBorder="1" applyAlignment="1">
      <x:alignment vertical="center"/>
    </x:xf>
    <x:xf numFmtId="0" fontId="5" fillId="4" borderId="1" xfId="0" applyNumberFormat="1" applyFont="1" applyFill="1" applyBorder="1" applyAlignment="1">
      <x:alignment vertical="center"/>
    </x:xf>
    <x:xf numFmtId="200" fontId="5" fillId="4" borderId="1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201" fontId="4" fillId="0" borderId="1" xfId="0" applyNumberFormat="1" applyFont="1" applyFill="1" applyBorder="1" applyAlignment="1">
      <x:alignment vertical="center"/>
    </x:xf>
    <x:xf numFmtId="202" fontId="4" fillId="0" borderId="1" xfId="0" applyNumberFormat="1" applyFont="1" applyFill="1" applyBorder="1" applyAlignment="1">
      <x:alignment vertical="center"/>
    </x:xf>
    <x:xf numFmtId="203" fontId="4" fillId="0" borderId="1" xfId="0" applyNumberFormat="1" applyFont="1" applyFill="1" applyBorder="1" applyAlignment="1">
      <x:alignment vertical="center"/>
    </x:xf>
    <x:xf numFmtId="201" fontId="0" fillId="0" borderId="1" xfId="0" applyNumberFormat="1" applyFont="1" applyFill="1" applyBorder="1" applyAlignment="1">
      <x:alignment vertical="center"/>
    </x:xf>
    <x:xf numFmtId="202" fontId="0" fillId="0" borderId="1" xfId="0" applyNumberFormat="1" applyFont="1" applyFill="1" applyBorder="1" applyAlignment="1">
      <x:alignment vertical="center"/>
    </x:xf>
    <x:xf numFmtId="203" fontId="0" fillId="0" borderId="1" xfId="0" applyNumberFormat="1" applyFont="1" applyFill="1" applyBorder="1" applyAlignment="1">
      <x:alignment vertical="center"/>
    </x:xf>
    <x:xf numFmtId="0" fontId="0" fillId="5" borderId="1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0" fontId="7" fillId="2" borderId="0" xfId="0" applyNumberFormat="1" applyFont="1" applyFill="1" applyBorder="1"/>
    <x:xf numFmtId="0" fontId="8" fillId="0" borderId="0" xfId="0" applyNumberFormat="1" applyFont="1" applyFill="1" applyBorder="1"/>
    <x:xf numFmtId="0" fontId="9" fillId="3" borderId="0" xfId="0" applyNumberFormat="1" applyFont="1" applyFill="1" applyBorder="1"/>
    <x:xf numFmtId="0" fontId="7" fillId="2" borderId="1" xfId="0" applyNumberFormat="1" applyFont="1" applyFill="1" applyBorder="1" applyAlignment="1">
      <x:alignment horizontal="center" wrapText="1"/>
    </x:xf>
    <x:xf numFmtId="0" fontId="8" fillId="0" borderId="1" xfId="0" applyNumberFormat="1" applyFont="1" applyFill="1" applyBorder="1" applyAlignment="1">
      <x:alignment vertical="center" wrapText="1"/>
    </x:xf>
    <x:xf numFmtId="0" fontId="7" fillId="2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/>
    </x:xf>
    <x:xf numFmtId="0" fontId="9" fillId="3" borderId="0" xfId="0" applyNumberFormat="1" applyFont="1" applyFill="1" applyBorder="1" applyAlignment="1">
      <x:alignment vertical="center"/>
    </x:xf>
    <x:xf numFmtId="0" fontId="7" fillId="2" borderId="1" xfId="0" applyNumberFormat="1" applyFont="1" applyFill="1" applyBorder="1" applyAlignment="1">
      <x:alignment horizontal="center" vertical="center" wrapText="1"/>
    </x:xf>
    <x:xf numFmtId="0" fontId="8" fillId="0" borderId="1" xfId="0" applyNumberFormat="1" applyFont="1" applyFill="1" applyBorder="1" applyAlignment="1">
      <x:alignment vertical="center"/>
    </x:xf>
    <x:xf numFmtId="200" fontId="10" fillId="0" borderId="1" xfId="0" applyNumberFormat="1" applyFont="1" applyFill="1" applyBorder="1" applyAlignment="1">
      <x:alignment vertical="center"/>
    </x:xf>
    <x:xf numFmtId="201" fontId="10" fillId="0" borderId="1" xfId="0" applyNumberFormat="1" applyFont="1" applyFill="1" applyBorder="1" applyAlignment="1">
      <x:alignment vertical="center"/>
    </x:xf>
    <x:xf numFmtId="202" fontId="10" fillId="0" borderId="1" xfId="0" applyNumberFormat="1" applyFont="1" applyFill="1" applyBorder="1" applyAlignment="1">
      <x:alignment vertical="center"/>
    </x:xf>
    <x:xf numFmtId="0" fontId="11" fillId="4" borderId="1" xfId="0" applyNumberFormat="1" applyFont="1" applyFill="1" applyBorder="1" applyAlignment="1">
      <x:alignment vertical="center"/>
    </x:xf>
    <x:xf numFmtId="200" fontId="11" fillId="4" borderId="1" xfId="0" applyNumberFormat="1" applyFont="1" applyFill="1" applyBorder="1" applyAlignment="1">
      <x:alignment vertical="center"/>
    </x:xf>
    <x:xf numFmtId="203" fontId="10" fillId="0" borderId="1" xfId="0" applyNumberFormat="1" applyFont="1" applyFill="1" applyBorder="1" applyAlignment="1">
      <x:alignment vertical="center"/>
    </x:xf>
    <x:xf numFmtId="200" fontId="8" fillId="0" borderId="1" xfId="0" applyNumberFormat="1" applyFont="1" applyFill="1" applyBorder="1" applyAlignment="1">
      <x:alignment vertical="center"/>
    </x:xf>
    <x:xf numFmtId="201" fontId="8" fillId="0" borderId="1" xfId="0" applyNumberFormat="1" applyFont="1" applyFill="1" applyBorder="1" applyAlignment="1">
      <x:alignment vertical="center"/>
    </x:xf>
    <x:xf numFmtId="202" fontId="8" fillId="0" borderId="1" xfId="0" applyNumberFormat="1" applyFont="1" applyFill="1" applyBorder="1" applyAlignment="1">
      <x:alignment vertical="center"/>
    </x:xf>
    <x:xf numFmtId="203" fontId="8" fillId="0" borderId="1" xfId="0" applyNumberFormat="1" applyFont="1" applyFill="1" applyBorder="1" applyAlignment="1">
      <x:alignment vertical="center"/>
    </x:xf>
    <x:xf numFmtId="0" fontId="12" fillId="5" borderId="1" xfId="0" applyNumberFormat="1" applyFont="1" applyFill="1" applyBorder="1" applyAlignment="1">
      <x:alignment vertical="center"/>
    </x:xf>
  </x:cellXfs>
  <x:cellStyles count="1">
    <x:cellStyle name="Normal" xfId="0"/>
  </x:cellStyles>
  <x:dxfs count="5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9C0006"/>
      </x:font>
      <x:fill>
        <x:patternFill patternType="solid">
          <x:bgColor rgb="FFFCE4D6"/>
        </x:patternFill>
      </x:fill>
    </x:dxf>
    <x:dxf>
      <x:font>
        <x:b/>
        <x:color rgb="FF006100"/>
      </x:font>
      <x:fill>
        <x:patternFill patternType="solid">
          <x:bgColor rgb="FFD9EAD3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cf8ca15e2147f7" /><Relationship Type="http://schemas.openxmlformats.org/officeDocument/2006/relationships/theme" Target="/xl/theme/theme1.xml" Id="Rda107b25433c4f93" /><Relationship Type="http://schemas.openxmlformats.org/officeDocument/2006/relationships/sharedStrings" Target="/xl/sharedStrings.xml" Id="Rf6015d9cd51044e9" /><Relationship Type="http://schemas.openxmlformats.org/officeDocument/2006/relationships/worksheet" Target="/xl/worksheets/sheet1.xml" Id="R16140ca14c48413f" /><Relationship Type="http://schemas.openxmlformats.org/officeDocument/2006/relationships/worksheet" Target="/xl/worksheets/sheet2.xml" Id="R1c4cc17a5e474517" /><Relationship Type="http://schemas.openxmlformats.org/officeDocument/2006/relationships/worksheet" Target="/xl/worksheets/sheet3.xml" Id="Rd01cb7bc67f34bc0" /><Relationship Type="http://schemas.openxmlformats.org/officeDocument/2006/relationships/worksheet" Target="/xl/worksheets/sheet4.xml" Id="Rf9d84a6dd17a4b37" /><Relationship Type="http://schemas.openxmlformats.org/officeDocument/2006/relationships/worksheet" Target="/xl/worksheets/sheet5.xml" Id="Rf292c88c4c524b91" /><Relationship Type="http://schemas.openxmlformats.org/officeDocument/2006/relationships/worksheet" Target="/xl/worksheets/sheet6.xml" Id="R7f25786fc0424011" /><Relationship Type="http://schemas.openxmlformats.org/officeDocument/2006/relationships/worksheet" Target="/xl/worksheets/sheet7.xml" Id="Rcef442b805a74dcf" /><Relationship Type="http://schemas.openxmlformats.org/officeDocument/2006/relationships/worksheet" Target="/xl/worksheets/sheet8.xml" Id="Ra0c9e27d75b349b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a02fb1a886ac40ab" /><Relationship Type="http://schemas.openxmlformats.org/officeDocument/2006/relationships/chart" Target="/xl/drawings/charts/chart2.xml" Id="Rdb8fcc535a8a4af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Total First-Year Cash Flow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Total First-Year Cash Flow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'Dashboard'!$A$15:$A$17</c:f>
              <c:strCache>
                <c:ptCount val="0"/>
              </c:strCache>
            </c:strRef>
          </c:cat>
          <c:val>
            <c:numRef>
              <c:f>'Dashboard'!$B$15:$B$17</c:f>
              <c:numCache>
                <c:formatCode>$#,##0;[Red]($#,##0);-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Expected Monthly Cash Flow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Bank Loan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'Dashboard'!$A$22:$A$33</c:f>
              <c:strCache>
                <c:ptCount val="0"/>
              </c:strCache>
            </c:strRef>
          </c:cat>
          <c:val>
            <c:numRef>
              <c:f>'Dashboard'!$B$22:$B$33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1"/>
          <c:order val="1"/>
          <c:tx>
            <c:v>Equipment Financing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'Dashboard'!$A$22:$A$33</c:f>
              <c:strCache>
                <c:ptCount val="0"/>
              </c:strCache>
            </c:strRef>
          </c:cat>
          <c:val>
            <c:numRef>
              <c:f>'Dashboard'!$C$22:$C$33</c:f>
              <c:numCache>
                <c:formatCode>$#,##0;[Red]($#,##0);-</c:formatCode>
                <c:ptCount val="0"/>
              </c:numCache>
            </c:numRef>
          </c:val>
          <c:smooth val="0"/>
        </c:ser>
        <c:ser>
          <c:idx val="2"/>
          <c:order val="2"/>
          <c:tx>
            <c:v>Investor Funding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'Dashboard'!$A$22:$A$33</c:f>
              <c:strCache>
                <c:ptCount val="0"/>
              </c:strCache>
            </c:strRef>
          </c:cat>
          <c:val>
            <c:numRef>
              <c:f>'Dashboard'!$D$22:$D$33</c:f>
              <c:numCache>
                <c:formatCode>$#,##0;[Red]($#,##0);-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7</xdr:col>
      <xdr:colOff>0</xdr:colOff>
      <xdr:row>4</xdr:row>
      <xdr:rowOff>0</xdr:rowOff>
    </xdr:from>
    <xdr:ext cx="5524500" cy="2857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02fb1a886ac40ab"/>
        </a:graphicData>
      </a:graphic>
    </xdr:graphicFrame>
    <xdr:clientData/>
  </xdr:oneCellAnchor>
  <xdr:oneCellAnchor>
    <xdr:from>
      <xdr:col>7</xdr:col>
      <xdr:colOff>0</xdr:colOff>
      <xdr:row>20</xdr:row>
      <xdr:rowOff>0</xdr:rowOff>
    </xdr:from>
    <xdr:ext cx="5524500" cy="2857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8fcc535a8a4afe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b530e77a814f4663" /></Relationships>
</file>

<file path=xl/worksheets/sheet1.xml><?xml version="1.0" encoding="utf-8"?>
<x:worksheet xmlns:x="http://schemas.openxmlformats.org/spreadsheetml/2006/main">
  <x:sheetFormatPr defaultRowHeight="15"/>
  <x:cols>
    <x:col min="1" max="1" width="21.110000610351562" hidden="0" customWidth="1"/>
    <x:col min="2" max="2" width="57.779998779296875" hidden="0" customWidth="1"/>
    <x:col min="3" max="3" width="20" hidden="0" customWidth="1"/>
    <x:col min="4" max="4" width="20" hidden="0" customWidth="1"/>
    <x:col min="5" max="5" width="17.780000686645508" hidden="0" customWidth="1"/>
    <x:col min="6" max="6" width="17.780000686645508" hidden="0" customWidth="1"/>
    <x:col min="7" max="7" width="17.780000686645508" hidden="0" customWidth="1"/>
  </x:cols>
  <x:sheetData>
    <x:row r="1">
      <x:c r="A1" s="32" t="str">
        <x:v>Northstar Bike Studio Finance Capstone</x:v>
      </x:c>
      <x:c r="B1" s="32" t="str"/>
      <x:c r="C1" s="32" t="str"/>
      <x:c r="D1" s="32" t="str"/>
      <x:c r="E1" s="32" t="str"/>
      <x:c r="F1" s="32" t="str"/>
      <x:c r="G1" s="32" t="str"/>
      <x:c r="H1" s="33"/>
      <x:c r="I1" s="33"/>
      <x:c r="J1" s="33"/>
      <x:c r="K1" s="33"/>
      <x:c r="L1" s="33"/>
      <x:c r="M1" s="33"/>
      <x:c r="N1" s="33"/>
      <x:c r="O1" s="33"/>
      <x:c r="P1" s="33"/>
    </x:row>
    <x:row r="2">
      <x:c r="A2" s="34" t="str">
        <x:v>Build an Excel-backed recommendation for a first-year financing decision.</x:v>
      </x:c>
      <x:c r="B2" s="34" t="str"/>
      <x:c r="C2" s="34" t="str"/>
      <x:c r="D2" s="34" t="str"/>
      <x:c r="E2" s="34" t="str"/>
      <x:c r="F2" s="34" t="str"/>
      <x:c r="G2" s="34" t="str"/>
      <x:c r="H2" s="33"/>
      <x:c r="I2" s="33"/>
      <x:c r="J2" s="33"/>
      <x:c r="K2" s="33"/>
      <x:c r="L2" s="33"/>
      <x:c r="M2" s="33"/>
      <x:c r="N2" s="33"/>
      <x:c r="O2" s="33"/>
      <x:c r="P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>
      <x:c r="A4" s="35" t="str">
        <x:v>Project question</x:v>
      </x:c>
      <x:c r="B4" s="31" t="str">
        <x:v>Which financing option gives Northstar Bike Studio the best chance of surviving its first year?</x:v>
      </x:c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>
      <x:c r="A5" s="35" t="str">
        <x:v>Your role</x:v>
      </x:c>
      <x:c r="B5" s="31" t="str">
        <x:v>You are the analyst preparing the decision model for the founder.</x:v>
      </x:c>
      <x:c r="C5" s="33"/>
      <x:c r="D5" s="33"/>
      <x:c r="E5" s="33"/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</x:row>
    <x:row r="6">
      <x:c r="A6" s="35" t="str">
        <x:v>Deliverable 1</x:v>
      </x:c>
      <x:c r="B6" s="31" t="str">
        <x:v>Completed Excel model with startup budget, financing comparison, revenue forecast, cash flow, break-even analysis, and dashboard.</x:v>
      </x:c>
      <x:c r="C6" s="33"/>
      <x:c r="D6" s="33"/>
      <x:c r="E6" s="33"/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</x:row>
    <x:row r="7">
      <x:c r="A7" s="35" t="str">
        <x:v>Deliverable 2</x:v>
      </x:c>
      <x:c r="B7" s="31" t="str">
        <x:v>Short business recommendation using numbers from your workbook.</x:v>
      </x:c>
      <x:c r="C7" s="33"/>
      <x:c r="D7" s="33"/>
      <x:c r="E7" s="33"/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</x:row>
    <x:row r="8">
      <x:c r="A8" s="35" t="str">
        <x:v>Deliverable 3</x:v>
      </x:c>
      <x:c r="B8" s="31" t="str">
        <x:v>3-5 slide or 3-minute walkthrough explaining the decision and risks.</x:v>
      </x:c>
      <x:c r="C8" s="33"/>
      <x:c r="D8" s="33"/>
      <x:c r="E8" s="33"/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</x:row>
    <x:row r="9">
      <x:c r="A9" s="35" t="str">
        <x:v>Success looks like</x:v>
      </x:c>
      <x:c r="B9" s="31" t="str">
        <x:v>Your recommendation connects financing cost, ownership, cash flow risk, and membership growth assumptions.</x:v>
      </x:c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</x:row>
    <x:row r="10">
      <x:c r="A10" s="35" t="str">
        <x:v>Input color</x:v>
      </x:c>
      <x:c r="B10" s="31" t="str">
        <x:v>Blue font cells are assumptions or student-entered judgment.</x:v>
      </x:c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</x:row>
    <x:row r="11">
      <x:c r="A11" s="35" t="str">
        <x:v>Formula color</x:v>
      </x:c>
      <x:c r="B11" s="31" t="str">
        <x:v>Black formulas calculate from visible assumptions.</x:v>
      </x:c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</x:row>
    <x:row r="12">
      <x:c r="A12" s="35" t="str">
        <x:v>Important</x:v>
      </x:c>
      <x:c r="B12" s="31" t="str">
        <x:v>Do not choose the option only because it has the lowest payment. Explain tradeoffs.</x:v>
      </x:c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5.559999465942383" hidden="0" customWidth="1"/>
    <x:col min="2" max="2" width="13.329999923706055" hidden="0" customWidth="1"/>
    <x:col min="3" max="3" width="3.109999895095825" hidden="0" customWidth="1"/>
    <x:col min="4" max="4" width="25.559999465942383" hidden="0" customWidth="1"/>
    <x:col min="5" max="5" width="13.329999923706055" hidden="0" customWidth="1"/>
    <x:col min="6" max="6" width="13.329999923706055" hidden="0" customWidth="1"/>
    <x:col min="7" max="7" width="13.329999923706055" hidden="0" customWidth="1"/>
    <x:col min="8" max="8" width="13.329999923706055" hidden="0" customWidth="1"/>
    <x:col min="9" max="9" width="13.329999923706055" hidden="0" customWidth="1"/>
    <x:col min="10" max="10" width="13.329999923706055" hidden="0" customWidth="1"/>
    <x:col min="11" max="11" width="13.329999923706055" hidden="0" customWidth="1"/>
    <x:col min="12" max="12" width="13.329999923706055" hidden="0" customWidth="1"/>
    <x:col min="13" max="13" width="13.329999923706055" hidden="0" customWidth="1"/>
    <x:col min="14" max="14" width="13.329999923706055" hidden="0" customWidth="1"/>
    <x:col min="15" max="15" width="13.329999923706055" hidden="0" customWidth="1"/>
    <x:col min="16" max="16" width="13.329999923706055" hidden="0" customWidth="1"/>
  </x:cols>
  <x:sheetData>
    <x:row r="1">
      <x:c r="A1" s="32" t="str">
        <x:v>Assumptions</x:v>
      </x:c>
      <x:c r="B1" s="32" t="str"/>
      <x:c r="C1" s="32" t="str"/>
      <x:c r="D1" s="32" t="str"/>
      <x:c r="E1" s="32" t="str"/>
      <x:c r="F1" s="32" t="str"/>
      <x:c r="G1" s="32" t="str"/>
      <x:c r="H1" s="33"/>
      <x:c r="I1" s="33"/>
      <x:c r="J1" s="33"/>
      <x:c r="K1" s="33"/>
      <x:c r="L1" s="33"/>
      <x:c r="M1" s="33"/>
      <x:c r="N1" s="33"/>
      <x:c r="O1" s="33"/>
      <x:c r="P1" s="33"/>
    </x:row>
    <x:row r="2">
      <x:c r="A2" s="34" t="str">
        <x:v>Scenario data provided to all students.</x:v>
      </x:c>
      <x:c r="B2" s="34" t="str"/>
      <x:c r="C2" s="34" t="str"/>
      <x:c r="D2" s="34" t="str"/>
      <x:c r="E2" s="34" t="str"/>
      <x:c r="F2" s="34" t="str"/>
      <x:c r="G2" s="34" t="str"/>
      <x:c r="H2" s="33"/>
      <x:c r="I2" s="33"/>
      <x:c r="J2" s="33"/>
      <x:c r="K2" s="33"/>
      <x:c r="L2" s="33"/>
      <x:c r="M2" s="33"/>
      <x:c r="N2" s="33"/>
      <x:c r="O2" s="33"/>
      <x:c r="P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>
      <x:c r="A5" s="35" t="str">
        <x:v>Startup Cost Item</x:v>
      </x:c>
      <x:c r="B5" s="35" t="str">
        <x:v>Cost</x:v>
      </x:c>
      <x:c r="C5" s="33"/>
      <x:c r="D5" s="35" t="str">
        <x:v>Financing Option</x:v>
      </x:c>
      <x:c r="E5" s="35" t="str">
        <x:v>Amount Financed</x:v>
      </x:c>
      <x:c r="F5" s="35" t="str">
        <x:v>APR</x:v>
      </x:c>
      <x:c r="G5" s="35" t="str">
        <x:v>Term Years</x:v>
      </x:c>
      <x:c r="H5" s="35" t="str">
        <x:v>Profit Share</x:v>
      </x:c>
      <x:c r="I5" s="33"/>
      <x:c r="J5" s="33"/>
      <x:c r="K5" s="33"/>
      <x:c r="L5" s="33"/>
      <x:c r="M5" s="33"/>
      <x:c r="N5" s="33"/>
      <x:c r="O5" s="33"/>
      <x:c r="P5" s="33"/>
    </x:row>
    <x:row r="6">
      <x:c r="A6" s="36" t="str">
        <x:v>Studio bikes</x:v>
      </x:c>
      <x:c r="B6" s="37" t="n">
        <x:v>42000</x:v>
      </x:c>
      <x:c r="C6" s="33"/>
      <x:c r="D6" s="36" t="str">
        <x:v>Bank loan</x:v>
      </x:c>
      <x:c r="E6" s="37" t="n">
        <x:v>85000</x:v>
      </x:c>
      <x:c r="F6" s="38" t="n">
        <x:v>0.0825</x:v>
      </x:c>
      <x:c r="G6" s="39" t="n">
        <x:v>5</x:v>
      </x:c>
      <x:c r="H6" s="38" t="n">
        <x:v>0</x:v>
      </x:c>
      <x:c r="I6" s="33"/>
      <x:c r="J6" s="33"/>
      <x:c r="K6" s="33"/>
      <x:c r="L6" s="33"/>
      <x:c r="M6" s="33"/>
      <x:c r="N6" s="33"/>
      <x:c r="O6" s="33"/>
      <x:c r="P6" s="33"/>
    </x:row>
    <x:row r="7">
      <x:c r="A7" s="36" t="str">
        <x:v>Sound system and lighting</x:v>
      </x:c>
      <x:c r="B7" s="37" t="n">
        <x:v>8500</x:v>
      </x:c>
      <x:c r="C7" s="33"/>
      <x:c r="D7" s="36" t="str">
        <x:v>Equipment financing</x:v>
      </x:c>
      <x:c r="E7" s="37" t="n">
        <x:v>50500</x:v>
      </x:c>
      <x:c r="F7" s="38" t="n">
        <x:v>0.105</x:v>
      </x:c>
      <x:c r="G7" s="39" t="n">
        <x:v>4</x:v>
      </x:c>
      <x:c r="H7" s="38" t="n">
        <x:v>0</x:v>
      </x:c>
      <x:c r="I7" s="33"/>
      <x:c r="J7" s="33"/>
      <x:c r="K7" s="33"/>
      <x:c r="L7" s="33"/>
      <x:c r="M7" s="33"/>
      <x:c r="N7" s="33"/>
      <x:c r="O7" s="33"/>
      <x:c r="P7" s="33"/>
    </x:row>
    <x:row r="8">
      <x:c r="A8" s="36" t="str">
        <x:v>Renovation and flooring</x:v>
      </x:c>
      <x:c r="B8" s="37" t="n">
        <x:v>16000</x:v>
      </x:c>
      <x:c r="C8" s="33"/>
      <x:c r="D8" s="36" t="str">
        <x:v>Investor funding</x:v>
      </x:c>
      <x:c r="E8" s="37" t="n">
        <x:v>85000</x:v>
      </x:c>
      <x:c r="F8" s="38" t="n">
        <x:v>0</x:v>
      </x:c>
      <x:c r="G8" s="39" t="n">
        <x:v>5</x:v>
      </x:c>
      <x:c r="H8" s="38" t="n">
        <x:v>0.18</x:v>
      </x:c>
      <x:c r="I8" s="33"/>
      <x:c r="J8" s="33"/>
      <x:c r="K8" s="33"/>
      <x:c r="L8" s="33"/>
      <x:c r="M8" s="33"/>
      <x:c r="N8" s="33"/>
      <x:c r="O8" s="33"/>
      <x:c r="P8" s="33"/>
    </x:row>
    <x:row r="9">
      <x:c r="A9" s="36" t="str">
        <x:v>Booking/payment software setup</x:v>
      </x:c>
      <x:c r="B9" s="37" t="n">
        <x:v>2500</x:v>
      </x:c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</x:row>
    <x:row r="10">
      <x:c r="A10" s="36" t="str">
        <x:v>Opening marketing campaign</x:v>
      </x:c>
      <x:c r="B10" s="37" t="n">
        <x:v>6000</x:v>
      </x:c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</x:row>
    <x:row r="11">
      <x:c r="A11" s="36" t="str">
        <x:v>Permits, legal, insurance deposits</x:v>
      </x:c>
      <x:c r="B11" s="37" t="n">
        <x:v>4000</x:v>
      </x:c>
      <x:c r="C11" s="33"/>
      <x:c r="D11" s="35" t="str">
        <x:v>Revenue Assumption</x:v>
      </x:c>
      <x:c r="E11" s="35" t="str">
        <x:v>Value</x:v>
      </x:c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</x:row>
    <x:row r="12">
      <x:c r="A12" s="36" t="str">
        <x:v>Initial cash cushion</x:v>
      </x:c>
      <x:c r="B12" s="37" t="n">
        <x:v>6000</x:v>
      </x:c>
      <x:c r="C12" s="33"/>
      <x:c r="D12" s="36" t="str">
        <x:v>Monthly membership price</x:v>
      </x:c>
      <x:c r="E12" s="37" t="n">
        <x:v>119</x:v>
      </x:c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</x:row>
    <x:row r="13">
      <x:c r="A13" s="40" t="str">
        <x:v>Total Funding Needed</x:v>
      </x:c>
      <x:c r="B13" s="41" t="n">
        <x:f>SUM(B6:B12)</x:f>
        <x:v>85000</x:v>
      </x:c>
      <x:c r="C13" s="33"/>
      <x:c r="D13" s="36" t="str">
        <x:v>Average drop-in class price</x:v>
      </x:c>
      <x:c r="E13" s="37" t="n">
        <x:v>22</x:v>
      </x:c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</x:row>
    <x:row r="14">
      <x:c r="A14" s="33"/>
      <x:c r="B14" s="33"/>
      <x:c r="C14" s="33"/>
      <x:c r="D14" s="36" t="str">
        <x:v>Private event revenue per month</x:v>
      </x:c>
      <x:c r="E14" s="37" t="n">
        <x:v>600</x:v>
      </x:c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</x:row>
    <x:row r="17">
      <x:c r="A17" s="35" t="str">
        <x:v>Monthly Operating Expense</x:v>
      </x:c>
      <x:c r="B17" s="35" t="str">
        <x:v>Cost</x:v>
      </x:c>
      <x:c r="C17" s="33"/>
      <x:c r="D17" s="35" t="str">
        <x:v>Membership Scenario</x:v>
      </x:c>
      <x:c r="E17" s="35" t="str">
        <x:v>M1</x:v>
      </x:c>
      <x:c r="F17" s="35" t="str">
        <x:v>M2</x:v>
      </x:c>
      <x:c r="G17" s="35" t="str">
        <x:v>M3</x:v>
      </x:c>
      <x:c r="H17" s="35" t="str">
        <x:v>M4</x:v>
      </x:c>
      <x:c r="I17" s="35" t="str">
        <x:v>M5</x:v>
      </x:c>
      <x:c r="J17" s="35" t="str">
        <x:v>M6</x:v>
      </x:c>
      <x:c r="K17" s="35" t="str">
        <x:v>M7</x:v>
      </x:c>
      <x:c r="L17" s="35" t="str">
        <x:v>M8</x:v>
      </x:c>
      <x:c r="M17" s="35" t="str">
        <x:v>M9</x:v>
      </x:c>
      <x:c r="N17" s="35" t="str">
        <x:v>M10</x:v>
      </x:c>
      <x:c r="O17" s="35" t="str">
        <x:v>M11</x:v>
      </x:c>
      <x:c r="P17" s="35" t="str">
        <x:v>M12</x:v>
      </x:c>
    </x:row>
    <x:row r="18">
      <x:c r="A18" s="36" t="str">
        <x:v>Rent</x:v>
      </x:c>
      <x:c r="B18" s="37" t="n">
        <x:v>5200</x:v>
      </x:c>
      <x:c r="C18" s="33"/>
      <x:c r="D18" s="36" t="str">
        <x:v>Conservative</x:v>
      </x:c>
      <x:c r="E18" s="42" t="n">
        <x:v>80</x:v>
      </x:c>
      <x:c r="F18" s="42" t="n">
        <x:v>90</x:v>
      </x:c>
      <x:c r="G18" s="42" t="n">
        <x:v>100</x:v>
      </x:c>
      <x:c r="H18" s="42" t="n">
        <x:v>108</x:v>
      </x:c>
      <x:c r="I18" s="42" t="n">
        <x:v>115</x:v>
      </x:c>
      <x:c r="J18" s="42" t="n">
        <x:v>120</x:v>
      </x:c>
      <x:c r="K18" s="42" t="n">
        <x:v>120</x:v>
      </x:c>
      <x:c r="L18" s="42" t="n">
        <x:v>120</x:v>
      </x:c>
      <x:c r="M18" s="42" t="n">
        <x:v>120</x:v>
      </x:c>
      <x:c r="N18" s="42" t="n">
        <x:v>120</x:v>
      </x:c>
      <x:c r="O18" s="42" t="n">
        <x:v>120</x:v>
      </x:c>
      <x:c r="P18" s="42" t="n">
        <x:v>120</x:v>
      </x:c>
    </x:row>
    <x:row r="19">
      <x:c r="A19" s="36" t="str">
        <x:v>Instructor payroll</x:v>
      </x:c>
      <x:c r="B19" s="37" t="n">
        <x:v>7800</x:v>
      </x:c>
      <x:c r="C19" s="33"/>
      <x:c r="D19" s="36" t="str">
        <x:v>Expected</x:v>
      </x:c>
      <x:c r="E19" s="42" t="n">
        <x:v>110</x:v>
      </x:c>
      <x:c r="F19" s="42" t="n">
        <x:v>125</x:v>
      </x:c>
      <x:c r="G19" s="42" t="n">
        <x:v>140</x:v>
      </x:c>
      <x:c r="H19" s="42" t="n">
        <x:v>155</x:v>
      </x:c>
      <x:c r="I19" s="42" t="n">
        <x:v>165</x:v>
      </x:c>
      <x:c r="J19" s="42" t="n">
        <x:v>175</x:v>
      </x:c>
      <x:c r="K19" s="42" t="n">
        <x:v>175</x:v>
      </x:c>
      <x:c r="L19" s="42" t="n">
        <x:v>175</x:v>
      </x:c>
      <x:c r="M19" s="42" t="n">
        <x:v>175</x:v>
      </x:c>
      <x:c r="N19" s="42" t="n">
        <x:v>175</x:v>
      </x:c>
      <x:c r="O19" s="42" t="n">
        <x:v>175</x:v>
      </x:c>
      <x:c r="P19" s="42" t="n">
        <x:v>175</x:v>
      </x:c>
    </x:row>
    <x:row r="20">
      <x:c r="A20" s="36" t="str">
        <x:v>Front desk/admin payroll</x:v>
      </x:c>
      <x:c r="B20" s="37" t="n">
        <x:v>2400</x:v>
      </x:c>
      <x:c r="C20" s="33"/>
      <x:c r="D20" s="36" t="str">
        <x:v>Optimistic</x:v>
      </x:c>
      <x:c r="E20" s="42" t="n">
        <x:v>135</x:v>
      </x:c>
      <x:c r="F20" s="42" t="n">
        <x:v>155</x:v>
      </x:c>
      <x:c r="G20" s="42" t="n">
        <x:v>175</x:v>
      </x:c>
      <x:c r="H20" s="42" t="n">
        <x:v>195</x:v>
      </x:c>
      <x:c r="I20" s="42" t="n">
        <x:v>210</x:v>
      </x:c>
      <x:c r="J20" s="42" t="n">
        <x:v>225</x:v>
      </x:c>
      <x:c r="K20" s="42" t="n">
        <x:v>225</x:v>
      </x:c>
      <x:c r="L20" s="42" t="n">
        <x:v>225</x:v>
      </x:c>
      <x:c r="M20" s="42" t="n">
        <x:v>225</x:v>
      </x:c>
      <x:c r="N20" s="42" t="n">
        <x:v>225</x:v>
      </x:c>
      <x:c r="O20" s="42" t="n">
        <x:v>225</x:v>
      </x:c>
      <x:c r="P20" s="42" t="n">
        <x:v>225</x:v>
      </x:c>
    </x:row>
    <x:row r="21">
      <x:c r="A21" s="36" t="str">
        <x:v>Utilities</x:v>
      </x:c>
      <x:c r="B21" s="37" t="n">
        <x:v>850</x:v>
      </x:c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</x:row>
    <x:row r="22">
      <x:c r="A22" s="36" t="str">
        <x:v>Insurance</x:v>
      </x:c>
      <x:c r="B22" s="37" t="n">
        <x:v>650</x:v>
      </x:c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</x:row>
    <x:row r="23">
      <x:c r="A23" s="36" t="str">
        <x:v>Software subscription</x:v>
      </x:c>
      <x:c r="B23" s="37" t="n">
        <x:v>375</x:v>
      </x:c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</x:row>
    <x:row r="24">
      <x:c r="A24" s="36" t="str">
        <x:v>Cleaning and supplies</x:v>
      </x:c>
      <x:c r="B24" s="37" t="n">
        <x:v>500</x:v>
      </x:c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</x:row>
    <x:row r="25">
      <x:c r="A25" s="36" t="str">
        <x:v>Marketing after launch</x:v>
      </x:c>
      <x:c r="B25" s="37" t="n">
        <x:v>1200</x:v>
      </x:c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</x:row>
    <x:row r="26">
      <x:c r="A26" s="40" t="str">
        <x:v>Total Monthly Operating Costs</x:v>
      </x:c>
      <x:c r="B26" s="41" t="n">
        <x:f>SUM(B18:B25)</x:f>
        <x:v>18975</x:v>
      </x:c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3.329999923706055" hidden="0" customWidth="1"/>
    <x:col min="2" max="2" width="14.4399995803833" hidden="0" customWidth="1"/>
    <x:col min="3" max="3" width="11.109999656677246" hidden="0" customWidth="1"/>
    <x:col min="4" max="4" width="11.109999656677246" hidden="0" customWidth="1"/>
    <x:col min="5" max="5" width="16.670000076293945" hidden="0" customWidth="1"/>
    <x:col min="6" max="6" width="14.4399995803833" hidden="0" customWidth="1"/>
    <x:col min="7" max="7" width="28.889999389648438" hidden="0" customWidth="1"/>
  </x:cols>
  <x:sheetData>
    <x:row r="1">
      <x:c r="A1" s="32" t="str">
        <x:v>Financing Model</x:v>
      </x:c>
      <x:c r="B1" s="32" t="str"/>
      <x:c r="C1" s="32" t="str"/>
      <x:c r="D1" s="32" t="str"/>
      <x:c r="E1" s="32" t="str"/>
      <x:c r="F1" s="32" t="str"/>
      <x:c r="G1" s="32" t="str"/>
      <x:c r="H1" s="33"/>
      <x:c r="I1" s="33"/>
      <x:c r="J1" s="33"/>
      <x:c r="K1" s="33"/>
      <x:c r="L1" s="33"/>
      <x:c r="M1" s="33"/>
      <x:c r="N1" s="33"/>
      <x:c r="O1" s="33"/>
      <x:c r="P1" s="33"/>
    </x:row>
    <x:row r="2">
      <x:c r="A2" s="34" t="str">
        <x:v>Debt payments use PMT; investor funding uses a variable profit share.</x:v>
      </x:c>
      <x:c r="B2" s="34" t="str"/>
      <x:c r="C2" s="34" t="str"/>
      <x:c r="D2" s="34" t="str"/>
      <x:c r="E2" s="34" t="str"/>
      <x:c r="F2" s="34" t="str"/>
      <x:c r="G2" s="34" t="str"/>
      <x:c r="H2" s="33"/>
      <x:c r="I2" s="33"/>
      <x:c r="J2" s="33"/>
      <x:c r="K2" s="33"/>
      <x:c r="L2" s="33"/>
      <x:c r="M2" s="33"/>
      <x:c r="N2" s="33"/>
      <x:c r="O2" s="33"/>
      <x:c r="P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>
      <x:c r="A5" s="35" t="str">
        <x:v>Option</x:v>
      </x:c>
      <x:c r="B5" s="35" t="str">
        <x:v>Amount Financed</x:v>
      </x:c>
      <x:c r="C5" s="35" t="str">
        <x:v>APR</x:v>
      </x:c>
      <x:c r="D5" s="35" t="str">
        <x:v>Term Years</x:v>
      </x:c>
      <x:c r="E5" s="35" t="str">
        <x:v>Monthly Fixed Payment</x:v>
      </x:c>
      <x:c r="F5" s="35" t="str">
        <x:v>Profit Share</x:v>
      </x:c>
      <x:c r="G5" s="35" t="str">
        <x:v>Model Notes</x:v>
      </x:c>
      <x:c r="H5" s="33"/>
      <x:c r="I5" s="33"/>
      <x:c r="J5" s="33"/>
      <x:c r="K5" s="33"/>
      <x:c r="L5" s="33"/>
      <x:c r="M5" s="33"/>
      <x:c r="N5" s="33"/>
      <x:c r="O5" s="33"/>
      <x:c r="P5" s="33"/>
    </x:row>
    <x:row r="6">
      <x:c r="A6" s="36" t="str">
        <x:v>Bank loan</x:v>
      </x:c>
      <x:c r="B6" s="43" t="n">
        <x:f>Assumptions!E6</x:f>
        <x:v>85000</x:v>
      </x:c>
      <x:c r="C6" s="44" t="n">
        <x:f>Assumptions!F6</x:f>
        <x:v>0.0825</x:v>
      </x:c>
      <x:c r="D6" s="45" t="n">
        <x:f>Assumptions!G6</x:f>
        <x:v>5</x:v>
      </x:c>
      <x:c r="E6" s="43" t="n">
        <x:f>-PMT(C6/12,D6*12,B6)</x:f>
        <x:v>1733.6813915516948</x:v>
      </x:c>
      <x:c r="F6" s="44" t="n">
        <x:f>Assumptions!H6</x:f>
        <x:v>0</x:v>
      </x:c>
      <x:c r="G6" s="31" t="str">
        <x:v>Fixed monthly debt payment.</x:v>
      </x:c>
      <x:c r="H6" s="33"/>
      <x:c r="I6" s="33"/>
      <x:c r="J6" s="33"/>
      <x:c r="K6" s="33"/>
      <x:c r="L6" s="33"/>
      <x:c r="M6" s="33"/>
      <x:c r="N6" s="33"/>
      <x:c r="O6" s="33"/>
      <x:c r="P6" s="33"/>
    </x:row>
    <x:row r="7">
      <x:c r="A7" s="36" t="str">
        <x:v>Equipment financing</x:v>
      </x:c>
      <x:c r="B7" s="43" t="n">
        <x:f>Assumptions!E7</x:f>
        <x:v>50500</x:v>
      </x:c>
      <x:c r="C7" s="44" t="n">
        <x:f>Assumptions!F7</x:f>
        <x:v>0.105</x:v>
      </x:c>
      <x:c r="D7" s="45" t="n">
        <x:f>Assumptions!G7</x:f>
        <x:v>4</x:v>
      </x:c>
      <x:c r="E7" s="43" t="n">
        <x:f>-PMT(C7/12,D7*12,B7)</x:f>
        <x:v>1292.9706774711537</x:v>
      </x:c>
      <x:c r="F7" s="44" t="n">
        <x:f>Assumptions!H7</x:f>
        <x:v>0</x:v>
      </x:c>
      <x:c r="G7" s="31" t="str">
        <x:v>Only the equipment package is financed; owner funds the rest.</x:v>
      </x:c>
      <x:c r="H7" s="33"/>
      <x:c r="I7" s="33"/>
      <x:c r="J7" s="33"/>
      <x:c r="K7" s="33"/>
      <x:c r="L7" s="33"/>
      <x:c r="M7" s="33"/>
      <x:c r="N7" s="33"/>
      <x:c r="O7" s="33"/>
      <x:c r="P7" s="33"/>
    </x:row>
    <x:row r="8">
      <x:c r="A8" s="36" t="str">
        <x:v>Investor funding</x:v>
      </x:c>
      <x:c r="B8" s="43" t="n">
        <x:f>Assumptions!E8</x:f>
        <x:v>85000</x:v>
      </x:c>
      <x:c r="C8" s="44" t="n">
        <x:f>Assumptions!F8</x:f>
        <x:v>0</x:v>
      </x:c>
      <x:c r="D8" s="45" t="n">
        <x:f>Assumptions!G8</x:f>
        <x:v>5</x:v>
      </x:c>
      <x:c r="E8" s="43" t="n">
        <x:f>0</x:f>
        <x:v>0</x:v>
      </x:c>
      <x:c r="F8" s="44" t="n">
        <x:f>Assumptions!H8</x:f>
        <x:v>0.18</x:v>
      </x:c>
      <x:c r="G8" s="31" t="str">
        <x:v>No fixed payment; investor receives a share of positive operating profit.</x:v>
      </x:c>
      <x:c r="H8" s="33"/>
      <x:c r="I8" s="33"/>
      <x:c r="J8" s="33"/>
      <x:c r="K8" s="33"/>
      <x:c r="L8" s="33"/>
      <x:c r="M8" s="33"/>
      <x:c r="N8" s="33"/>
      <x:c r="O8" s="33"/>
      <x:c r="P8" s="33"/>
    </x:row>
    <x:row r="9">
      <x:c r="A9" s="33"/>
      <x:c r="B9" s="33"/>
      <x:c r="C9" s="33"/>
      <x:c r="D9" s="33"/>
      <x:c r="E9" s="33"/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</x:row>
    <x:row r="10">
      <x:c r="A10" s="33"/>
      <x:c r="B10" s="33"/>
      <x:c r="C10" s="33"/>
      <x:c r="D10" s="33"/>
      <x:c r="E10" s="33"/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14.4399995803833" hidden="0" customWidth="1"/>
    <x:col min="3" max="3" width="16.670000076293945" hidden="0" customWidth="1"/>
    <x:col min="4" max="4" width="14.4399995803833" hidden="0" customWidth="1"/>
    <x:col min="5" max="5" width="16.670000076293945" hidden="0" customWidth="1"/>
    <x:col min="6" max="6" width="14.4399995803833" hidden="0" customWidth="1"/>
    <x:col min="7" max="7" width="16.670000076293945" hidden="0" customWidth="1"/>
    <x:col min="8" max="8" width="21.110000610351562" hidden="0" customWidth="1"/>
  </x:cols>
  <x:sheetData>
    <x:row r="1">
      <x:c r="A1" s="32" t="str">
        <x:v>Revenue Forecast</x:v>
      </x:c>
      <x:c r="B1" s="32" t="str"/>
      <x:c r="C1" s="32" t="str"/>
      <x:c r="D1" s="32" t="str"/>
      <x:c r="E1" s="32" t="str"/>
      <x:c r="F1" s="32" t="str"/>
      <x:c r="G1" s="32" t="str"/>
      <x:c r="H1" s="33"/>
      <x:c r="I1" s="33"/>
      <x:c r="J1" s="33"/>
      <x:c r="K1" s="33"/>
      <x:c r="L1" s="33"/>
      <x:c r="M1" s="33"/>
      <x:c r="N1" s="33"/>
      <x:c r="O1" s="33"/>
      <x:c r="P1" s="33"/>
    </x:row>
    <x:row r="2">
      <x:c r="A2" s="34" t="str">
        <x:v>Revenue combines memberships, drop-in visits, and private event revenue.</x:v>
      </x:c>
      <x:c r="B2" s="34" t="str"/>
      <x:c r="C2" s="34" t="str"/>
      <x:c r="D2" s="34" t="str"/>
      <x:c r="E2" s="34" t="str"/>
      <x:c r="F2" s="34" t="str"/>
      <x:c r="G2" s="34" t="str"/>
      <x:c r="H2" s="33"/>
      <x:c r="I2" s="33"/>
      <x:c r="J2" s="33"/>
      <x:c r="K2" s="33"/>
      <x:c r="L2" s="33"/>
      <x:c r="M2" s="33"/>
      <x:c r="N2" s="33"/>
      <x:c r="O2" s="33"/>
      <x:c r="P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>
      <x:c r="A5" s="35" t="str">
        <x:v>Month</x:v>
      </x:c>
      <x:c r="B5" s="35" t="str">
        <x:v>Conservative Members</x:v>
      </x:c>
      <x:c r="C5" s="35" t="str">
        <x:v>Conservative Revenue</x:v>
      </x:c>
      <x:c r="D5" s="35" t="str">
        <x:v>Expected Members</x:v>
      </x:c>
      <x:c r="E5" s="35" t="str">
        <x:v>Expected Revenue</x:v>
      </x:c>
      <x:c r="F5" s="35" t="str">
        <x:v>Optimistic Members</x:v>
      </x:c>
      <x:c r="G5" s="35" t="str">
        <x:v>Optimistic Revenue</x:v>
      </x:c>
      <x:c r="H5" s="35" t="str">
        <x:v>Notes</x:v>
      </x:c>
      <x:c r="I5" s="33"/>
      <x:c r="J5" s="33"/>
      <x:c r="K5" s="33"/>
      <x:c r="L5" s="33"/>
      <x:c r="M5" s="33"/>
      <x:c r="N5" s="33"/>
      <x:c r="O5" s="33"/>
      <x:c r="P5" s="33"/>
    </x:row>
    <x:row r="6">
      <x:c r="A6" s="36" t="n">
        <x:v>1</x:v>
      </x:c>
      <x:c r="B6" s="46" t="n">
        <x:f>Assumptions!E18</x:f>
        <x:v>80</x:v>
      </x:c>
      <x:c r="C6" s="43" t="n">
        <x:f>B6*Assumptions!$E$12+(140*Assumptions!$E$13)+Assumptions!$E$14</x:f>
        <x:v>13200</x:v>
      </x:c>
      <x:c r="D6" s="46" t="n">
        <x:f>Assumptions!E19</x:f>
        <x:v>110</x:v>
      </x:c>
      <x:c r="E6" s="43" t="n">
        <x:f>D6*Assumptions!$E$12+(140*Assumptions!$E$13)+Assumptions!$E$14</x:f>
        <x:v>16770</x:v>
      </x:c>
      <x:c r="F6" s="46" t="n">
        <x:f>Assumptions!E20</x:f>
        <x:v>135</x:v>
      </x:c>
      <x:c r="G6" s="43" t="n">
        <x:f>F6*Assumptions!$E$12+(140*Assumptions!$E$13)+Assumptions!$E$14</x:f>
        <x:v>19745</x:v>
      </x:c>
      <x:c r="H6" s="36" t="str">
        <x:v>Growth period</x:v>
      </x:c>
      <x:c r="I6" s="33"/>
      <x:c r="J6" s="33"/>
      <x:c r="K6" s="33"/>
      <x:c r="L6" s="33"/>
      <x:c r="M6" s="33"/>
      <x:c r="N6" s="33"/>
      <x:c r="O6" s="33"/>
      <x:c r="P6" s="33"/>
    </x:row>
    <x:row r="7">
      <x:c r="A7" s="36" t="n">
        <x:v>2</x:v>
      </x:c>
      <x:c r="B7" s="46" t="n">
        <x:f>Assumptions!F18</x:f>
        <x:v>90</x:v>
      </x:c>
      <x:c r="C7" s="43" t="n">
        <x:f>B7*Assumptions!$E$12+(140*Assumptions!$E$13)+Assumptions!$E$14</x:f>
        <x:v>14390</x:v>
      </x:c>
      <x:c r="D7" s="46" t="n">
        <x:f>Assumptions!F19</x:f>
        <x:v>125</x:v>
      </x:c>
      <x:c r="E7" s="43" t="n">
        <x:f>D7*Assumptions!$E$12+(140*Assumptions!$E$13)+Assumptions!$E$14</x:f>
        <x:v>18555</x:v>
      </x:c>
      <x:c r="F7" s="46" t="n">
        <x:f>Assumptions!F20</x:f>
        <x:v>155</x:v>
      </x:c>
      <x:c r="G7" s="43" t="n">
        <x:f>F7*Assumptions!$E$12+(140*Assumptions!$E$13)+Assumptions!$E$14</x:f>
        <x:v>22125</x:v>
      </x:c>
      <x:c r="H7" s="36" t="str">
        <x:v>Growth period</x:v>
      </x:c>
      <x:c r="I7" s="33"/>
      <x:c r="J7" s="33"/>
      <x:c r="K7" s="33"/>
      <x:c r="L7" s="33"/>
      <x:c r="M7" s="33"/>
      <x:c r="N7" s="33"/>
      <x:c r="O7" s="33"/>
      <x:c r="P7" s="33"/>
    </x:row>
    <x:row r="8">
      <x:c r="A8" s="36" t="n">
        <x:v>3</x:v>
      </x:c>
      <x:c r="B8" s="46" t="n">
        <x:f>Assumptions!G18</x:f>
        <x:v>100</x:v>
      </x:c>
      <x:c r="C8" s="43" t="n">
        <x:f>B8*Assumptions!$E$12+(140*Assumptions!$E$13)+Assumptions!$E$14</x:f>
        <x:v>15580</x:v>
      </x:c>
      <x:c r="D8" s="46" t="n">
        <x:f>Assumptions!G19</x:f>
        <x:v>140</x:v>
      </x:c>
      <x:c r="E8" s="43" t="n">
        <x:f>D8*Assumptions!$E$12+(140*Assumptions!$E$13)+Assumptions!$E$14</x:f>
        <x:v>20340</x:v>
      </x:c>
      <x:c r="F8" s="46" t="n">
        <x:f>Assumptions!G20</x:f>
        <x:v>175</x:v>
      </x:c>
      <x:c r="G8" s="43" t="n">
        <x:f>F8*Assumptions!$E$12+(140*Assumptions!$E$13)+Assumptions!$E$14</x:f>
        <x:v>24505</x:v>
      </x:c>
      <x:c r="H8" s="36" t="str">
        <x:v>Growth period</x:v>
      </x:c>
      <x:c r="I8" s="33"/>
      <x:c r="J8" s="33"/>
      <x:c r="K8" s="33"/>
      <x:c r="L8" s="33"/>
      <x:c r="M8" s="33"/>
      <x:c r="N8" s="33"/>
      <x:c r="O8" s="33"/>
      <x:c r="P8" s="33"/>
    </x:row>
    <x:row r="9">
      <x:c r="A9" s="36" t="n">
        <x:v>4</x:v>
      </x:c>
      <x:c r="B9" s="46" t="n">
        <x:f>Assumptions!H18</x:f>
        <x:v>108</x:v>
      </x:c>
      <x:c r="C9" s="43" t="n">
        <x:f>B9*Assumptions!$E$12+(140*Assumptions!$E$13)+Assumptions!$E$14</x:f>
        <x:v>16532</x:v>
      </x:c>
      <x:c r="D9" s="46" t="n">
        <x:f>Assumptions!H19</x:f>
        <x:v>155</x:v>
      </x:c>
      <x:c r="E9" s="43" t="n">
        <x:f>D9*Assumptions!$E$12+(140*Assumptions!$E$13)+Assumptions!$E$14</x:f>
        <x:v>22125</x:v>
      </x:c>
      <x:c r="F9" s="46" t="n">
        <x:f>Assumptions!H20</x:f>
        <x:v>195</x:v>
      </x:c>
      <x:c r="G9" s="43" t="n">
        <x:f>F9*Assumptions!$E$12+(140*Assumptions!$E$13)+Assumptions!$E$14</x:f>
        <x:v>26885</x:v>
      </x:c>
      <x:c r="H9" s="36" t="str">
        <x:v>Growth period</x:v>
      </x:c>
      <x:c r="I9" s="33"/>
      <x:c r="J9" s="33"/>
      <x:c r="K9" s="33"/>
      <x:c r="L9" s="33"/>
      <x:c r="M9" s="33"/>
      <x:c r="N9" s="33"/>
      <x:c r="O9" s="33"/>
      <x:c r="P9" s="33"/>
    </x:row>
    <x:row r="10">
      <x:c r="A10" s="36" t="n">
        <x:v>5</x:v>
      </x:c>
      <x:c r="B10" s="46" t="n">
        <x:f>Assumptions!I18</x:f>
        <x:v>115</x:v>
      </x:c>
      <x:c r="C10" s="43" t="n">
        <x:f>B10*Assumptions!$E$12+(140*Assumptions!$E$13)+Assumptions!$E$14</x:f>
        <x:v>17365</x:v>
      </x:c>
      <x:c r="D10" s="46" t="n">
        <x:f>Assumptions!I19</x:f>
        <x:v>165</x:v>
      </x:c>
      <x:c r="E10" s="43" t="n">
        <x:f>D10*Assumptions!$E$12+(140*Assumptions!$E$13)+Assumptions!$E$14</x:f>
        <x:v>23315</x:v>
      </x:c>
      <x:c r="F10" s="46" t="n">
        <x:f>Assumptions!I20</x:f>
        <x:v>210</x:v>
      </x:c>
      <x:c r="G10" s="43" t="n">
        <x:f>F10*Assumptions!$E$12+(140*Assumptions!$E$13)+Assumptions!$E$14</x:f>
        <x:v>28670</x:v>
      </x:c>
      <x:c r="H10" s="36" t="str">
        <x:v>Growth period</x:v>
      </x:c>
      <x:c r="I10" s="33"/>
      <x:c r="J10" s="33"/>
      <x:c r="K10" s="33"/>
      <x:c r="L10" s="33"/>
      <x:c r="M10" s="33"/>
      <x:c r="N10" s="33"/>
      <x:c r="O10" s="33"/>
      <x:c r="P10" s="33"/>
    </x:row>
    <x:row r="11">
      <x:c r="A11" s="36" t="n">
        <x:v>6</x:v>
      </x:c>
      <x:c r="B11" s="46" t="n">
        <x:f>Assumptions!J18</x:f>
        <x:v>120</x:v>
      </x:c>
      <x:c r="C11" s="43" t="n">
        <x:f>B11*Assumptions!$E$12+(140*Assumptions!$E$13)+Assumptions!$E$14</x:f>
        <x:v>17960</x:v>
      </x:c>
      <x:c r="D11" s="46" t="n">
        <x:f>Assumptions!J19</x:f>
        <x:v>175</x:v>
      </x:c>
      <x:c r="E11" s="43" t="n">
        <x:f>D11*Assumptions!$E$12+(140*Assumptions!$E$13)+Assumptions!$E$14</x:f>
        <x:v>24505</x:v>
      </x:c>
      <x:c r="F11" s="46" t="n">
        <x:f>Assumptions!J20</x:f>
        <x:v>225</x:v>
      </x:c>
      <x:c r="G11" s="43" t="n">
        <x:f>F11*Assumptions!$E$12+(140*Assumptions!$E$13)+Assumptions!$E$14</x:f>
        <x:v>30455</x:v>
      </x:c>
      <x:c r="H11" s="36" t="str">
        <x:v>Growth period</x:v>
      </x:c>
      <x:c r="I11" s="33"/>
      <x:c r="J11" s="33"/>
      <x:c r="K11" s="33"/>
      <x:c r="L11" s="33"/>
      <x:c r="M11" s="33"/>
      <x:c r="N11" s="33"/>
      <x:c r="O11" s="33"/>
      <x:c r="P11" s="33"/>
    </x:row>
    <x:row r="12">
      <x:c r="A12" s="36" t="n">
        <x:v>7</x:v>
      </x:c>
      <x:c r="B12" s="46" t="n">
        <x:f>Assumptions!K18</x:f>
        <x:v>120</x:v>
      </x:c>
      <x:c r="C12" s="43" t="n">
        <x:f>B12*Assumptions!$E$12+(140*Assumptions!$E$13)+Assumptions!$E$14</x:f>
        <x:v>17960</x:v>
      </x:c>
      <x:c r="D12" s="46" t="n">
        <x:f>Assumptions!K19</x:f>
        <x:v>175</x:v>
      </x:c>
      <x:c r="E12" s="43" t="n">
        <x:f>D12*Assumptions!$E$12+(140*Assumptions!$E$13)+Assumptions!$E$14</x:f>
        <x:v>24505</x:v>
      </x:c>
      <x:c r="F12" s="46" t="n">
        <x:f>Assumptions!K20</x:f>
        <x:v>225</x:v>
      </x:c>
      <x:c r="G12" s="43" t="n">
        <x:f>F12*Assumptions!$E$12+(140*Assumptions!$E$13)+Assumptions!$E$14</x:f>
        <x:v>30455</x:v>
      </x:c>
      <x:c r="H12" s="36" t="str">
        <x:v>Hold Month 6 level</x:v>
      </x:c>
      <x:c r="I12" s="33"/>
      <x:c r="J12" s="33"/>
      <x:c r="K12" s="33"/>
      <x:c r="L12" s="33"/>
      <x:c r="M12" s="33"/>
      <x:c r="N12" s="33"/>
      <x:c r="O12" s="33"/>
      <x:c r="P12" s="33"/>
    </x:row>
    <x:row r="13">
      <x:c r="A13" s="36" t="n">
        <x:v>8</x:v>
      </x:c>
      <x:c r="B13" s="46" t="n">
        <x:f>Assumptions!L18</x:f>
        <x:v>120</x:v>
      </x:c>
      <x:c r="C13" s="43" t="n">
        <x:f>B13*Assumptions!$E$12+(140*Assumptions!$E$13)+Assumptions!$E$14</x:f>
        <x:v>17960</x:v>
      </x:c>
      <x:c r="D13" s="46" t="n">
        <x:f>Assumptions!L19</x:f>
        <x:v>175</x:v>
      </x:c>
      <x:c r="E13" s="43" t="n">
        <x:f>D13*Assumptions!$E$12+(140*Assumptions!$E$13)+Assumptions!$E$14</x:f>
        <x:v>24505</x:v>
      </x:c>
      <x:c r="F13" s="46" t="n">
        <x:f>Assumptions!L20</x:f>
        <x:v>225</x:v>
      </x:c>
      <x:c r="G13" s="43" t="n">
        <x:f>F13*Assumptions!$E$12+(140*Assumptions!$E$13)+Assumptions!$E$14</x:f>
        <x:v>30455</x:v>
      </x:c>
      <x:c r="H13" s="36" t="str">
        <x:v>Hold Month 6 level</x:v>
      </x:c>
      <x:c r="I13" s="33"/>
      <x:c r="J13" s="33"/>
      <x:c r="K13" s="33"/>
      <x:c r="L13" s="33"/>
      <x:c r="M13" s="33"/>
      <x:c r="N13" s="33"/>
      <x:c r="O13" s="33"/>
      <x:c r="P13" s="33"/>
    </x:row>
    <x:row r="14">
      <x:c r="A14" s="36" t="n">
        <x:v>9</x:v>
      </x:c>
      <x:c r="B14" s="46" t="n">
        <x:f>Assumptions!M18</x:f>
        <x:v>120</x:v>
      </x:c>
      <x:c r="C14" s="43" t="n">
        <x:f>B14*Assumptions!$E$12+(140*Assumptions!$E$13)+Assumptions!$E$14</x:f>
        <x:v>17960</x:v>
      </x:c>
      <x:c r="D14" s="46" t="n">
        <x:f>Assumptions!M19</x:f>
        <x:v>175</x:v>
      </x:c>
      <x:c r="E14" s="43" t="n">
        <x:f>D14*Assumptions!$E$12+(140*Assumptions!$E$13)+Assumptions!$E$14</x:f>
        <x:v>24505</x:v>
      </x:c>
      <x:c r="F14" s="46" t="n">
        <x:f>Assumptions!M20</x:f>
        <x:v>225</x:v>
      </x:c>
      <x:c r="G14" s="43" t="n">
        <x:f>F14*Assumptions!$E$12+(140*Assumptions!$E$13)+Assumptions!$E$14</x:f>
        <x:v>30455</x:v>
      </x:c>
      <x:c r="H14" s="36" t="str">
        <x:v>Hold Month 6 level</x:v>
      </x:c>
      <x:c r="I14" s="33"/>
      <x:c r="J14" s="33"/>
      <x:c r="K14" s="33"/>
      <x:c r="L14" s="33"/>
      <x:c r="M14" s="33"/>
      <x:c r="N14" s="33"/>
      <x:c r="O14" s="33"/>
      <x:c r="P14" s="33"/>
    </x:row>
    <x:row r="15">
      <x:c r="A15" s="36" t="n">
        <x:v>10</x:v>
      </x:c>
      <x:c r="B15" s="46" t="n">
        <x:f>Assumptions!N18</x:f>
        <x:v>120</x:v>
      </x:c>
      <x:c r="C15" s="43" t="n">
        <x:f>B15*Assumptions!$E$12+(140*Assumptions!$E$13)+Assumptions!$E$14</x:f>
        <x:v>17960</x:v>
      </x:c>
      <x:c r="D15" s="46" t="n">
        <x:f>Assumptions!N19</x:f>
        <x:v>175</x:v>
      </x:c>
      <x:c r="E15" s="43" t="n">
        <x:f>D15*Assumptions!$E$12+(140*Assumptions!$E$13)+Assumptions!$E$14</x:f>
        <x:v>24505</x:v>
      </x:c>
      <x:c r="F15" s="46" t="n">
        <x:f>Assumptions!N20</x:f>
        <x:v>225</x:v>
      </x:c>
      <x:c r="G15" s="43" t="n">
        <x:f>F15*Assumptions!$E$12+(140*Assumptions!$E$13)+Assumptions!$E$14</x:f>
        <x:v>30455</x:v>
      </x:c>
      <x:c r="H15" s="36" t="str">
        <x:v>Hold Month 6 level</x:v>
      </x:c>
      <x:c r="I15" s="33"/>
      <x:c r="J15" s="33"/>
      <x:c r="K15" s="33"/>
      <x:c r="L15" s="33"/>
      <x:c r="M15" s="33"/>
      <x:c r="N15" s="33"/>
      <x:c r="O15" s="33"/>
      <x:c r="P15" s="33"/>
    </x:row>
    <x:row r="16">
      <x:c r="A16" s="36" t="n">
        <x:v>11</x:v>
      </x:c>
      <x:c r="B16" s="46" t="n">
        <x:f>Assumptions!O18</x:f>
        <x:v>120</x:v>
      </x:c>
      <x:c r="C16" s="43" t="n">
        <x:f>B16*Assumptions!$E$12+(140*Assumptions!$E$13)+Assumptions!$E$14</x:f>
        <x:v>17960</x:v>
      </x:c>
      <x:c r="D16" s="46" t="n">
        <x:f>Assumptions!O19</x:f>
        <x:v>175</x:v>
      </x:c>
      <x:c r="E16" s="43" t="n">
        <x:f>D16*Assumptions!$E$12+(140*Assumptions!$E$13)+Assumptions!$E$14</x:f>
        <x:v>24505</x:v>
      </x:c>
      <x:c r="F16" s="46" t="n">
        <x:f>Assumptions!O20</x:f>
        <x:v>225</x:v>
      </x:c>
      <x:c r="G16" s="43" t="n">
        <x:f>F16*Assumptions!$E$12+(140*Assumptions!$E$13)+Assumptions!$E$14</x:f>
        <x:v>30455</x:v>
      </x:c>
      <x:c r="H16" s="36" t="str">
        <x:v>Hold Month 6 level</x:v>
      </x:c>
      <x:c r="I16" s="33"/>
      <x:c r="J16" s="33"/>
      <x:c r="K16" s="33"/>
      <x:c r="L16" s="33"/>
      <x:c r="M16" s="33"/>
      <x:c r="N16" s="33"/>
      <x:c r="O16" s="33"/>
      <x:c r="P16" s="33"/>
    </x:row>
    <x:row r="17">
      <x:c r="A17" s="36" t="n">
        <x:v>12</x:v>
      </x:c>
      <x:c r="B17" s="46" t="n">
        <x:f>Assumptions!P18</x:f>
        <x:v>120</x:v>
      </x:c>
      <x:c r="C17" s="43" t="n">
        <x:f>B17*Assumptions!$E$12+(140*Assumptions!$E$13)+Assumptions!$E$14</x:f>
        <x:v>17960</x:v>
      </x:c>
      <x:c r="D17" s="46" t="n">
        <x:f>Assumptions!P19</x:f>
        <x:v>175</x:v>
      </x:c>
      <x:c r="E17" s="43" t="n">
        <x:f>D17*Assumptions!$E$12+(140*Assumptions!$E$13)+Assumptions!$E$14</x:f>
        <x:v>24505</x:v>
      </x:c>
      <x:c r="F17" s="46" t="n">
        <x:f>Assumptions!P20</x:f>
        <x:v>225</x:v>
      </x:c>
      <x:c r="G17" s="43" t="n">
        <x:f>F17*Assumptions!$E$12+(140*Assumptions!$E$13)+Assumptions!$E$14</x:f>
        <x:v>30455</x:v>
      </x:c>
      <x:c r="H17" s="36" t="str">
        <x:v>Hold Month 6 level</x:v>
      </x:c>
      <x:c r="I17" s="33"/>
      <x:c r="J17" s="33"/>
      <x:c r="K17" s="33"/>
      <x:c r="L17" s="33"/>
      <x:c r="M17" s="33"/>
      <x:c r="N17" s="33"/>
      <x:c r="O17" s="33"/>
      <x:c r="P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8.890000343322754" hidden="0" customWidth="1"/>
    <x:col min="2" max="2" width="15.5600004196167" hidden="0" customWidth="1"/>
    <x:col min="3" max="3" width="15.5600004196167" hidden="0" customWidth="1"/>
    <x:col min="4" max="4" width="16.670000076293945" hidden="0" customWidth="1"/>
    <x:col min="5" max="5" width="16.670000076293945" hidden="0" customWidth="1"/>
    <x:col min="6" max="6" width="16.670000076293945" hidden="0" customWidth="1"/>
    <x:col min="7" max="7" width="16.670000076293945" hidden="0" customWidth="1"/>
    <x:col min="8" max="8" width="16.670000076293945" hidden="0" customWidth="1"/>
    <x:col min="9" max="9" width="16.670000076293945" hidden="0" customWidth="1"/>
    <x:col min="10" max="10" width="24.440000534057617" hidden="0" customWidth="1"/>
  </x:cols>
  <x:sheetData>
    <x:row r="1">
      <x:c r="A1" s="32" t="str">
        <x:v>Cash Flow Model</x:v>
      </x:c>
      <x:c r="B1" s="32" t="str"/>
      <x:c r="C1" s="32" t="str"/>
      <x:c r="D1" s="32" t="str"/>
      <x:c r="E1" s="32" t="str"/>
      <x:c r="F1" s="32" t="str"/>
      <x:c r="G1" s="32" t="str"/>
      <x:c r="H1" s="33"/>
      <x:c r="I1" s="33"/>
      <x:c r="J1" s="33"/>
      <x:c r="K1" s="33"/>
      <x:c r="L1" s="33"/>
      <x:c r="M1" s="33"/>
      <x:c r="N1" s="33"/>
      <x:c r="O1" s="33"/>
      <x:c r="P1" s="33"/>
    </x:row>
    <x:row r="2">
      <x:c r="A2" s="34" t="str">
        <x:v>Expected-scenario cash flow by financing option.</x:v>
      </x:c>
      <x:c r="B2" s="34" t="str"/>
      <x:c r="C2" s="34" t="str"/>
      <x:c r="D2" s="34" t="str"/>
      <x:c r="E2" s="34" t="str"/>
      <x:c r="F2" s="34" t="str"/>
      <x:c r="G2" s="34" t="str"/>
      <x:c r="H2" s="33"/>
      <x:c r="I2" s="33"/>
      <x:c r="J2" s="33"/>
      <x:c r="K2" s="33"/>
      <x:c r="L2" s="33"/>
      <x:c r="M2" s="33"/>
      <x:c r="N2" s="33"/>
      <x:c r="O2" s="33"/>
      <x:c r="P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>
      <x:c r="A5" s="35" t="str">
        <x:v>Month</x:v>
      </x:c>
      <x:c r="B5" s="35" t="str">
        <x:v>Operating Costs</x:v>
      </x:c>
      <x:c r="C5" s="35" t="str">
        <x:v>Expected Revenue</x:v>
      </x:c>
      <x:c r="D5" s="35" t="str">
        <x:v>Bank Payment</x:v>
      </x:c>
      <x:c r="E5" s="35" t="str">
        <x:v>Bank Cash Flow</x:v>
      </x:c>
      <x:c r="F5" s="35" t="str">
        <x:v>Equipment Payment</x:v>
      </x:c>
      <x:c r="G5" s="35" t="str">
        <x:v>Equipment Cash Flow</x:v>
      </x:c>
      <x:c r="H5" s="35" t="str">
        <x:v>Investor Payment</x:v>
      </x:c>
      <x:c r="I5" s="35" t="str">
        <x:v>Investor Cash Flow</x:v>
      </x:c>
      <x:c r="J5" s="35" t="str">
        <x:v>Notes</x:v>
      </x:c>
      <x:c r="K5" s="33"/>
      <x:c r="L5" s="33"/>
      <x:c r="M5" s="33"/>
      <x:c r="N5" s="33"/>
      <x:c r="O5" s="33"/>
      <x:c r="P5" s="33"/>
    </x:row>
    <x:row r="6">
      <x:c r="A6" s="36" t="n">
        <x:v>1</x:v>
      </x:c>
      <x:c r="B6" s="43" t="n">
        <x:f>Assumptions!$B$26</x:f>
        <x:v>18975</x:v>
      </x:c>
      <x:c r="C6" s="43" t="n">
        <x:f>'Revenue Forecast'!E6</x:f>
        <x:v>16770</x:v>
      </x:c>
      <x:c r="D6" s="43" t="n">
        <x:f>'Financing Model'!$E$6</x:f>
        <x:v>1733.6813915516948</x:v>
      </x:c>
      <x:c r="E6" s="43" t="n">
        <x:f>C6-B6-D6</x:f>
        <x:v>-3938.681391551695</x:v>
      </x:c>
      <x:c r="F6" s="43" t="n">
        <x:f>'Financing Model'!$E$7</x:f>
        <x:v>1292.9706774711537</x:v>
      </x:c>
      <x:c r="G6" s="43" t="n">
        <x:f>C6-B6-F6</x:f>
        <x:v>-3497.970677471154</x:v>
      </x:c>
      <x:c r="H6" s="43" t="n">
        <x:f>MAX(0,(C6-B6)*'Financing Model'!$F$8)</x:f>
        <x:v>0</x:v>
      </x:c>
      <x:c r="I6" s="43" t="n">
        <x:f>C6-B6-H6</x:f>
        <x:v>-2205</x:v>
      </x:c>
      <x:c r="J6" s="31" t="str">
        <x:v>Use this section to compare first-year survival risk.</x:v>
      </x:c>
      <x:c r="K6" s="33"/>
      <x:c r="L6" s="33"/>
      <x:c r="M6" s="33"/>
      <x:c r="N6" s="33"/>
      <x:c r="O6" s="33"/>
      <x:c r="P6" s="33"/>
    </x:row>
    <x:row r="7">
      <x:c r="A7" s="36" t="n">
        <x:v>2</x:v>
      </x:c>
      <x:c r="B7" s="43" t="n">
        <x:f>Assumptions!$B$26</x:f>
        <x:v>18975</x:v>
      </x:c>
      <x:c r="C7" s="43" t="n">
        <x:f>'Revenue Forecast'!E7</x:f>
        <x:v>18555</x:v>
      </x:c>
      <x:c r="D7" s="43" t="n">
        <x:f>'Financing Model'!$E$6</x:f>
        <x:v>1733.6813915516948</x:v>
      </x:c>
      <x:c r="E7" s="43" t="n">
        <x:f>C7-B7-D7</x:f>
        <x:v>-2153.681391551695</x:v>
      </x:c>
      <x:c r="F7" s="43" t="n">
        <x:f>'Financing Model'!$E$7</x:f>
        <x:v>1292.9706774711537</x:v>
      </x:c>
      <x:c r="G7" s="43" t="n">
        <x:f>C7-B7-F7</x:f>
        <x:v>-1712.9706774711537</x:v>
      </x:c>
      <x:c r="H7" s="43" t="n">
        <x:f>MAX(0,(C7-B7)*'Financing Model'!$F$8)</x:f>
        <x:v>0</x:v>
      </x:c>
      <x:c r="I7" s="43" t="n">
        <x:f>C7-B7-H7</x:f>
        <x:v>-420</x:v>
      </x:c>
      <x:c r="J7" s="31" t="str">
        <x:v>Use this section to compare first-year survival risk.</x:v>
      </x:c>
      <x:c r="K7" s="33"/>
      <x:c r="L7" s="33"/>
      <x:c r="M7" s="33"/>
      <x:c r="N7" s="33"/>
      <x:c r="O7" s="33"/>
      <x:c r="P7" s="33"/>
    </x:row>
    <x:row r="8">
      <x:c r="A8" s="36" t="n">
        <x:v>3</x:v>
      </x:c>
      <x:c r="B8" s="43" t="n">
        <x:f>Assumptions!$B$26</x:f>
        <x:v>18975</x:v>
      </x:c>
      <x:c r="C8" s="43" t="n">
        <x:f>'Revenue Forecast'!E8</x:f>
        <x:v>20340</x:v>
      </x:c>
      <x:c r="D8" s="43" t="n">
        <x:f>'Financing Model'!$E$6</x:f>
        <x:v>1733.6813915516948</x:v>
      </x:c>
      <x:c r="E8" s="43" t="n">
        <x:f>C8-B8-D8</x:f>
        <x:v>-368.6813915516948</x:v>
      </x:c>
      <x:c r="F8" s="43" t="n">
        <x:f>'Financing Model'!$E$7</x:f>
        <x:v>1292.9706774711537</x:v>
      </x:c>
      <x:c r="G8" s="43" t="n">
        <x:f>C8-B8-F8</x:f>
        <x:v>72.02932252884625</x:v>
      </x:c>
      <x:c r="H8" s="43" t="n">
        <x:f>MAX(0,(C8-B8)*'Financing Model'!$F$8)</x:f>
        <x:v>245.7</x:v>
      </x:c>
      <x:c r="I8" s="43" t="n">
        <x:f>C8-B8-H8</x:f>
        <x:v>1119.3</x:v>
      </x:c>
      <x:c r="J8" s="31" t="str">
        <x:v>Use this section to compare first-year survival risk.</x:v>
      </x:c>
      <x:c r="K8" s="33"/>
      <x:c r="L8" s="33"/>
      <x:c r="M8" s="33"/>
      <x:c r="N8" s="33"/>
      <x:c r="O8" s="33"/>
      <x:c r="P8" s="33"/>
    </x:row>
    <x:row r="9">
      <x:c r="A9" s="36" t="n">
        <x:v>4</x:v>
      </x:c>
      <x:c r="B9" s="43" t="n">
        <x:f>Assumptions!$B$26</x:f>
        <x:v>18975</x:v>
      </x:c>
      <x:c r="C9" s="43" t="n">
        <x:f>'Revenue Forecast'!E9</x:f>
        <x:v>22125</x:v>
      </x:c>
      <x:c r="D9" s="43" t="n">
        <x:f>'Financing Model'!$E$6</x:f>
        <x:v>1733.6813915516948</x:v>
      </x:c>
      <x:c r="E9" s="43" t="n">
        <x:f>C9-B9-D9</x:f>
        <x:v>1416.3186084483052</x:v>
      </x:c>
      <x:c r="F9" s="43" t="n">
        <x:f>'Financing Model'!$E$7</x:f>
        <x:v>1292.9706774711537</x:v>
      </x:c>
      <x:c r="G9" s="43" t="n">
        <x:f>C9-B9-F9</x:f>
        <x:v>1857.0293225288463</x:v>
      </x:c>
      <x:c r="H9" s="43" t="n">
        <x:f>MAX(0,(C9-B9)*'Financing Model'!$F$8)</x:f>
        <x:v>567</x:v>
      </x:c>
      <x:c r="I9" s="43" t="n">
        <x:f>C9-B9-H9</x:f>
        <x:v>2583</x:v>
      </x:c>
      <x:c r="J9" s="31" t="str">
        <x:v>Use this section to compare first-year survival risk.</x:v>
      </x:c>
      <x:c r="K9" s="33"/>
      <x:c r="L9" s="33"/>
      <x:c r="M9" s="33"/>
      <x:c r="N9" s="33"/>
      <x:c r="O9" s="33"/>
      <x:c r="P9" s="33"/>
    </x:row>
    <x:row r="10">
      <x:c r="A10" s="36" t="n">
        <x:v>5</x:v>
      </x:c>
      <x:c r="B10" s="43" t="n">
        <x:f>Assumptions!$B$26</x:f>
        <x:v>18975</x:v>
      </x:c>
      <x:c r="C10" s="43" t="n">
        <x:f>'Revenue Forecast'!E10</x:f>
        <x:v>23315</x:v>
      </x:c>
      <x:c r="D10" s="43" t="n">
        <x:f>'Financing Model'!$E$6</x:f>
        <x:v>1733.6813915516948</x:v>
      </x:c>
      <x:c r="E10" s="43" t="n">
        <x:f>C10-B10-D10</x:f>
        <x:v>2606.318608448305</x:v>
      </x:c>
      <x:c r="F10" s="43" t="n">
        <x:f>'Financing Model'!$E$7</x:f>
        <x:v>1292.9706774711537</x:v>
      </x:c>
      <x:c r="G10" s="43" t="n">
        <x:f>C10-B10-F10</x:f>
        <x:v>3047.029322528846</x:v>
      </x:c>
      <x:c r="H10" s="43" t="n">
        <x:f>MAX(0,(C10-B10)*'Financing Model'!$F$8)</x:f>
        <x:v>781.1999999999999</x:v>
      </x:c>
      <x:c r="I10" s="43" t="n">
        <x:f>C10-B10-H10</x:f>
        <x:v>3558.8</x:v>
      </x:c>
      <x:c r="J10" s="31" t="str">
        <x:v>Use this section to compare first-year survival risk.</x:v>
      </x:c>
      <x:c r="K10" s="33"/>
      <x:c r="L10" s="33"/>
      <x:c r="M10" s="33"/>
      <x:c r="N10" s="33"/>
      <x:c r="O10" s="33"/>
      <x:c r="P10" s="33"/>
    </x:row>
    <x:row r="11">
      <x:c r="A11" s="36" t="n">
        <x:v>6</x:v>
      </x:c>
      <x:c r="B11" s="43" t="n">
        <x:f>Assumptions!$B$26</x:f>
        <x:v>18975</x:v>
      </x:c>
      <x:c r="C11" s="43" t="n">
        <x:f>'Revenue Forecast'!E11</x:f>
        <x:v>24505</x:v>
      </x:c>
      <x:c r="D11" s="43" t="n">
        <x:f>'Financing Model'!$E$6</x:f>
        <x:v>1733.6813915516948</x:v>
      </x:c>
      <x:c r="E11" s="43" t="n">
        <x:f>C11-B11-D11</x:f>
        <x:v>3796.318608448305</x:v>
      </x:c>
      <x:c r="F11" s="43" t="n">
        <x:f>'Financing Model'!$E$7</x:f>
        <x:v>1292.9706774711537</x:v>
      </x:c>
      <x:c r="G11" s="43" t="n">
        <x:f>C11-B11-F11</x:f>
        <x:v>4237.029322528846</x:v>
      </x:c>
      <x:c r="H11" s="43" t="n">
        <x:f>MAX(0,(C11-B11)*'Financing Model'!$F$8)</x:f>
        <x:v>995.4</x:v>
      </x:c>
      <x:c r="I11" s="43" t="n">
        <x:f>C11-B11-H11</x:f>
        <x:v>4534.6</x:v>
      </x:c>
      <x:c r="J11" s="31" t="str">
        <x:v>Use this section to compare first-year survival risk.</x:v>
      </x:c>
      <x:c r="K11" s="33"/>
      <x:c r="L11" s="33"/>
      <x:c r="M11" s="33"/>
      <x:c r="N11" s="33"/>
      <x:c r="O11" s="33"/>
      <x:c r="P11" s="33"/>
    </x:row>
    <x:row r="12">
      <x:c r="A12" s="36" t="n">
        <x:v>7</x:v>
      </x:c>
      <x:c r="B12" s="43" t="n">
        <x:f>Assumptions!$B$26</x:f>
        <x:v>18975</x:v>
      </x:c>
      <x:c r="C12" s="43" t="n">
        <x:f>'Revenue Forecast'!E12</x:f>
        <x:v>24505</x:v>
      </x:c>
      <x:c r="D12" s="43" t="n">
        <x:f>'Financing Model'!$E$6</x:f>
        <x:v>1733.6813915516948</x:v>
      </x:c>
      <x:c r="E12" s="43" t="n">
        <x:f>C12-B12-D12</x:f>
        <x:v>3796.318608448305</x:v>
      </x:c>
      <x:c r="F12" s="43" t="n">
        <x:f>'Financing Model'!$E$7</x:f>
        <x:v>1292.9706774711537</x:v>
      </x:c>
      <x:c r="G12" s="43" t="n">
        <x:f>C12-B12-F12</x:f>
        <x:v>4237.029322528846</x:v>
      </x:c>
      <x:c r="H12" s="43" t="n">
        <x:f>MAX(0,(C12-B12)*'Financing Model'!$F$8)</x:f>
        <x:v>995.4</x:v>
      </x:c>
      <x:c r="I12" s="43" t="n">
        <x:f>C12-B12-H12</x:f>
        <x:v>4534.6</x:v>
      </x:c>
      <x:c r="J12" s="31" t="str">
        <x:v>Use this section to compare first-year survival risk.</x:v>
      </x:c>
      <x:c r="K12" s="33"/>
      <x:c r="L12" s="33"/>
      <x:c r="M12" s="33"/>
      <x:c r="N12" s="33"/>
      <x:c r="O12" s="33"/>
      <x:c r="P12" s="33"/>
    </x:row>
    <x:row r="13">
      <x:c r="A13" s="36" t="n">
        <x:v>8</x:v>
      </x:c>
      <x:c r="B13" s="43" t="n">
        <x:f>Assumptions!$B$26</x:f>
        <x:v>18975</x:v>
      </x:c>
      <x:c r="C13" s="43" t="n">
        <x:f>'Revenue Forecast'!E13</x:f>
        <x:v>24505</x:v>
      </x:c>
      <x:c r="D13" s="43" t="n">
        <x:f>'Financing Model'!$E$6</x:f>
        <x:v>1733.6813915516948</x:v>
      </x:c>
      <x:c r="E13" s="43" t="n">
        <x:f>C13-B13-D13</x:f>
        <x:v>3796.318608448305</x:v>
      </x:c>
      <x:c r="F13" s="43" t="n">
        <x:f>'Financing Model'!$E$7</x:f>
        <x:v>1292.9706774711537</x:v>
      </x:c>
      <x:c r="G13" s="43" t="n">
        <x:f>C13-B13-F13</x:f>
        <x:v>4237.029322528846</x:v>
      </x:c>
      <x:c r="H13" s="43" t="n">
        <x:f>MAX(0,(C13-B13)*'Financing Model'!$F$8)</x:f>
        <x:v>995.4</x:v>
      </x:c>
      <x:c r="I13" s="43" t="n">
        <x:f>C13-B13-H13</x:f>
        <x:v>4534.6</x:v>
      </x:c>
      <x:c r="J13" s="31" t="str">
        <x:v>Use this section to compare first-year survival risk.</x:v>
      </x:c>
      <x:c r="K13" s="33"/>
      <x:c r="L13" s="33"/>
      <x:c r="M13" s="33"/>
      <x:c r="N13" s="33"/>
      <x:c r="O13" s="33"/>
      <x:c r="P13" s="33"/>
    </x:row>
    <x:row r="14">
      <x:c r="A14" s="36" t="n">
        <x:v>9</x:v>
      </x:c>
      <x:c r="B14" s="43" t="n">
        <x:f>Assumptions!$B$26</x:f>
        <x:v>18975</x:v>
      </x:c>
      <x:c r="C14" s="43" t="n">
        <x:f>'Revenue Forecast'!E14</x:f>
        <x:v>24505</x:v>
      </x:c>
      <x:c r="D14" s="43" t="n">
        <x:f>'Financing Model'!$E$6</x:f>
        <x:v>1733.6813915516948</x:v>
      </x:c>
      <x:c r="E14" s="43" t="n">
        <x:f>C14-B14-D14</x:f>
        <x:v>3796.318608448305</x:v>
      </x:c>
      <x:c r="F14" s="43" t="n">
        <x:f>'Financing Model'!$E$7</x:f>
        <x:v>1292.9706774711537</x:v>
      </x:c>
      <x:c r="G14" s="43" t="n">
        <x:f>C14-B14-F14</x:f>
        <x:v>4237.029322528846</x:v>
      </x:c>
      <x:c r="H14" s="43" t="n">
        <x:f>MAX(0,(C14-B14)*'Financing Model'!$F$8)</x:f>
        <x:v>995.4</x:v>
      </x:c>
      <x:c r="I14" s="43" t="n">
        <x:f>C14-B14-H14</x:f>
        <x:v>4534.6</x:v>
      </x:c>
      <x:c r="J14" s="31" t="str">
        <x:v>Use this section to compare first-year survival risk.</x:v>
      </x:c>
      <x:c r="K14" s="33"/>
      <x:c r="L14" s="33"/>
      <x:c r="M14" s="33"/>
      <x:c r="N14" s="33"/>
      <x:c r="O14" s="33"/>
      <x:c r="P14" s="33"/>
    </x:row>
    <x:row r="15">
      <x:c r="A15" s="36" t="n">
        <x:v>10</x:v>
      </x:c>
      <x:c r="B15" s="43" t="n">
        <x:f>Assumptions!$B$26</x:f>
        <x:v>18975</x:v>
      </x:c>
      <x:c r="C15" s="43" t="n">
        <x:f>'Revenue Forecast'!E15</x:f>
        <x:v>24505</x:v>
      </x:c>
      <x:c r="D15" s="43" t="n">
        <x:f>'Financing Model'!$E$6</x:f>
        <x:v>1733.6813915516948</x:v>
      </x:c>
      <x:c r="E15" s="43" t="n">
        <x:f>C15-B15-D15</x:f>
        <x:v>3796.318608448305</x:v>
      </x:c>
      <x:c r="F15" s="43" t="n">
        <x:f>'Financing Model'!$E$7</x:f>
        <x:v>1292.9706774711537</x:v>
      </x:c>
      <x:c r="G15" s="43" t="n">
        <x:f>C15-B15-F15</x:f>
        <x:v>4237.029322528846</x:v>
      </x:c>
      <x:c r="H15" s="43" t="n">
        <x:f>MAX(0,(C15-B15)*'Financing Model'!$F$8)</x:f>
        <x:v>995.4</x:v>
      </x:c>
      <x:c r="I15" s="43" t="n">
        <x:f>C15-B15-H15</x:f>
        <x:v>4534.6</x:v>
      </x:c>
      <x:c r="J15" s="31" t="str">
        <x:v>Use this section to compare first-year survival risk.</x:v>
      </x:c>
      <x:c r="K15" s="33"/>
      <x:c r="L15" s="33"/>
      <x:c r="M15" s="33"/>
      <x:c r="N15" s="33"/>
      <x:c r="O15" s="33"/>
      <x:c r="P15" s="33"/>
    </x:row>
    <x:row r="16">
      <x:c r="A16" s="36" t="n">
        <x:v>11</x:v>
      </x:c>
      <x:c r="B16" s="43" t="n">
        <x:f>Assumptions!$B$26</x:f>
        <x:v>18975</x:v>
      </x:c>
      <x:c r="C16" s="43" t="n">
        <x:f>'Revenue Forecast'!E16</x:f>
        <x:v>24505</x:v>
      </x:c>
      <x:c r="D16" s="43" t="n">
        <x:f>'Financing Model'!$E$6</x:f>
        <x:v>1733.6813915516948</x:v>
      </x:c>
      <x:c r="E16" s="43" t="n">
        <x:f>C16-B16-D16</x:f>
        <x:v>3796.318608448305</x:v>
      </x:c>
      <x:c r="F16" s="43" t="n">
        <x:f>'Financing Model'!$E$7</x:f>
        <x:v>1292.9706774711537</x:v>
      </x:c>
      <x:c r="G16" s="43" t="n">
        <x:f>C16-B16-F16</x:f>
        <x:v>4237.029322528846</x:v>
      </x:c>
      <x:c r="H16" s="43" t="n">
        <x:f>MAX(0,(C16-B16)*'Financing Model'!$F$8)</x:f>
        <x:v>995.4</x:v>
      </x:c>
      <x:c r="I16" s="43" t="n">
        <x:f>C16-B16-H16</x:f>
        <x:v>4534.6</x:v>
      </x:c>
      <x:c r="J16" s="31" t="str">
        <x:v>Use this section to compare first-year survival risk.</x:v>
      </x:c>
      <x:c r="K16" s="33"/>
      <x:c r="L16" s="33"/>
      <x:c r="M16" s="33"/>
      <x:c r="N16" s="33"/>
      <x:c r="O16" s="33"/>
      <x:c r="P16" s="33"/>
    </x:row>
    <x:row r="17">
      <x:c r="A17" s="36" t="n">
        <x:v>12</x:v>
      </x:c>
      <x:c r="B17" s="43" t="n">
        <x:f>Assumptions!$B$26</x:f>
        <x:v>18975</x:v>
      </x:c>
      <x:c r="C17" s="43" t="n">
        <x:f>'Revenue Forecast'!E17</x:f>
        <x:v>24505</x:v>
      </x:c>
      <x:c r="D17" s="43" t="n">
        <x:f>'Financing Model'!$E$6</x:f>
        <x:v>1733.6813915516948</x:v>
      </x:c>
      <x:c r="E17" s="43" t="n">
        <x:f>C17-B17-D17</x:f>
        <x:v>3796.318608448305</x:v>
      </x:c>
      <x:c r="F17" s="43" t="n">
        <x:f>'Financing Model'!$E$7</x:f>
        <x:v>1292.9706774711537</x:v>
      </x:c>
      <x:c r="G17" s="43" t="n">
        <x:f>C17-B17-F17</x:f>
        <x:v>4237.029322528846</x:v>
      </x:c>
      <x:c r="H17" s="43" t="n">
        <x:f>MAX(0,(C17-B17)*'Financing Model'!$F$8)</x:f>
        <x:v>995.4</x:v>
      </x:c>
      <x:c r="I17" s="43" t="n">
        <x:f>C17-B17-H17</x:f>
        <x:v>4534.6</x:v>
      </x:c>
      <x:c r="J17" s="31" t="str">
        <x:v>Use this section to compare first-year survival risk.</x:v>
      </x:c>
      <x:c r="K17" s="33"/>
      <x:c r="L17" s="33"/>
      <x:c r="M17" s="33"/>
      <x:c r="N17" s="33"/>
      <x:c r="O17" s="33"/>
      <x:c r="P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</x:row>
  </x:sheetData>
  <x:conditionalFormatting sqref="E6:E17">
    <x:cfRule type="cellIs" dxfId="0" priority="1" operator="lessThan">
      <x:formula>0</x:formula>
    </x:cfRule>
  </x:conditionalFormatting>
  <x:conditionalFormatting sqref="G6:G17">
    <x:cfRule type="cellIs" dxfId="1" priority="2" operator="lessThan">
      <x:formula>0</x:formula>
    </x:cfRule>
  </x:conditionalFormatting>
  <x:conditionalFormatting sqref="I6:I17">
    <x:cfRule type="cellIs" dxfId="2" priority="3" operator="lessThan">
      <x:formula>0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4.440000534057617" hidden="0" customWidth="1"/>
    <x:col min="2" max="2" width="16.670000076293945" hidden="0" customWidth="1"/>
    <x:col min="3" max="3" width="16.670000076293945" hidden="0" customWidth="1"/>
    <x:col min="4" max="4" width="16.670000076293945" hidden="0" customWidth="1"/>
    <x:col min="5" max="5" width="16.670000076293945" hidden="0" customWidth="1"/>
    <x:col min="6" max="6" width="18.889999389648438" hidden="0" customWidth="1"/>
    <x:col min="7" max="7" width="28.889999389648438" hidden="0" customWidth="1"/>
    <x:col min="8" max="8" width="16.670000076293945" hidden="0" customWidth="1"/>
  </x:cols>
  <x:sheetData>
    <x:row r="1">
      <x:c r="A1" s="32" t="str">
        <x:v>Dashboard</x:v>
      </x:c>
      <x:c r="B1" s="32" t="str"/>
      <x:c r="C1" s="32" t="str"/>
      <x:c r="D1" s="32" t="str"/>
      <x:c r="E1" s="32" t="str"/>
      <x:c r="F1" s="32" t="str"/>
      <x:c r="G1" s="32" t="str"/>
      <x:c r="H1" s="33"/>
      <x:c r="I1" s="33"/>
      <x:c r="J1" s="33"/>
      <x:c r="K1" s="33"/>
      <x:c r="L1" s="33"/>
      <x:c r="M1" s="33"/>
      <x:c r="N1" s="33"/>
      <x:c r="O1" s="33"/>
      <x:c r="P1" s="33"/>
    </x:row>
    <x:row r="2">
      <x:c r="A2" s="34" t="str">
        <x:v>Use the metrics below to support a recommendation.</x:v>
      </x:c>
      <x:c r="B2" s="34" t="str"/>
      <x:c r="C2" s="34" t="str"/>
      <x:c r="D2" s="34" t="str"/>
      <x:c r="E2" s="34" t="str"/>
      <x:c r="F2" s="34" t="str"/>
      <x:c r="G2" s="34" t="str"/>
      <x:c r="H2" s="33"/>
      <x:c r="I2" s="33"/>
      <x:c r="J2" s="33"/>
      <x:c r="K2" s="33"/>
      <x:c r="L2" s="33"/>
      <x:c r="M2" s="33"/>
      <x:c r="N2" s="33"/>
      <x:c r="O2" s="33"/>
      <x:c r="P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>
      <x:c r="A5" s="35" t="str">
        <x:v>Metric</x:v>
      </x:c>
      <x:c r="B5" s="35" t="str">
        <x:v>Bank Loan</x:v>
      </x:c>
      <x:c r="C5" s="35" t="str">
        <x:v>Equipment Financing</x:v>
      </x:c>
      <x:c r="D5" s="35" t="str">
        <x:v>Investor Funding</x:v>
      </x:c>
      <x:c r="E5" s="35" t="str">
        <x:v>Best Numeric Result</x:v>
      </x:c>
      <x:c r="F5" s="35" t="str">
        <x:v>Student Notes</x:v>
      </x:c>
      <x:c r="G5" s="33"/>
      <x:c r="H5" s="33"/>
      <x:c r="I5" s="33"/>
      <x:c r="J5" s="33"/>
      <x:c r="K5" s="33"/>
      <x:c r="L5" s="33"/>
      <x:c r="M5" s="33"/>
      <x:c r="N5" s="33"/>
      <x:c r="O5" s="33"/>
      <x:c r="P5" s="33"/>
    </x:row>
    <x:row r="6">
      <x:c r="A6" s="36" t="str">
        <x:v>Monthly fixed financing cost</x:v>
      </x:c>
      <x:c r="B6" s="43" t="n">
        <x:f>'Financing Model'!E6</x:f>
        <x:v>1733.6813915516948</x:v>
      </x:c>
      <x:c r="C6" s="43" t="n">
        <x:f>'Financing Model'!E7</x:f>
        <x:v>1292.9706774711537</x:v>
      </x:c>
      <x:c r="D6" s="43" t="n">
        <x:f>'Financing Model'!E8</x:f>
        <x:v>0</x:v>
      </x:c>
      <x:c r="E6" s="43" t="n">
        <x:f>MIN(B6:D6)</x:f>
        <x:v>0</x:v>
      </x:c>
      <x:c r="F6" s="31" t="str">
        <x:v>Lower fixed cost reduces survival pressure.</x:v>
      </x:c>
      <x:c r="G6" s="33"/>
      <x:c r="H6" s="33"/>
      <x:c r="I6" s="33"/>
      <x:c r="J6" s="33"/>
      <x:c r="K6" s="33"/>
      <x:c r="L6" s="33"/>
      <x:c r="M6" s="33"/>
      <x:c r="N6" s="33"/>
      <x:c r="O6" s="33"/>
      <x:c r="P6" s="33"/>
    </x:row>
    <x:row r="7">
      <x:c r="A7" s="36" t="str">
        <x:v>Lowest monthly cash flow</x:v>
      </x:c>
      <x:c r="B7" s="43" t="n">
        <x:f>MIN('Cash Flow Model'!E6:E17)</x:f>
        <x:v>-3938.681391551695</x:v>
      </x:c>
      <x:c r="C7" s="43" t="n">
        <x:f>MIN('Cash Flow Model'!G6:G17)</x:f>
        <x:v>-3497.970677471154</x:v>
      </x:c>
      <x:c r="D7" s="43" t="n">
        <x:f>MIN('Cash Flow Model'!I6:I17)</x:f>
        <x:v>-2205</x:v>
      </x:c>
      <x:c r="E7" s="43" t="n">
        <x:f>MAX(B7:D7)</x:f>
        <x:v>-2205</x:v>
      </x:c>
      <x:c r="F7" s="31" t="str">
        <x:v>This is the weakest month in the expected scenario.</x:v>
      </x:c>
      <x:c r="G7" s="33"/>
      <x:c r="H7" s="33"/>
      <x:c r="I7" s="33"/>
      <x:c r="J7" s="33"/>
      <x:c r="K7" s="33"/>
      <x:c r="L7" s="33"/>
      <x:c r="M7" s="33"/>
      <x:c r="N7" s="33"/>
      <x:c r="O7" s="33"/>
      <x:c r="P7" s="33"/>
    </x:row>
    <x:row r="8">
      <x:c r="A8" s="36" t="str">
        <x:v>Total first-year cash flow</x:v>
      </x:c>
      <x:c r="B8" s="43" t="n">
        <x:f>SUM('Cash Flow Model'!E6:E17)</x:f>
        <x:v>24135.823301379663</x:v>
      </x:c>
      <x:c r="C8" s="43" t="n">
        <x:f>SUM('Cash Flow Model'!G6:G17)</x:f>
        <x:v>29424.35187034616</x:v>
      </x:c>
      <x:c r="D8" s="43" t="n">
        <x:f>SUM('Cash Flow Model'!I6:I17)</x:f>
        <x:v>36378.299999999996</x:v>
      </x:c>
      <x:c r="E8" s="43" t="n">
        <x:f>MAX(B8:D8)</x:f>
        <x:v>36378.299999999996</x:v>
      </x:c>
      <x:c r="F8" s="31" t="str">
        <x:v>This summarizes the first-year outcome.</x:v>
      </x:c>
      <x:c r="G8" s="33"/>
      <x:c r="H8" s="33"/>
      <x:c r="I8" s="33"/>
      <x:c r="J8" s="33"/>
      <x:c r="K8" s="33"/>
      <x:c r="L8" s="33"/>
      <x:c r="M8" s="33"/>
      <x:c r="N8" s="33"/>
      <x:c r="O8" s="33"/>
      <x:c r="P8" s="33"/>
    </x:row>
    <x:row r="9">
      <x:c r="A9" s="36" t="str">
        <x:v>Break-even members</x:v>
      </x:c>
      <x:c r="B9" s="46" t="n">
        <x:f>(Assumptions!$B$26+B6-(140*Assumptions!$E$13)-Assumptions!$E$14)/Assumptions!$E$12</x:f>
        <x:v>143.09816295421592</x:v>
      </x:c>
      <x:c r="C9" s="46" t="n">
        <x:f>(Assumptions!$B$26+C6-(140*Assumptions!$E$13)-Assumptions!$E$14)/Assumptions!$E$12</x:f>
        <x:v>139.39471157538784</x:v>
      </x:c>
      <x:c r="D9" s="46" t="n">
        <x:f>(Assumptions!$B$26+D6-(140*Assumptions!$E$13)-Assumptions!$E$14)/Assumptions!$E$12</x:f>
        <x:v>128.52941176470588</x:v>
      </x:c>
      <x:c r="E9" s="46" t="n">
        <x:f>MIN(B9:D9)</x:f>
        <x:v>128.52941176470588</x:v>
      </x:c>
      <x:c r="F9" s="31" t="str">
        <x:v>Approximate members needed to cover operating costs and fixed financing.</x:v>
      </x:c>
      <x:c r="G9" s="33"/>
      <x:c r="H9" s="33"/>
      <x:c r="I9" s="33"/>
      <x:c r="J9" s="33"/>
      <x:c r="K9" s="33"/>
      <x:c r="L9" s="33"/>
      <x:c r="M9" s="33"/>
      <x:c r="N9" s="33"/>
      <x:c r="O9" s="33"/>
      <x:c r="P9" s="33"/>
    </x:row>
    <x:row r="10">
      <x:c r="A10" s="36" t="str">
        <x:v>Recommendation</x:v>
      </x:c>
      <x:c r="B10" s="47" t="str">
        <x:v>Student choice</x:v>
      </x:c>
      <x:c r="C10" s="47" t="str">
        <x:v>Student choice</x:v>
      </x:c>
      <x:c r="D10" s="47" t="str">
        <x:v>Student choice</x:v>
      </x:c>
      <x:c r="E10" s="36" t="str"/>
      <x:c r="F10" s="31" t="str">
        <x:v>Student enters a recommendation after reviewing tradeoffs.</x:v>
      </x:c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</x:row>
    <x:row r="14">
      <x:c r="A14" s="35" t="str">
        <x:v>Option</x:v>
      </x:c>
      <x:c r="B14" s="35" t="str">
        <x:v>Total First-Year Cash Flow</x:v>
      </x:c>
      <x:c r="C14" s="35" t="str">
        <x:v>Lowest Monthly Cash Flow</x:v>
      </x:c>
      <x:c r="D14" s="35" t="str">
        <x:v>Break-Even Members</x:v>
      </x:c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</x:row>
    <x:row r="15">
      <x:c r="A15" s="36" t="str">
        <x:v>Bank loan</x:v>
      </x:c>
      <x:c r="B15" s="43" t="n">
        <x:f>B8</x:f>
        <x:v>24135.823301379663</x:v>
      </x:c>
      <x:c r="C15" s="43" t="n">
        <x:f>B7</x:f>
        <x:v>-3938.681391551695</x:v>
      </x:c>
      <x:c r="D15" s="46" t="n">
        <x:f>B9</x:f>
        <x:v>143.09816295421592</x:v>
      </x:c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</x:row>
    <x:row r="16">
      <x:c r="A16" s="36" t="str">
        <x:v>Equipment financing</x:v>
      </x:c>
      <x:c r="B16" s="43" t="n">
        <x:f>C8</x:f>
        <x:v>29424.35187034616</x:v>
      </x:c>
      <x:c r="C16" s="43" t="n">
        <x:f>C7</x:f>
        <x:v>-3497.970677471154</x:v>
      </x:c>
      <x:c r="D16" s="46" t="n">
        <x:f>C9</x:f>
        <x:v>139.39471157538784</x:v>
      </x:c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</x:row>
    <x:row r="17">
      <x:c r="A17" s="36" t="str">
        <x:v>Investor funding</x:v>
      </x:c>
      <x:c r="B17" s="43" t="n">
        <x:f>D8</x:f>
        <x:v>36378.299999999996</x:v>
      </x:c>
      <x:c r="C17" s="43" t="n">
        <x:f>D7</x:f>
        <x:v>-2205</x:v>
      </x:c>
      <x:c r="D17" s="46" t="n">
        <x:f>D9</x:f>
        <x:v>128.52941176470588</x:v>
      </x:c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</x:row>
    <x:row r="21">
      <x:c r="A21" s="35" t="str">
        <x:v>Month</x:v>
      </x:c>
      <x:c r="B21" s="35" t="str">
        <x:v>Bank Loan</x:v>
      </x:c>
      <x:c r="C21" s="35" t="str">
        <x:v>Equipment Financing</x:v>
      </x:c>
      <x:c r="D21" s="35" t="str">
        <x:v>Investor Funding</x:v>
      </x:c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</x:row>
    <x:row r="22">
      <x:c r="A22" s="36" t="n">
        <x:v>1</x:v>
      </x:c>
      <x:c r="B22" s="43" t="n">
        <x:f>'Cash Flow Model'!E6</x:f>
        <x:v>-3938.681391551695</x:v>
      </x:c>
      <x:c r="C22" s="43" t="n">
        <x:f>'Cash Flow Model'!G6</x:f>
        <x:v>-3497.970677471154</x:v>
      </x:c>
      <x:c r="D22" s="43" t="n">
        <x:f>'Cash Flow Model'!I6</x:f>
        <x:v>-2205</x:v>
      </x:c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</x:row>
    <x:row r="23">
      <x:c r="A23" s="36" t="n">
        <x:v>2</x:v>
      </x:c>
      <x:c r="B23" s="43" t="n">
        <x:f>'Cash Flow Model'!E7</x:f>
        <x:v>-2153.681391551695</x:v>
      </x:c>
      <x:c r="C23" s="43" t="n">
        <x:f>'Cash Flow Model'!G7</x:f>
        <x:v>-1712.9706774711537</x:v>
      </x:c>
      <x:c r="D23" s="43" t="n">
        <x:f>'Cash Flow Model'!I7</x:f>
        <x:v>-420</x:v>
      </x:c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</x:row>
    <x:row r="24">
      <x:c r="A24" s="36" t="n">
        <x:v>3</x:v>
      </x:c>
      <x:c r="B24" s="43" t="n">
        <x:f>'Cash Flow Model'!E8</x:f>
        <x:v>-368.6813915516948</x:v>
      </x:c>
      <x:c r="C24" s="43" t="n">
        <x:f>'Cash Flow Model'!G8</x:f>
        <x:v>72.02932252884625</x:v>
      </x:c>
      <x:c r="D24" s="43" t="n">
        <x:f>'Cash Flow Model'!I8</x:f>
        <x:v>1119.3</x:v>
      </x:c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</x:row>
    <x:row r="25">
      <x:c r="A25" s="36" t="n">
        <x:v>4</x:v>
      </x:c>
      <x:c r="B25" s="43" t="n">
        <x:f>'Cash Flow Model'!E9</x:f>
        <x:v>1416.3186084483052</x:v>
      </x:c>
      <x:c r="C25" s="43" t="n">
        <x:f>'Cash Flow Model'!G9</x:f>
        <x:v>1857.0293225288463</x:v>
      </x:c>
      <x:c r="D25" s="43" t="n">
        <x:f>'Cash Flow Model'!I9</x:f>
        <x:v>2583</x:v>
      </x:c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</x:row>
    <x:row r="26">
      <x:c r="A26" s="36" t="n">
        <x:v>5</x:v>
      </x:c>
      <x:c r="B26" s="43" t="n">
        <x:f>'Cash Flow Model'!E10</x:f>
        <x:v>2606.318608448305</x:v>
      </x:c>
      <x:c r="C26" s="43" t="n">
        <x:f>'Cash Flow Model'!G10</x:f>
        <x:v>3047.029322528846</x:v>
      </x:c>
      <x:c r="D26" s="43" t="n">
        <x:f>'Cash Flow Model'!I10</x:f>
        <x:v>3558.8</x:v>
      </x:c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</x:row>
    <x:row r="27">
      <x:c r="A27" s="36" t="n">
        <x:v>6</x:v>
      </x:c>
      <x:c r="B27" s="43" t="n">
        <x:f>'Cash Flow Model'!E11</x:f>
        <x:v>3796.318608448305</x:v>
      </x:c>
      <x:c r="C27" s="43" t="n">
        <x:f>'Cash Flow Model'!G11</x:f>
        <x:v>4237.029322528846</x:v>
      </x:c>
      <x:c r="D27" s="43" t="n">
        <x:f>'Cash Flow Model'!I11</x:f>
        <x:v>4534.6</x:v>
      </x:c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</x:row>
    <x:row r="28">
      <x:c r="A28" s="36" t="n">
        <x:v>7</x:v>
      </x:c>
      <x:c r="B28" s="43" t="n">
        <x:f>'Cash Flow Model'!E12</x:f>
        <x:v>3796.318608448305</x:v>
      </x:c>
      <x:c r="C28" s="43" t="n">
        <x:f>'Cash Flow Model'!G12</x:f>
        <x:v>4237.029322528846</x:v>
      </x:c>
      <x:c r="D28" s="43" t="n">
        <x:f>'Cash Flow Model'!I12</x:f>
        <x:v>4534.6</x:v>
      </x:c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</x:row>
    <x:row r="29">
      <x:c r="A29" s="36" t="n">
        <x:v>8</x:v>
      </x:c>
      <x:c r="B29" s="43" t="n">
        <x:f>'Cash Flow Model'!E13</x:f>
        <x:v>3796.318608448305</x:v>
      </x:c>
      <x:c r="C29" s="43" t="n">
        <x:f>'Cash Flow Model'!G13</x:f>
        <x:v>4237.029322528846</x:v>
      </x:c>
      <x:c r="D29" s="43" t="n">
        <x:f>'Cash Flow Model'!I13</x:f>
        <x:v>4534.6</x:v>
      </x:c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</x:row>
    <x:row r="30">
      <x:c r="A30" s="36" t="n">
        <x:v>9</x:v>
      </x:c>
      <x:c r="B30" s="43" t="n">
        <x:f>'Cash Flow Model'!E14</x:f>
        <x:v>3796.318608448305</x:v>
      </x:c>
      <x:c r="C30" s="43" t="n">
        <x:f>'Cash Flow Model'!G14</x:f>
        <x:v>4237.029322528846</x:v>
      </x:c>
      <x:c r="D30" s="43" t="n">
        <x:f>'Cash Flow Model'!I14</x:f>
        <x:v>4534.6</x:v>
      </x:c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</x:row>
    <x:row r="31">
      <x:c r="A31" s="36" t="n">
        <x:v>10</x:v>
      </x:c>
      <x:c r="B31" s="43" t="n">
        <x:f>'Cash Flow Model'!E15</x:f>
        <x:v>3796.318608448305</x:v>
      </x:c>
      <x:c r="C31" s="43" t="n">
        <x:f>'Cash Flow Model'!G15</x:f>
        <x:v>4237.029322528846</x:v>
      </x:c>
      <x:c r="D31" s="43" t="n">
        <x:f>'Cash Flow Model'!I15</x:f>
        <x:v>4534.6</x:v>
      </x:c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</x:row>
    <x:row r="32">
      <x:c r="A32" s="36" t="n">
        <x:v>11</x:v>
      </x:c>
      <x:c r="B32" s="43" t="n">
        <x:f>'Cash Flow Model'!E16</x:f>
        <x:v>3796.318608448305</x:v>
      </x:c>
      <x:c r="C32" s="43" t="n">
        <x:f>'Cash Flow Model'!G16</x:f>
        <x:v>4237.029322528846</x:v>
      </x:c>
      <x:c r="D32" s="43" t="n">
        <x:f>'Cash Flow Model'!I16</x:f>
        <x:v>4534.6</x:v>
      </x:c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</x:row>
    <x:row r="33">
      <x:c r="A33" s="36" t="n">
        <x:v>12</x:v>
      </x:c>
      <x:c r="B33" s="43" t="n">
        <x:f>'Cash Flow Model'!E17</x:f>
        <x:v>3796.318608448305</x:v>
      </x:c>
      <x:c r="C33" s="43" t="n">
        <x:f>'Cash Flow Model'!G17</x:f>
        <x:v>4237.029322528846</x:v>
      </x:c>
      <x:c r="D33" s="43" t="n">
        <x:f>'Cash Flow Model'!I17</x:f>
        <x:v>4534.6</x:v>
      </x:c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</x:row>
  </x:sheetData>
  <x:pageMargins left="0.7" right="0.7" top="0.75" bottom="0.75" header="0.3" footer="0.3"/>
  <x:drawing xmlns:r="http://schemas.openxmlformats.org/officeDocument/2006/relationships" r:id="Rb530e77a814f4663"/>
</x:worksheet>
</file>

<file path=xl/worksheets/sheet7.xml><?xml version="1.0" encoding="utf-8"?>
<x:worksheet xmlns:x="http://schemas.openxmlformats.org/spreadsheetml/2006/main">
  <x:sheetFormatPr defaultRowHeight="15"/>
  <x:cols>
    <x:col min="1" max="1" width="28.889999389648438" hidden="0" customWidth="1"/>
    <x:col min="2" max="2" width="13.329999923706055" hidden="0" customWidth="1"/>
    <x:col min="3" max="3" width="13.329999923706055" hidden="0" customWidth="1"/>
    <x:col min="4" max="4" width="13.329999923706055" hidden="0" customWidth="1"/>
    <x:col min="5" max="5" width="11.109999656677246" hidden="0" customWidth="1"/>
    <x:col min="6" max="6" width="37.779998779296875" hidden="0" customWidth="1"/>
  </x:cols>
  <x:sheetData>
    <x:row r="1">
      <x:c r="A1" s="32" t="str">
        <x:v>Checks</x:v>
      </x:c>
      <x:c r="B1" s="32" t="str"/>
      <x:c r="C1" s="32" t="str"/>
      <x:c r="D1" s="32" t="str"/>
      <x:c r="E1" s="32" t="str"/>
      <x:c r="F1" s="32" t="str"/>
      <x:c r="G1" s="32" t="str"/>
      <x:c r="H1" s="33"/>
      <x:c r="I1" s="33"/>
      <x:c r="J1" s="33"/>
      <x:c r="K1" s="33"/>
      <x:c r="L1" s="33"/>
      <x:c r="M1" s="33"/>
      <x:c r="N1" s="33"/>
      <x:c r="O1" s="33"/>
      <x:c r="P1" s="33"/>
    </x:row>
    <x:row r="2">
      <x:c r="A2" s="34" t="str">
        <x:v>Student-visible model checks for structure and reasonableness.</x:v>
      </x:c>
      <x:c r="B2" s="34" t="str"/>
      <x:c r="C2" s="34" t="str"/>
      <x:c r="D2" s="34" t="str"/>
      <x:c r="E2" s="34" t="str"/>
      <x:c r="F2" s="34" t="str"/>
      <x:c r="G2" s="34" t="str"/>
      <x:c r="H2" s="33"/>
      <x:c r="I2" s="33"/>
      <x:c r="J2" s="33"/>
      <x:c r="K2" s="33"/>
      <x:c r="L2" s="33"/>
      <x:c r="M2" s="33"/>
      <x:c r="N2" s="33"/>
      <x:c r="O2" s="33"/>
      <x:c r="P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>
      <x:c r="A5" s="35" t="str">
        <x:v>Check</x:v>
      </x:c>
      <x:c r="B5" s="35" t="str">
        <x:v>Actual</x:v>
      </x:c>
      <x:c r="C5" s="35" t="str">
        <x:v>Expected</x:v>
      </x:c>
      <x:c r="D5" s="35" t="str">
        <x:v>Difference</x:v>
      </x:c>
      <x:c r="E5" s="35" t="str">
        <x:v>Status</x:v>
      </x:c>
      <x:c r="F5" s="35" t="str">
        <x:v>Notes</x:v>
      </x:c>
      <x:c r="G5" s="33"/>
      <x:c r="H5" s="33"/>
      <x:c r="I5" s="33"/>
      <x:c r="J5" s="33"/>
      <x:c r="K5" s="33"/>
      <x:c r="L5" s="33"/>
      <x:c r="M5" s="33"/>
      <x:c r="N5" s="33"/>
      <x:c r="O5" s="33"/>
      <x:c r="P5" s="33"/>
    </x:row>
    <x:row r="6">
      <x:c r="A6" s="36" t="str">
        <x:v>Startup cost total</x:v>
      </x:c>
      <x:c r="B6" s="43" t="n">
        <x:f>Assumptions!B13</x:f>
        <x:v>85000</x:v>
      </x:c>
      <x:c r="C6" s="43" t="n">
        <x:v>85000</x:v>
      </x:c>
      <x:c r="D6" s="43" t="n">
        <x:f>B6-C6</x:f>
        <x:v>0</x:v>
      </x:c>
      <x:c r="E6" s="36" t="str">
        <x:f>IF(ABS(D6)&lt;1,"OK","Review")</x:f>
        <x:v>OK</x:v>
      </x:c>
      <x:c r="F6" s="31" t="str">
        <x:v>Total should equal the provided funding need.</x:v>
      </x:c>
      <x:c r="G6" s="33"/>
      <x:c r="H6" s="33"/>
      <x:c r="I6" s="33"/>
      <x:c r="J6" s="33"/>
      <x:c r="K6" s="33"/>
      <x:c r="L6" s="33"/>
      <x:c r="M6" s="33"/>
      <x:c r="N6" s="33"/>
      <x:c r="O6" s="33"/>
      <x:c r="P6" s="33"/>
    </x:row>
    <x:row r="7">
      <x:c r="A7" s="36" t="str">
        <x:v>Forecast months</x:v>
      </x:c>
      <x:c r="B7" s="43" t="n">
        <x:v>12</x:v>
      </x:c>
      <x:c r="C7" s="43" t="n">
        <x:v>12</x:v>
      </x:c>
      <x:c r="D7" s="43" t="n">
        <x:f>B7-C7</x:f>
        <x:v>0</x:v>
      </x:c>
      <x:c r="E7" s="36" t="str">
        <x:f>IF(D7=0,"OK","Review")</x:f>
        <x:v>OK</x:v>
      </x:c>
      <x:c r="F7" s="31" t="str">
        <x:v>Revenue forecast should include 12 months.</x:v>
      </x:c>
      <x:c r="G7" s="33"/>
      <x:c r="H7" s="33"/>
      <x:c r="I7" s="33"/>
      <x:c r="J7" s="33"/>
      <x:c r="K7" s="33"/>
      <x:c r="L7" s="33"/>
      <x:c r="M7" s="33"/>
      <x:c r="N7" s="33"/>
      <x:c r="O7" s="33"/>
      <x:c r="P7" s="33"/>
    </x:row>
    <x:row r="8">
      <x:c r="A8" s="36" t="str">
        <x:v>Bank payment is positive</x:v>
      </x:c>
      <x:c r="B8" s="43" t="n">
        <x:f>'Financing Model'!E6</x:f>
        <x:v>1733.6813915516948</x:v>
      </x:c>
      <x:c r="C8" s="43" t="n">
        <x:v>0</x:v>
      </x:c>
      <x:c r="D8" s="43" t="b">
        <x:f>B8&gt;C8</x:f>
        <x:v>1</x:v>
      </x:c>
      <x:c r="E8" s="36" t="str">
        <x:f>IF(D8,"OK","Review")</x:f>
        <x:v>OK</x:v>
      </x:c>
      <x:c r="F8" s="31" t="str">
        <x:v>A fixed payment should calculate for the bank loan.</x:v>
      </x:c>
      <x:c r="G8" s="33"/>
      <x:c r="H8" s="33"/>
      <x:c r="I8" s="33"/>
      <x:c r="J8" s="33"/>
      <x:c r="K8" s="33"/>
      <x:c r="L8" s="33"/>
      <x:c r="M8" s="33"/>
      <x:c r="N8" s="33"/>
      <x:c r="O8" s="33"/>
      <x:c r="P8" s="33"/>
    </x:row>
    <x:row r="9">
      <x:c r="A9" s="36" t="str">
        <x:v>Equipment payment is positive</x:v>
      </x:c>
      <x:c r="B9" s="43" t="n">
        <x:f>'Financing Model'!E7</x:f>
        <x:v>1292.9706774711537</x:v>
      </x:c>
      <x:c r="C9" s="43" t="n">
        <x:v>0</x:v>
      </x:c>
      <x:c r="D9" s="43" t="b">
        <x:f>B9&gt;C9</x:f>
        <x:v>1</x:v>
      </x:c>
      <x:c r="E9" s="36" t="str">
        <x:f>IF(D9,"OK","Review")</x:f>
        <x:v>OK</x:v>
      </x:c>
      <x:c r="F9" s="31" t="str">
        <x:v>A fixed payment should calculate for equipment financing.</x:v>
      </x:c>
      <x:c r="G9" s="33"/>
      <x:c r="H9" s="33"/>
      <x:c r="I9" s="33"/>
      <x:c r="J9" s="33"/>
      <x:c r="K9" s="33"/>
      <x:c r="L9" s="33"/>
      <x:c r="M9" s="33"/>
      <x:c r="N9" s="33"/>
      <x:c r="O9" s="33"/>
      <x:c r="P9" s="33"/>
    </x:row>
    <x:row r="10">
      <x:c r="A10" s="36" t="str">
        <x:v>Model status</x:v>
      </x:c>
      <x:c r="B10" s="43" t="str"/>
      <x:c r="C10" s="43" t="str"/>
      <x:c r="D10" s="43" t="str"/>
      <x:c r="E10" s="36" t="str">
        <x:f>IF(COUNTIF(E6:E9,"Review")=0,"OK","Review")</x:f>
        <x:v>OK</x:v>
      </x:c>
      <x:c r="F10" s="31" t="str">
        <x:v>All checks should say OK before submission.</x:v>
      </x:c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</x:row>
    <x:row r="11">
      <x:c r="A11" s="33"/>
      <x:c r="B11" s="33"/>
      <x:c r="C11" s="33"/>
      <x:c r="D11" s="33"/>
      <x:c r="E11" s="33"/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</x:row>
  </x:sheetData>
  <x:conditionalFormatting sqref="E6:E10">
    <x:cfRule type="containsText" dxfId="3" priority="1" operator="containsText" text="OK"/>
    <x:cfRule type="containsText" dxfId="4" priority="2" operator="containsText" text="Review"/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4.440000534057617" hidden="0" customWidth="1"/>
    <x:col min="2" max="2" width="16.670000076293945" hidden="0" customWidth="1"/>
    <x:col min="3" max="3" width="16.670000076293945" hidden="0" customWidth="1"/>
    <x:col min="4" max="4" width="25.559999465942383" hidden="0" customWidth="1"/>
    <x:col min="5" max="5" width="47.779998779296875" hidden="0" customWidth="1"/>
  </x:cols>
  <x:sheetData>
    <x:row r="1">
      <x:c r="A1" s="32" t="str">
        <x:v>Sources</x:v>
      </x:c>
      <x:c r="B1" s="32" t="str"/>
      <x:c r="C1" s="32" t="str"/>
      <x:c r="D1" s="32" t="str"/>
      <x:c r="E1" s="32" t="str"/>
      <x:c r="F1" s="32" t="str"/>
      <x:c r="G1" s="32" t="str"/>
      <x:c r="H1" s="33"/>
      <x:c r="I1" s="33"/>
      <x:c r="J1" s="33"/>
      <x:c r="K1" s="33"/>
      <x:c r="L1" s="33"/>
      <x:c r="M1" s="33"/>
      <x:c r="N1" s="33"/>
      <x:c r="O1" s="33"/>
      <x:c r="P1" s="33"/>
    </x:row>
    <x:row r="2">
      <x:c r="A2" s="34" t="str">
        <x:v>Scenario assumptions and provenance.</x:v>
      </x:c>
      <x:c r="B2" s="34" t="str"/>
      <x:c r="C2" s="34" t="str"/>
      <x:c r="D2" s="34" t="str"/>
      <x:c r="E2" s="34" t="str"/>
      <x:c r="F2" s="34" t="str"/>
      <x:c r="G2" s="34" t="str"/>
      <x:c r="H2" s="33"/>
      <x:c r="I2" s="33"/>
      <x:c r="J2" s="33"/>
      <x:c r="K2" s="33"/>
      <x:c r="L2" s="33"/>
      <x:c r="M2" s="33"/>
      <x:c r="N2" s="33"/>
      <x:c r="O2" s="33"/>
      <x:c r="P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  <x:c r="J3" s="33"/>
      <x:c r="K3" s="33"/>
      <x:c r="L3" s="33"/>
      <x:c r="M3" s="33"/>
      <x:c r="N3" s="33"/>
      <x:c r="O3" s="33"/>
      <x:c r="P3" s="33"/>
    </x:row>
    <x:row r="4">
      <x:c r="A4" s="33"/>
      <x:c r="B4" s="33"/>
      <x:c r="C4" s="33"/>
      <x:c r="D4" s="33"/>
      <x:c r="E4" s="33"/>
      <x:c r="F4" s="33"/>
      <x:c r="G4" s="33"/>
      <x:c r="H4" s="33"/>
      <x:c r="I4" s="33"/>
      <x:c r="J4" s="33"/>
      <x:c r="K4" s="33"/>
      <x:c r="L4" s="33"/>
      <x:c r="M4" s="33"/>
      <x:c r="N4" s="33"/>
      <x:c r="O4" s="33"/>
      <x:c r="P4" s="33"/>
    </x:row>
    <x:row r="5">
      <x:c r="A5" s="35" t="str">
        <x:v>Item</x:v>
      </x:c>
      <x:c r="B5" s="35" t="str">
        <x:v>Value</x:v>
      </x:c>
      <x:c r="C5" s="35" t="str">
        <x:v>Units</x:v>
      </x:c>
      <x:c r="D5" s="35" t="str">
        <x:v>Source</x:v>
      </x:c>
      <x:c r="E5" s="35" t="str">
        <x:v>Notes</x:v>
      </x:c>
      <x:c r="F5" s="33"/>
      <x:c r="G5" s="33"/>
      <x:c r="H5" s="33"/>
      <x:c r="I5" s="33"/>
      <x:c r="J5" s="33"/>
      <x:c r="K5" s="33"/>
      <x:c r="L5" s="33"/>
      <x:c r="M5" s="33"/>
      <x:c r="N5" s="33"/>
      <x:c r="O5" s="33"/>
      <x:c r="P5" s="33"/>
    </x:row>
    <x:row r="6">
      <x:c r="A6" s="36" t="str">
        <x:v>Scenario business</x:v>
      </x:c>
      <x:c r="B6" s="36" t="str">
        <x:v>Northstar Bike Studio</x:v>
      </x:c>
      <x:c r="C6" s="36" t="str">
        <x:v>Text</x:v>
      </x:c>
      <x:c r="D6" s="36" t="str">
        <x:v>BUS123 example capstone</x:v>
      </x:c>
      <x:c r="E6" s="31" t="str">
        <x:v>Instructor-created scenario for finance capstone planning.</x:v>
      </x:c>
      <x:c r="F6" s="33"/>
      <x:c r="G6" s="33"/>
      <x:c r="H6" s="33"/>
      <x:c r="I6" s="33"/>
      <x:c r="J6" s="33"/>
      <x:c r="K6" s="33"/>
      <x:c r="L6" s="33"/>
      <x:c r="M6" s="33"/>
      <x:c r="N6" s="33"/>
      <x:c r="O6" s="33"/>
      <x:c r="P6" s="33"/>
    </x:row>
    <x:row r="7">
      <x:c r="A7" s="36" t="str">
        <x:v>As-of date</x:v>
      </x:c>
      <x:c r="B7" s="36" t="str">
        <x:v>2026-06-17</x:v>
      </x:c>
      <x:c r="C7" s="36" t="str">
        <x:v>Date</x:v>
      </x:c>
      <x:c r="D7" s="36" t="str">
        <x:v>Course planning draft</x:v>
      </x:c>
      <x:c r="E7" s="31" t="str">
        <x:v>Use as a classroom example; replace with live data if desired.</x:v>
      </x:c>
      <x:c r="F7" s="33"/>
      <x:c r="G7" s="33"/>
      <x:c r="H7" s="33"/>
      <x:c r="I7" s="33"/>
      <x:c r="J7" s="33"/>
      <x:c r="K7" s="33"/>
      <x:c r="L7" s="33"/>
      <x:c r="M7" s="33"/>
      <x:c r="N7" s="33"/>
      <x:c r="O7" s="33"/>
      <x:c r="P7" s="33"/>
    </x:row>
    <x:row r="8">
      <x:c r="A8" s="36" t="str">
        <x:v>Startup costs</x:v>
      </x:c>
      <x:c r="B8" s="36" t="n">
        <x:v>85000</x:v>
      </x:c>
      <x:c r="C8" s="36" t="str">
        <x:v>USD</x:v>
      </x:c>
      <x:c r="D8" s="36" t="str">
        <x:v>Instructor-created data packet</x:v>
      </x:c>
      <x:c r="E8" s="31" t="str">
        <x:v>Numbers are intentionally rounded for student modeling.</x:v>
      </x:c>
      <x:c r="F8" s="33"/>
      <x:c r="G8" s="33"/>
      <x:c r="H8" s="33"/>
      <x:c r="I8" s="33"/>
      <x:c r="J8" s="33"/>
      <x:c r="K8" s="33"/>
      <x:c r="L8" s="33"/>
      <x:c r="M8" s="33"/>
      <x:c r="N8" s="33"/>
      <x:c r="O8" s="33"/>
      <x:c r="P8" s="33"/>
    </x:row>
    <x:row r="9">
      <x:c r="A9" s="36" t="str">
        <x:v>Membership scenarios</x:v>
      </x:c>
      <x:c r="B9" s="36" t="str">
        <x:v>Conservative / Expected / Optimistic</x:v>
      </x:c>
      <x:c r="C9" s="36" t="str">
        <x:v>Members</x:v>
      </x:c>
      <x:c r="D9" s="36" t="str">
        <x:v>Instructor-created data packet</x:v>
      </x:c>
      <x:c r="E9" s="31" t="str">
        <x:v>Month 7-12 hold at Month 6 level to keep focus on financing decisions.</x:v>
      </x:c>
      <x:c r="F9" s="33"/>
      <x:c r="G9" s="33"/>
      <x:c r="H9" s="33"/>
      <x:c r="I9" s="33"/>
      <x:c r="J9" s="33"/>
      <x:c r="K9" s="33"/>
      <x:c r="L9" s="33"/>
      <x:c r="M9" s="33"/>
      <x:c r="N9" s="33"/>
      <x:c r="O9" s="33"/>
      <x:c r="P9" s="33"/>
    </x:row>
    <x:row r="10">
      <x:c r="A10" s="36" t="str">
        <x:v>Financing terms</x:v>
      </x:c>
      <x:c r="B10" s="36" t="str">
        <x:v>Bank / Equipment / Investor</x:v>
      </x:c>
      <x:c r="C10" s="36" t="str">
        <x:v>Mixed</x:v>
      </x:c>
      <x:c r="D10" s="36" t="str">
        <x:v>Instructor-created data packet</x:v>
      </x:c>
      <x:c r="E10" s="31" t="str">
        <x:v>Designed to practice PMT, cash flow, and tradeoff reasoning.</x:v>
      </x:c>
      <x:c r="F10" s="33"/>
      <x:c r="G10" s="33"/>
      <x:c r="H10" s="33"/>
      <x:c r="I10" s="33"/>
      <x:c r="J10" s="33"/>
      <x:c r="K10" s="33"/>
      <x:c r="L10" s="33"/>
      <x:c r="M10" s="33"/>
      <x:c r="N10" s="33"/>
      <x:c r="O10" s="33"/>
      <x:c r="P10" s="33"/>
    </x:row>
    <x:row r="11">
      <x:c r="A11" s="36" t="str">
        <x:v>Operating costs</x:v>
      </x:c>
      <x:c r="B11" s="36" t="str">
        <x:v>Monthly expense list</x:v>
      </x:c>
      <x:c r="C11" s="36" t="str">
        <x:v>USD</x:v>
      </x:c>
      <x:c r="D11" s="36" t="str">
        <x:v>Instructor-created data packet</x:v>
      </x:c>
      <x:c r="E11" s="31" t="str">
        <x:v>Designed for first-year cash flow modeling.</x:v>
      </x:c>
      <x:c r="F11" s="33"/>
      <x:c r="G11" s="33"/>
      <x:c r="H11" s="33"/>
      <x:c r="I11" s="33"/>
      <x:c r="J11" s="33"/>
      <x:c r="K11" s="33"/>
      <x:c r="L11" s="33"/>
      <x:c r="M11" s="33"/>
      <x:c r="N11" s="33"/>
      <x:c r="O11" s="33"/>
      <x:c r="P11" s="33"/>
    </x:row>
    <x:row r="12">
      <x:c r="A12" s="33"/>
      <x:c r="B12" s="33"/>
      <x:c r="C12" s="33"/>
      <x:c r="D12" s="33"/>
      <x:c r="E12" s="33"/>
      <x:c r="F12" s="33"/>
      <x:c r="G12" s="33"/>
      <x:c r="H12" s="33"/>
      <x:c r="I12" s="33"/>
      <x:c r="J12" s="33"/>
      <x:c r="K12" s="33"/>
      <x:c r="L12" s="33"/>
      <x:c r="M12" s="33"/>
      <x:c r="N12" s="33"/>
      <x:c r="O12" s="33"/>
      <x:c r="P12" s="33"/>
    </x:row>
    <x:row r="13">
      <x:c r="A13" s="33"/>
      <x:c r="B13" s="33"/>
      <x:c r="C13" s="33"/>
      <x:c r="D13" s="33"/>
      <x:c r="E13" s="33"/>
      <x:c r="F13" s="33"/>
      <x:c r="G13" s="33"/>
      <x:c r="H13" s="33"/>
      <x:c r="I13" s="33"/>
      <x:c r="J13" s="33"/>
      <x:c r="K13" s="33"/>
      <x:c r="L13" s="33"/>
      <x:c r="M13" s="33"/>
      <x:c r="N13" s="33"/>
      <x:c r="O13" s="33"/>
      <x:c r="P13" s="33"/>
    </x:row>
    <x:row r="14">
      <x:c r="A14" s="33"/>
      <x:c r="B14" s="33"/>
      <x:c r="C14" s="33"/>
      <x:c r="D14" s="33"/>
      <x:c r="E14" s="33"/>
      <x:c r="F14" s="33"/>
      <x:c r="G14" s="33"/>
      <x:c r="H14" s="33"/>
      <x:c r="I14" s="33"/>
      <x:c r="J14" s="33"/>
      <x:c r="K14" s="33"/>
      <x:c r="L14" s="33"/>
      <x:c r="M14" s="33"/>
      <x:c r="N14" s="33"/>
      <x:c r="O14" s="33"/>
      <x:c r="P14" s="33"/>
    </x:row>
    <x:row r="15">
      <x:c r="A15" s="33"/>
      <x:c r="B15" s="33"/>
      <x:c r="C15" s="33"/>
      <x:c r="D15" s="33"/>
      <x:c r="E15" s="33"/>
      <x:c r="F15" s="33"/>
      <x:c r="G15" s="33"/>
      <x:c r="H15" s="33"/>
      <x:c r="I15" s="33"/>
      <x:c r="J15" s="33"/>
      <x:c r="K15" s="33"/>
      <x:c r="L15" s="33"/>
      <x:c r="M15" s="33"/>
      <x:c r="N15" s="33"/>
      <x:c r="O15" s="33"/>
      <x:c r="P15" s="33"/>
    </x:row>
    <x:row r="16">
      <x:c r="A16" s="33"/>
      <x:c r="B16" s="33"/>
      <x:c r="C16" s="33"/>
      <x:c r="D16" s="33"/>
      <x:c r="E16" s="33"/>
      <x:c r="F16" s="33"/>
      <x:c r="G16" s="33"/>
      <x:c r="H16" s="33"/>
      <x:c r="I16" s="33"/>
      <x:c r="J16" s="33"/>
      <x:c r="K16" s="33"/>
      <x:c r="L16" s="33"/>
      <x:c r="M16" s="33"/>
      <x:c r="N16" s="33"/>
      <x:c r="O16" s="33"/>
      <x:c r="P16" s="33"/>
    </x:row>
    <x:row r="17">
      <x:c r="A17" s="33"/>
      <x:c r="B17" s="33"/>
      <x:c r="C17" s="33"/>
      <x:c r="D17" s="33"/>
      <x:c r="E17" s="33"/>
      <x:c r="F17" s="33"/>
      <x:c r="G17" s="33"/>
      <x:c r="H17" s="33"/>
      <x:c r="I17" s="33"/>
      <x:c r="J17" s="33"/>
      <x:c r="K17" s="33"/>
      <x:c r="L17" s="33"/>
      <x:c r="M17" s="33"/>
      <x:c r="N17" s="33"/>
      <x:c r="O17" s="33"/>
      <x:c r="P17" s="33"/>
    </x:row>
    <x:row r="18">
      <x:c r="A18" s="33"/>
      <x:c r="B18" s="33"/>
      <x:c r="C18" s="33"/>
      <x:c r="D18" s="33"/>
      <x:c r="E18" s="33"/>
      <x:c r="F18" s="33"/>
      <x:c r="G18" s="33"/>
      <x:c r="H18" s="33"/>
      <x:c r="I18" s="33"/>
      <x:c r="J18" s="33"/>
      <x:c r="K18" s="33"/>
      <x:c r="L18" s="33"/>
      <x:c r="M18" s="33"/>
      <x:c r="N18" s="33"/>
      <x:c r="O18" s="33"/>
      <x:c r="P18" s="33"/>
    </x:row>
    <x:row r="19">
      <x:c r="A19" s="33"/>
      <x:c r="B19" s="33"/>
      <x:c r="C19" s="33"/>
      <x:c r="D19" s="33"/>
      <x:c r="E19" s="33"/>
      <x:c r="F19" s="33"/>
      <x:c r="G19" s="33"/>
      <x:c r="H19" s="33"/>
      <x:c r="I19" s="33"/>
      <x:c r="J19" s="33"/>
      <x:c r="K19" s="33"/>
      <x:c r="L19" s="33"/>
      <x:c r="M19" s="33"/>
      <x:c r="N19" s="33"/>
      <x:c r="O19" s="33"/>
      <x:c r="P19" s="33"/>
    </x:row>
    <x:row r="20">
      <x:c r="A20" s="33"/>
      <x:c r="B20" s="33"/>
      <x:c r="C20" s="33"/>
      <x:c r="D20" s="33"/>
      <x:c r="E20" s="33"/>
      <x:c r="F20" s="33"/>
      <x:c r="G20" s="33"/>
      <x:c r="H20" s="33"/>
      <x:c r="I20" s="33"/>
      <x:c r="J20" s="33"/>
      <x:c r="K20" s="33"/>
      <x:c r="L20" s="33"/>
      <x:c r="M20" s="33"/>
      <x:c r="N20" s="33"/>
      <x:c r="O20" s="33"/>
      <x:c r="P20" s="33"/>
    </x:row>
    <x:row r="21">
      <x:c r="A21" s="33"/>
      <x:c r="B21" s="33"/>
      <x:c r="C21" s="33"/>
      <x:c r="D21" s="33"/>
      <x:c r="E21" s="33"/>
      <x:c r="F21" s="33"/>
      <x:c r="G21" s="33"/>
      <x:c r="H21" s="33"/>
      <x:c r="I21" s="33"/>
      <x:c r="J21" s="33"/>
      <x:c r="K21" s="33"/>
      <x:c r="L21" s="33"/>
      <x:c r="M21" s="33"/>
      <x:c r="N21" s="33"/>
      <x:c r="O21" s="33"/>
      <x:c r="P21" s="33"/>
    </x:row>
    <x:row r="22">
      <x:c r="A22" s="33"/>
      <x:c r="B22" s="33"/>
      <x:c r="C22" s="33"/>
      <x:c r="D22" s="33"/>
      <x:c r="E22" s="33"/>
      <x:c r="F22" s="33"/>
      <x:c r="G22" s="33"/>
      <x:c r="H22" s="33"/>
      <x:c r="I22" s="33"/>
      <x:c r="J22" s="33"/>
      <x:c r="K22" s="33"/>
      <x:c r="L22" s="33"/>
      <x:c r="M22" s="33"/>
      <x:c r="N22" s="33"/>
      <x:c r="O22" s="33"/>
      <x:c r="P22" s="33"/>
    </x:row>
    <x:row r="23">
      <x:c r="A23" s="33"/>
      <x:c r="B23" s="33"/>
      <x:c r="C23" s="33"/>
      <x:c r="D23" s="33"/>
      <x:c r="E23" s="33"/>
      <x:c r="F23" s="33"/>
      <x:c r="G23" s="33"/>
      <x:c r="H23" s="33"/>
      <x:c r="I23" s="33"/>
      <x:c r="J23" s="33"/>
      <x:c r="K23" s="33"/>
      <x:c r="L23" s="33"/>
      <x:c r="M23" s="33"/>
      <x:c r="N23" s="33"/>
      <x:c r="O23" s="33"/>
      <x:c r="P23" s="33"/>
    </x:row>
    <x:row r="24">
      <x:c r="A24" s="33"/>
      <x:c r="B24" s="33"/>
      <x:c r="C24" s="33"/>
      <x:c r="D24" s="33"/>
      <x:c r="E24" s="33"/>
      <x:c r="F24" s="33"/>
      <x:c r="G24" s="33"/>
      <x:c r="H24" s="33"/>
      <x:c r="I24" s="33"/>
      <x:c r="J24" s="33"/>
      <x:c r="K24" s="33"/>
      <x:c r="L24" s="33"/>
      <x:c r="M24" s="33"/>
      <x:c r="N24" s="33"/>
      <x:c r="O24" s="33"/>
      <x:c r="P24" s="33"/>
    </x:row>
    <x:row r="25">
      <x:c r="A25" s="33"/>
      <x:c r="B25" s="33"/>
      <x:c r="C25" s="33"/>
      <x:c r="D25" s="33"/>
      <x:c r="E25" s="33"/>
      <x:c r="F25" s="33"/>
      <x:c r="G25" s="33"/>
      <x:c r="H25" s="33"/>
      <x:c r="I25" s="33"/>
      <x:c r="J25" s="33"/>
      <x:c r="K25" s="33"/>
      <x:c r="L25" s="33"/>
      <x:c r="M25" s="33"/>
      <x:c r="N25" s="33"/>
      <x:c r="O25" s="33"/>
      <x:c r="P25" s="33"/>
    </x:row>
    <x:row r="26">
      <x:c r="A26" s="33"/>
      <x:c r="B26" s="33"/>
      <x:c r="C26" s="33"/>
      <x:c r="D26" s="33"/>
      <x:c r="E26" s="33"/>
      <x:c r="F26" s="33"/>
      <x:c r="G26" s="33"/>
      <x:c r="H26" s="33"/>
      <x:c r="I26" s="33"/>
      <x:c r="J26" s="33"/>
      <x:c r="K26" s="33"/>
      <x:c r="L26" s="33"/>
      <x:c r="M26" s="33"/>
      <x:c r="N26" s="33"/>
      <x:c r="O26" s="33"/>
      <x:c r="P26" s="33"/>
    </x:row>
    <x:row r="27">
      <x:c r="A27" s="33"/>
      <x:c r="B27" s="33"/>
      <x:c r="C27" s="33"/>
      <x:c r="D27" s="33"/>
      <x:c r="E27" s="33"/>
      <x:c r="F27" s="33"/>
      <x:c r="G27" s="33"/>
      <x:c r="H27" s="33"/>
      <x:c r="I27" s="33"/>
      <x:c r="J27" s="33"/>
      <x:c r="K27" s="33"/>
      <x:c r="L27" s="33"/>
      <x:c r="M27" s="33"/>
      <x:c r="N27" s="33"/>
      <x:c r="O27" s="33"/>
      <x:c r="P27" s="33"/>
    </x:row>
    <x:row r="28">
      <x:c r="A28" s="33"/>
      <x:c r="B28" s="33"/>
      <x:c r="C28" s="33"/>
      <x:c r="D28" s="33"/>
      <x:c r="E28" s="33"/>
      <x:c r="F28" s="33"/>
      <x:c r="G28" s="33"/>
      <x:c r="H28" s="33"/>
      <x:c r="I28" s="33"/>
      <x:c r="J28" s="33"/>
      <x:c r="K28" s="33"/>
      <x:c r="L28" s="33"/>
      <x:c r="M28" s="33"/>
      <x:c r="N28" s="33"/>
      <x:c r="O28" s="33"/>
      <x:c r="P28" s="33"/>
    </x:row>
    <x:row r="29">
      <x:c r="A29" s="33"/>
      <x:c r="B29" s="33"/>
      <x:c r="C29" s="33"/>
      <x:c r="D29" s="33"/>
      <x:c r="E29" s="33"/>
      <x:c r="F29" s="33"/>
      <x:c r="G29" s="33"/>
      <x:c r="H29" s="33"/>
      <x:c r="I29" s="33"/>
      <x:c r="J29" s="33"/>
      <x:c r="K29" s="33"/>
      <x:c r="L29" s="33"/>
      <x:c r="M29" s="33"/>
      <x:c r="N29" s="33"/>
      <x:c r="O29" s="33"/>
      <x:c r="P29" s="33"/>
    </x:row>
    <x:row r="30">
      <x:c r="A30" s="33"/>
      <x:c r="B30" s="33"/>
      <x:c r="C30" s="33"/>
      <x:c r="D30" s="33"/>
      <x:c r="E30" s="33"/>
      <x:c r="F30" s="33"/>
      <x:c r="G30" s="33"/>
      <x:c r="H30" s="33"/>
      <x:c r="I30" s="33"/>
      <x:c r="J30" s="33"/>
      <x:c r="K30" s="33"/>
      <x:c r="L30" s="33"/>
      <x:c r="M30" s="33"/>
      <x:c r="N30" s="33"/>
      <x:c r="O30" s="33"/>
      <x:c r="P30" s="33"/>
    </x:row>
    <x:row r="31">
      <x:c r="A31" s="33"/>
      <x:c r="B31" s="33"/>
      <x:c r="C31" s="33"/>
      <x:c r="D31" s="33"/>
      <x:c r="E31" s="33"/>
      <x:c r="F31" s="33"/>
      <x:c r="G31" s="33"/>
      <x:c r="H31" s="33"/>
      <x:c r="I31" s="33"/>
      <x:c r="J31" s="33"/>
      <x:c r="K31" s="33"/>
      <x:c r="L31" s="33"/>
      <x:c r="M31" s="33"/>
      <x:c r="N31" s="33"/>
      <x:c r="O31" s="33"/>
      <x:c r="P31" s="33"/>
    </x:row>
    <x:row r="32">
      <x:c r="A32" s="33"/>
      <x:c r="B32" s="33"/>
      <x:c r="C32" s="33"/>
      <x:c r="D32" s="33"/>
      <x:c r="E32" s="33"/>
      <x:c r="F32" s="33"/>
      <x:c r="G32" s="33"/>
      <x:c r="H32" s="33"/>
      <x:c r="I32" s="33"/>
      <x:c r="J32" s="33"/>
      <x:c r="K32" s="33"/>
      <x:c r="L32" s="33"/>
      <x:c r="M32" s="33"/>
      <x:c r="N32" s="33"/>
      <x:c r="O32" s="33"/>
      <x:c r="P32" s="33"/>
    </x:row>
    <x:row r="33">
      <x:c r="A33" s="33"/>
      <x:c r="B33" s="33"/>
      <x:c r="C33" s="33"/>
      <x:c r="D33" s="33"/>
      <x:c r="E33" s="33"/>
      <x:c r="F33" s="33"/>
      <x:c r="G33" s="33"/>
      <x:c r="H33" s="33"/>
      <x:c r="I33" s="33"/>
      <x:c r="J33" s="33"/>
      <x:c r="K33" s="33"/>
      <x:c r="L33" s="33"/>
      <x:c r="M33" s="33"/>
      <x:c r="N33" s="33"/>
      <x:c r="O33" s="33"/>
      <x:c r="P33" s="33"/>
    </x:row>
    <x:row r="34">
      <x:c r="A34" s="33"/>
      <x:c r="B34" s="33"/>
      <x:c r="C34" s="33"/>
      <x:c r="D34" s="33"/>
      <x:c r="E34" s="33"/>
      <x:c r="F34" s="33"/>
      <x:c r="G34" s="33"/>
      <x:c r="H34" s="33"/>
      <x:c r="I34" s="33"/>
      <x:c r="J34" s="33"/>
      <x:c r="K34" s="33"/>
      <x:c r="L34" s="33"/>
      <x:c r="M34" s="33"/>
      <x:c r="N34" s="33"/>
      <x:c r="O34" s="33"/>
      <x:c r="P34" s="33"/>
    </x:row>
    <x:row r="35">
      <x:c r="A35" s="33"/>
      <x:c r="B35" s="33"/>
      <x:c r="C35" s="33"/>
      <x:c r="D35" s="33"/>
      <x:c r="E35" s="33"/>
      <x:c r="F35" s="33"/>
      <x:c r="G35" s="33"/>
      <x:c r="H35" s="33"/>
      <x:c r="I35" s="33"/>
      <x:c r="J35" s="33"/>
      <x:c r="K35" s="33"/>
      <x:c r="L35" s="33"/>
      <x:c r="M35" s="33"/>
      <x:c r="N35" s="33"/>
      <x:c r="O35" s="33"/>
      <x:c r="P35" s="33"/>
    </x:row>
    <x:row r="36">
      <x:c r="A36" s="33"/>
      <x:c r="B36" s="33"/>
      <x:c r="C36" s="33"/>
      <x:c r="D36" s="33"/>
      <x:c r="E36" s="33"/>
      <x:c r="F36" s="33"/>
      <x:c r="G36" s="33"/>
      <x:c r="H36" s="33"/>
      <x:c r="I36" s="33"/>
      <x:c r="J36" s="33"/>
      <x:c r="K36" s="33"/>
      <x:c r="L36" s="33"/>
      <x:c r="M36" s="33"/>
      <x:c r="N36" s="33"/>
      <x:c r="O36" s="33"/>
      <x:c r="P36" s="33"/>
    </x:row>
    <x:row r="37">
      <x:c r="A37" s="33"/>
      <x:c r="B37" s="33"/>
      <x:c r="C37" s="33"/>
      <x:c r="D37" s="33"/>
      <x:c r="E37" s="33"/>
      <x:c r="F37" s="33"/>
      <x:c r="G37" s="33"/>
      <x:c r="H37" s="33"/>
      <x:c r="I37" s="33"/>
      <x:c r="J37" s="33"/>
      <x:c r="K37" s="33"/>
      <x:c r="L37" s="33"/>
      <x:c r="M37" s="33"/>
      <x:c r="N37" s="33"/>
      <x:c r="O37" s="33"/>
      <x:c r="P37" s="33"/>
    </x:row>
    <x:row r="38">
      <x:c r="A38" s="33"/>
      <x:c r="B38" s="33"/>
      <x:c r="C38" s="33"/>
      <x:c r="D38" s="33"/>
      <x:c r="E38" s="33"/>
      <x:c r="F38" s="33"/>
      <x:c r="G38" s="33"/>
      <x:c r="H38" s="33"/>
      <x:c r="I38" s="33"/>
      <x:c r="J38" s="33"/>
      <x:c r="K38" s="33"/>
      <x:c r="L38" s="33"/>
      <x:c r="M38" s="33"/>
      <x:c r="N38" s="33"/>
      <x:c r="O38" s="33"/>
      <x:c r="P38" s="33"/>
    </x:row>
    <x:row r="39">
      <x:c r="A39" s="33"/>
      <x:c r="B39" s="33"/>
      <x:c r="C39" s="33"/>
      <x:c r="D39" s="33"/>
      <x:c r="E39" s="33"/>
      <x:c r="F39" s="33"/>
      <x:c r="G39" s="33"/>
      <x:c r="H39" s="33"/>
      <x:c r="I39" s="33"/>
      <x:c r="J39" s="33"/>
      <x:c r="K39" s="33"/>
      <x:c r="L39" s="33"/>
      <x:c r="M39" s="33"/>
      <x:c r="N39" s="33"/>
      <x:c r="O39" s="33"/>
      <x:c r="P39" s="33"/>
    </x:row>
    <x:row r="40">
      <x:c r="A40" s="33"/>
      <x:c r="B40" s="33"/>
      <x:c r="C40" s="33"/>
      <x:c r="D40" s="33"/>
      <x:c r="E40" s="33"/>
      <x:c r="F40" s="33"/>
      <x:c r="G40" s="33"/>
      <x:c r="H40" s="33"/>
      <x:c r="I40" s="33"/>
      <x:c r="J40" s="33"/>
      <x:c r="K40" s="33"/>
      <x:c r="L40" s="33"/>
      <x:c r="M40" s="33"/>
      <x:c r="N40" s="33"/>
      <x:c r="O40" s="33"/>
      <x:c r="P40" s="33"/>
    </x:row>
  </x:sheetData>
  <x:pageMargins left="0.7" right="0.7" top="0.75" bottom="0.75" header="0.3" footer="0.3"/>
</x:worksheet>
</file>