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Part A · Simple Interest" sheetId="2" state="visible" r:id="rId4"/>
    <sheet name="Part B · Discounting" sheetId="3" state="visible" r:id="rId5"/>
    <sheet name="Part C · DCF Model" sheetId="4" state="visible" r:id="rId6"/>
    <sheet name="FormulaReferenceCar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<sst xmlns="http://schemas.openxmlformats.org/spreadsheetml/2006/main" count="196" uniqueCount="173">
  <si>
    <t xml:space="preserve">BUS123 · MATH-M08 · L01</t>
  </si>
  <si>
    <t xml:space="preserve">Simple Interest, Discounting &amp; Present Value</t>
  </si>
  <si>
    <t xml:space="preserve">Color Key</t>
  </si>
  <si>
    <t xml:space="preserve">Yellow cell</t>
  </si>
  <si>
    <t xml:space="preserve">Your input — every yellow cell must be filled before submitting</t>
  </si>
  <si>
    <t xml:space="preserve">Green / italic text</t>
  </si>
  <si>
    <t xml:space="preserve">Formula result — calculated automatically, do not edit</t>
  </si>
  <si>
    <t xml:space="preserve">Cream background</t>
  </si>
  <si>
    <t xml:space="preserve">Read-only label or reference row</t>
  </si>
  <si>
    <t xml:space="preserve">Learning Objectives — I Can…</t>
  </si>
  <si>
    <t xml:space="preserve">  1. Calculate simple interest (I = P × R × T) with correct year conversion</t>
  </si>
  <si>
    <t xml:space="preserve">  2. Calculate future value using FV = P × (1 + R × T) in Excel</t>
  </si>
  <si>
    <t xml:space="preserve">  3. Discount a future payment to present value using PV = FV ÷ (1 + R × T)</t>
  </si>
  <si>
    <t xml:space="preserve">  4. Use the =PV() function in Excel and correctly interpret the sign of the result</t>
  </si>
  <si>
    <t xml:space="preserve">  5. Build a discounted cash flow (DCF) model by summing present values of multiple payments</t>
  </si>
  <si>
    <t xml:space="preserve">How to Use This Workbook</t>
  </si>
  <si>
    <t xml:space="preserve">Tab 2 — Part A: Simple Interest</t>
  </si>
  <si>
    <t xml:space="preserve">Three Meridian loans. Enter P, R, and T (in years). Formulas calculate Interest and FV automatically.</t>
  </si>
  <si>
    <t xml:space="preserve">Tab 3 — Part B: Discounting</t>
  </si>
  <si>
    <t xml:space="preserve">Three receivables. Enter FV, R, and T. Discount each to present value using the manual formula.</t>
  </si>
  <si>
    <t xml:space="preserve">Tab 4 — Part C: DCF Model</t>
  </si>
  <si>
    <t xml:space="preserve">Five future payments. Enter the 6% discount rate, then build PV formulas for each row and sum them.</t>
  </si>
  <si>
    <t xml:space="preserve">FormulaReferenceCard</t>
  </si>
  <si>
    <t xml:space="preserve">All formulas introduced in this lesson. Keep this visible as you work.</t>
  </si>
  <si>
    <t xml:space="preserve">Meridian Advisory Group · Simple Interest</t>
  </si>
  <si>
    <t xml:space="preserve">Enter values in yellow cells. Interest and FV calculate automatically.</t>
  </si>
  <si>
    <t xml:space="preserve">Section 1 — Simple Interest   I = P × R × T</t>
  </si>
  <si>
    <t xml:space="preserve">Loan</t>
  </si>
  <si>
    <t xml:space="preserve">Principal (P)</t>
  </si>
  <si>
    <t xml:space="preserve">Annual Rate (R)</t>
  </si>
  <si>
    <t xml:space="preserve">Time (years)</t>
  </si>
  <si>
    <t xml:space="preserve">Interest (I)</t>
  </si>
  <si>
    <t xml:space="preserve">FV = P + I</t>
  </si>
  <si>
    <t xml:space="preserve">Notes</t>
  </si>
  <si>
    <t xml:space="preserve">Loan A</t>
  </si>
  <si>
    <t xml:space="preserve">A Meridian client borrowing at 6% for 2 years</t>
  </si>
  <si>
    <t xml:space="preserve">Loan B</t>
  </si>
  <si>
    <t xml:space="preserve">Corporate note at 5.5% for 9 months → convert T</t>
  </si>
  <si>
    <t xml:space="preserve">Loan C</t>
  </si>
  <si>
    <t xml:space="preserve">Short-term facility at 7.2% for 180 days — exact interest</t>
  </si>
  <si>
    <t xml:space="preserve">Section 2 — Solve for the Unknown Variable</t>
  </si>
  <si>
    <t xml:space="preserve">Problem</t>
  </si>
  <si>
    <t xml:space="preserve">Rate (R)</t>
  </si>
  <si>
    <t xml:space="preserve">Solve For</t>
  </si>
  <si>
    <t xml:space="preserve">Your Answer</t>
  </si>
  <si>
    <t xml:space="preserve">Find P</t>
  </si>
  <si>
    <t xml:space="preserve">Principal</t>
  </si>
  <si>
    <t xml:space="preserve">Find R</t>
  </si>
  <si>
    <t xml:space="preserve">Rate</t>
  </si>
  <si>
    <t xml:space="preserve">Find T</t>
  </si>
  <si>
    <t xml:space="preserve">Time (yrs)</t>
  </si>
  <si>
    <t xml:space="preserve">Section 3 — Day-Count Methods (Exact vs. Ordinary Interest)</t>
  </si>
  <si>
    <t xml:space="preserve">Annual Rate</t>
  </si>
  <si>
    <t xml:space="preserve">Days</t>
  </si>
  <si>
    <t xml:space="preserve">T Exact (÷365)</t>
  </si>
  <si>
    <t xml:space="preserve">T Ordinary (÷360)</t>
  </si>
  <si>
    <t xml:space="preserve">Which is Higher?</t>
  </si>
  <si>
    <t xml:space="preserve">Loan X</t>
  </si>
  <si>
    <t xml:space="preserve">Loan Y</t>
  </si>
  <si>
    <t xml:space="preserve">  ⚠  Banker's Rule (÷360) always produces more interest than Exact (÷365) when all other inputs are equal — intentionally favoring the lender.</t>
  </si>
  <si>
    <t xml:space="preserve">Meridian Advisory Group · Discounting &amp; Present Value</t>
  </si>
  <si>
    <t xml:space="preserve">Section 1 — Manual PV   =  FV ÷ (1 + R × T)</t>
  </si>
  <si>
    <t xml:space="preserve">Receivable</t>
  </si>
  <si>
    <t xml:space="preserve">FV ($)</t>
  </si>
  <si>
    <t xml:space="preserve">Discount Rate (R)</t>
  </si>
  <si>
    <t xml:space="preserve">Discount Factor</t>
  </si>
  <si>
    <t xml:space="preserve">Present Value (PV)</t>
  </si>
  <si>
    <t xml:space="preserve">Rec. 1</t>
  </si>
  <si>
    <t xml:space="preserve">Future payment from a 2-year contract</t>
  </si>
  <si>
    <t xml:space="preserve">Rec. 2</t>
  </si>
  <si>
    <t xml:space="preserve">Equipment lease payment at 18 months</t>
  </si>
  <si>
    <t xml:space="preserve">Rec. 3</t>
  </si>
  <si>
    <t xml:space="preserve">Short-term note due in 270 days (exact, ÷365)</t>
  </si>
  <si>
    <t xml:space="preserve">Section 2 — The =PV() Function</t>
  </si>
  <si>
    <t xml:space="preserve">Nper</t>
  </si>
  <si>
    <t xml:space="preserve">PMT (enter 0)</t>
  </si>
  <si>
    <t xml:space="preserve">=PV() Result</t>
  </si>
  <si>
    <t xml:space="preserve">Verify with =FV()</t>
  </si>
  <si>
    <t xml:space="preserve">PV 1</t>
  </si>
  <si>
    <t xml:space="preserve">Use the same inputs as Rec. 1 above</t>
  </si>
  <si>
    <t xml:space="preserve">PV 2</t>
  </si>
  <si>
    <t xml:space="preserve">Use the same inputs as Rec. 2 above</t>
  </si>
  <si>
    <t xml:space="preserve">PV 3</t>
  </si>
  <si>
    <t xml:space="preserve">Try a new scenario: FV=$40,000, 6%, 3 years</t>
  </si>
  <si>
    <t xml:space="preserve">  ⚠  =PV() returns a negative result — this means outflow (the amount you must invest today). Do NOT manually add a minus sign. Verify with =FV() in column H.</t>
  </si>
  <si>
    <t xml:space="preserve">Meridian Advisory Group · Discounted Cash Flow Model</t>
  </si>
  <si>
    <t xml:space="preserve">A Meridian corporate client holds a contract with five future payments. Discount each to today and sum the present values.</t>
  </si>
  <si>
    <t xml:space="preserve">Model Assumption — Enter Here First</t>
  </si>
  <si>
    <t xml:space="preserve">Discount Rate</t>
  </si>
  <si>
    <t xml:space="preserve">← Enter 0.06  (do this first — all PV formulas depend on this cell)</t>
  </si>
  <si>
    <t xml:space="preserve">Payment Stream — Build the PV Formula for Each Row</t>
  </si>
  <si>
    <t xml:space="preserve">Payment</t>
  </si>
  <si>
    <t xml:space="preserve">Description</t>
  </si>
  <si>
    <t xml:space="preserve">Years</t>
  </si>
  <si>
    <t xml:space="preserve">Formula Used</t>
  </si>
  <si>
    <t xml:space="preserve">Payment 1</t>
  </si>
  <si>
    <t xml:space="preserve">Equipment purchase refund</t>
  </si>
  <si>
    <t xml:space="preserve"> =D10/(1+$C$6*E10)  or  =PV($C$6,E10,0,D10)</t>
  </si>
  <si>
    <t xml:space="preserve">Payment 2</t>
  </si>
  <si>
    <t xml:space="preserve">Contract milestone payment</t>
  </si>
  <si>
    <t xml:space="preserve"> =D11/(1+$C$6*E11)  or  =PV($C$6,E11,0,D11)</t>
  </si>
  <si>
    <t xml:space="preserve">Payment 3</t>
  </si>
  <si>
    <t xml:space="preserve">Consulting fee receivable</t>
  </si>
  <si>
    <t xml:space="preserve"> =D12/(1+$C$6*E12)  or  =PV($C$6,E12,0,D12)</t>
  </si>
  <si>
    <t xml:space="preserve">Payment 4</t>
  </si>
  <si>
    <t xml:space="preserve">Lease buyout payment</t>
  </si>
  <si>
    <t xml:space="preserve"> =D13/(1+$C$6*E13)  or  =PV($C$6,E13,0,D13)</t>
  </si>
  <si>
    <t xml:space="preserve">Payment 5</t>
  </si>
  <si>
    <t xml:space="preserve">Final settlement</t>
  </si>
  <si>
    <t xml:space="preserve"> =D14/(1+$C$6*E14)  or  =PV($C$6,E14,0,D14)</t>
  </si>
  <si>
    <t xml:space="preserve">TOTAL PRESENT VALUE</t>
  </si>
  <si>
    <t xml:space="preserve">Reflection Question</t>
  </si>
  <si>
    <t xml:space="preserve">A buyer offers $75,000 cash today for the entire contract. Based on your model at 6%, should the Meridian client accept the offer or wait to collect each payment? Explain why in the space below.</t>
  </si>
  <si>
    <t xml:space="preserve">Your answer:</t>
  </si>
  <si>
    <t xml:space="preserve">Formula Reference Card · MATH-M08-L01</t>
  </si>
  <si>
    <t xml:space="preserve">Simple Interest, Discounting &amp; Present Value  ·  Meridian Advisory Group</t>
  </si>
  <si>
    <t xml:space="preserve">SIMPLE INTEREST FORMULAS</t>
  </si>
  <si>
    <t xml:space="preserve">Formula Name</t>
  </si>
  <si>
    <t xml:space="preserve">Algebraic Form</t>
  </si>
  <si>
    <t xml:space="preserve">Excel Formula</t>
  </si>
  <si>
    <t xml:space="preserve">Simple Interest</t>
  </si>
  <si>
    <t xml:space="preserve">I = P × R × T</t>
  </si>
  <si>
    <t xml:space="preserve"> =C2*D2*E2</t>
  </si>
  <si>
    <t xml:space="preserve">T must be in years</t>
  </si>
  <si>
    <t xml:space="preserve">Ending Balance / FV</t>
  </si>
  <si>
    <t xml:space="preserve">FV = P + I  or  P × (1 + R×T)</t>
  </si>
  <si>
    <t xml:space="preserve"> =C2*(1+D2*E2)</t>
  </si>
  <si>
    <t xml:space="preserve">Growth factor = (1+R×T)</t>
  </si>
  <si>
    <t xml:space="preserve">Solve for Principal</t>
  </si>
  <si>
    <t xml:space="preserve">P = I ÷ (R × T)</t>
  </si>
  <si>
    <t xml:space="preserve"> =F2/(D2*E2)</t>
  </si>
  <si>
    <t xml:space="preserve">When I, R, T are known</t>
  </si>
  <si>
    <t xml:space="preserve">Solve for Rate</t>
  </si>
  <si>
    <t xml:space="preserve">R = I ÷ (P × T)</t>
  </si>
  <si>
    <t xml:space="preserve"> =F2/(C2*E2)</t>
  </si>
  <si>
    <t xml:space="preserve">When I, P, T are known</t>
  </si>
  <si>
    <t xml:space="preserve">Solve for Time</t>
  </si>
  <si>
    <t xml:space="preserve">T = I ÷ (P × R)</t>
  </si>
  <si>
    <t xml:space="preserve"> =F2/(C2*D2)</t>
  </si>
  <si>
    <t xml:space="preserve">When I, P, R are known</t>
  </si>
  <si>
    <t xml:space="preserve">TIME CONVERSION</t>
  </si>
  <si>
    <t xml:space="preserve">Months to Years</t>
  </si>
  <si>
    <t xml:space="preserve">T = months ÷ 12</t>
  </si>
  <si>
    <t xml:space="preserve"> =A2/12</t>
  </si>
  <si>
    <t xml:space="preserve">e.g. 9 months → 0.75</t>
  </si>
  <si>
    <t xml:space="preserve">Exact Interest</t>
  </si>
  <si>
    <t xml:space="preserve">T = days ÷ 365</t>
  </si>
  <si>
    <t xml:space="preserve"> =A2/365</t>
  </si>
  <si>
    <t xml:space="preserve">Federal Reserve / US Gov</t>
  </si>
  <si>
    <t xml:space="preserve">Ordinary Interest</t>
  </si>
  <si>
    <t xml:space="preserve">T = days ÷ 360</t>
  </si>
  <si>
    <t xml:space="preserve"> =A2/360</t>
  </si>
  <si>
    <t xml:space="preserve">Banker's Rule — more interest</t>
  </si>
  <si>
    <t xml:space="preserve">DISCOUNTING &amp; PRESENT VALUE</t>
  </si>
  <si>
    <t xml:space="preserve">DF = 1 + R × T</t>
  </si>
  <si>
    <t xml:space="preserve"> =1+D2*E2</t>
  </si>
  <si>
    <t xml:space="preserve">Always &gt; 1</t>
  </si>
  <si>
    <t xml:space="preserve">Manual PV</t>
  </si>
  <si>
    <t xml:space="preserve">PV = FV ÷ (1 + R × T)</t>
  </si>
  <si>
    <t xml:space="preserve"> =C2/(1+D2*E2)</t>
  </si>
  <si>
    <t xml:space="preserve">PV is always &lt; FV</t>
  </si>
  <si>
    <t xml:space="preserve">Excel PV Function</t>
  </si>
  <si>
    <t xml:space="preserve"> =PV(rate, nper, pmt, fv)</t>
  </si>
  <si>
    <t xml:space="preserve"> =PV(D2,E2,0,C2)</t>
  </si>
  <si>
    <t xml:space="preserve">Returns negative — outflow</t>
  </si>
  <si>
    <t xml:space="preserve">Excel FV Function</t>
  </si>
  <si>
    <t xml:space="preserve"> =FV(rate, nper, pmt, pv)</t>
  </si>
  <si>
    <t xml:space="preserve"> =FV(D2,E2,0,G2)</t>
  </si>
  <si>
    <t xml:space="preserve">Verify round trip: FV(…,PV)=FV</t>
  </si>
  <si>
    <t xml:space="preserve">DCF Total</t>
  </si>
  <si>
    <t xml:space="preserve">Sum of all PVs</t>
  </si>
  <si>
    <t xml:space="preserve"> =SUM(G10:G14)</t>
  </si>
  <si>
    <t xml:space="preserve">Total present value of stream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</si>
</sst>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[$$-409]#,##0.00;[RED]\-[$$-409]#,##0.00"/>
    <numFmt numFmtId="167" formatCode="\$#,##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"/>
    </font>
    <font>
      <sz val="13"/>
      <color rgb="FFC9A84C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1"/>
      <color rgb="FF0E1116"/>
      <name val="Calibri"/>
      <family val="0"/>
      <charset val="1"/>
    </font>
    <font>
      <sz val="11"/>
      <color rgb="FF4A5567"/>
      <name val="Calibri"/>
      <family val="0"/>
      <charset val="1"/>
    </font>
    <font>
      <sz val="11"/>
      <color rgb="FF0E1116"/>
      <name val="Calibri"/>
      <family val="0"/>
      <charset val="1"/>
    </font>
    <font>
      <b val="true"/>
      <sz val="11"/>
      <color rgb="FF4A7C5E"/>
      <name val="Calibri"/>
      <family val="0"/>
      <charset val="1"/>
    </font>
    <font>
      <b val="true"/>
      <sz val="16"/>
      <color rgb="FFFFFFFF"/>
      <name val="Calibri"/>
      <family val="0"/>
      <charset val="1"/>
    </font>
    <font>
      <b val="true"/>
      <sz val="10"/>
      <color rgb="FFC9A84C"/>
      <name val="Calibri"/>
      <family val="0"/>
      <charset val="1"/>
    </font>
    <font>
      <sz val="11"/>
      <color rgb="FF0A3D6B"/>
      <name val="Calibri"/>
      <family val="0"/>
      <charset val="1"/>
    </font>
    <font>
      <i val="true"/>
      <sz val="11"/>
      <color rgb="FF1A6B3C"/>
      <name val="Calibri"/>
      <family val="0"/>
      <charset val="1"/>
    </font>
    <font>
      <b val="true"/>
      <sz val="11"/>
      <color rgb="FF1A6B3C"/>
      <name val="Calibri"/>
      <family val="0"/>
      <charset val="1"/>
    </font>
    <font>
      <i val="true"/>
      <sz val="10"/>
      <color rgb="FF7A8290"/>
      <name val="Calibri"/>
      <family val="0"/>
      <charset val="1"/>
    </font>
    <font>
      <sz val="11"/>
      <color rgb="FF4A7C5E"/>
      <name val="Calibri"/>
      <family val="0"/>
      <charset val="1"/>
    </font>
    <font>
      <i val="true"/>
      <sz val="10"/>
      <color rgb="FF9C4A2B"/>
      <name val="Calibri"/>
      <family val="0"/>
      <charset val="1"/>
    </font>
    <font>
      <i val="true"/>
      <sz val="9"/>
      <color rgb="FF9C4A2B"/>
      <name val="Calibri"/>
      <family val="0"/>
      <charset val="1"/>
    </font>
    <font>
      <i val="true"/>
      <sz val="11"/>
      <color rgb="FF7A8290"/>
      <name val="Calibri"/>
      <family val="0"/>
      <charset val="1"/>
    </font>
    <font>
      <b val="true"/>
      <sz val="15"/>
      <color rgb="FFFFFFFF"/>
      <name val="Calibri"/>
      <family val="0"/>
      <charset val="1"/>
    </font>
    <font>
      <sz val="11"/>
      <color rgb="FFC9A84C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color rgb="FF1A6B3C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0E1116"/>
        <bgColor rgb="FF1A1A2E"/>
      </patternFill>
    </fill>
    <fill>
      <patternFill patternType="solid">
        <fgColor rgb="FF4A7C5E"/>
        <bgColor rgb="FF4A5567"/>
      </patternFill>
    </fill>
    <fill>
      <patternFill patternType="solid">
        <fgColor rgb="FFF2EEE5"/>
        <bgColor rgb="FFFFF5F0"/>
      </patternFill>
    </fill>
    <fill>
      <patternFill patternType="solid">
        <fgColor rgb="FFB8843D"/>
        <bgColor rgb="FFC9A84C"/>
      </patternFill>
    </fill>
    <fill>
      <patternFill patternType="solid">
        <fgColor rgb="FF9C4A2B"/>
        <bgColor rgb="FF993366"/>
      </patternFill>
    </fill>
    <fill>
      <patternFill patternType="solid">
        <fgColor rgb="FF1A1A2E"/>
        <bgColor rgb="FF0E1116"/>
      </patternFill>
    </fill>
    <fill>
      <patternFill patternType="solid">
        <fgColor rgb="FFFFD966"/>
        <bgColor rgb="FFFFFF99"/>
      </patternFill>
    </fill>
    <fill>
      <patternFill patternType="solid">
        <fgColor rgb="FFFFFBF0"/>
        <bgColor rgb="FFFFF5F0"/>
      </patternFill>
    </fill>
    <fill>
      <patternFill patternType="solid">
        <fgColor rgb="FFFFF5F0"/>
        <bgColor rgb="FFFFFBF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A84C"/>
      </left>
      <right style="thin">
        <color rgb="FFC9A84C"/>
      </right>
      <top style="thin">
        <color rgb="FFC9A84C"/>
      </top>
      <bottom style="thin">
        <color rgb="FFC9A84C"/>
      </bottom>
      <diagonal/>
    </border>
    <border diagonalUp="false" diagonalDown="false"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true" indent="1" shrinkToFit="false"/>
      <protection locked="true" hidden="false"/>
    </xf>
    <xf numFmtId="164" fontId="6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10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6" fontId="1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false" indent="1" shrinkToFit="false"/>
      <protection locked="true" hidden="false"/>
    </xf>
    <xf numFmtId="164" fontId="2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23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B8843D"/>
      <rgbColor rgb="FF800080"/>
      <rgbColor rgb="FF008080"/>
      <rgbColor rgb="FFC0C0C0"/>
      <rgbColor rgb="FF7A8290"/>
      <rgbColor rgb="FF9999FF"/>
      <rgbColor rgb="FF993366"/>
      <rgbColor rgb="FFFFFBF0"/>
      <rgbColor rgb="FFFFF5F0"/>
      <rgbColor rgb="FF660066"/>
      <rgbColor rgb="FFFF8080"/>
      <rgbColor rgb="FF0066CC"/>
      <rgbColor rgb="FFE5E1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2EEE5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C9A84C"/>
      <rgbColor rgb="FFFF6600"/>
      <rgbColor rgb="FF4A5567"/>
      <rgbColor rgb="FF888888"/>
      <rgbColor rgb="FF0A3D6B"/>
      <rgbColor rgb="FF4A7C5E"/>
      <rgbColor rgb="FF0E1116"/>
      <rgbColor rgb="FF333300"/>
      <rgbColor rgb="FF9C4A2B"/>
      <rgbColor rgb="FF993366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1116"/>
    <pageSetUpPr fitToPage="false"/>
  </sheetPr>
  <dimension ref="B1:C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8"/>
    <col collapsed="false" customWidth="true" hidden="false" outlineLevel="0" max="3" min="3" style="1" width="52"/>
  </cols>
  <sheetData>
    <row r="1" customFormat="false" ht="6" hidden="false" customHeight="true" outlineLevel="0" collapsed="false"/>
    <row r="2" customFormat="false" ht="36" hidden="false" customHeight="true" outlineLevel="0" collapsed="false">
      <c r="B2" s="2" t="s">
        <v>0</v>
      </c>
      <c r="C2" s="2"/>
    </row>
    <row r="3" customFormat="false" ht="24" hidden="false" customHeight="true" outlineLevel="0" collapsed="false">
      <c r="B3" s="3" t="s">
        <v>1</v>
      </c>
      <c r="C3" s="3"/>
    </row>
    <row r="4" customFormat="false" ht="7.5" hidden="false" customHeight="true" outlineLevel="0" collapsed="false"/>
    <row r="5" customFormat="false" ht="21.75" hidden="false" customHeight="true" outlineLevel="0" collapsed="false">
      <c r="B5" s="4" t="s">
        <v>2</v>
      </c>
      <c r="C5" s="4"/>
    </row>
    <row r="6" customFormat="false" ht="19.5" hidden="false" customHeight="true" outlineLevel="0" collapsed="false">
      <c r="B6" s="5" t="s">
        <v>3</v>
      </c>
      <c r="C6" s="6" t="s">
        <v>4</v>
      </c>
    </row>
    <row r="7" customFormat="false" ht="19.5" hidden="false" customHeight="true" outlineLevel="0" collapsed="false">
      <c r="B7" s="5" t="s">
        <v>5</v>
      </c>
      <c r="C7" s="6" t="s">
        <v>6</v>
      </c>
    </row>
    <row r="8" customFormat="false" ht="19.5" hidden="false" customHeight="true" outlineLevel="0" collapsed="false">
      <c r="B8" s="5" t="s">
        <v>7</v>
      </c>
      <c r="C8" s="6" t="s">
        <v>8</v>
      </c>
    </row>
    <row r="9" customFormat="false" ht="7.5" hidden="false" customHeight="true" outlineLevel="0" collapsed="false"/>
    <row r="10" customFormat="false" ht="21.75" hidden="false" customHeight="true" outlineLevel="0" collapsed="false">
      <c r="B10" s="7" t="s">
        <v>9</v>
      </c>
      <c r="C10" s="7"/>
    </row>
    <row r="11" customFormat="false" ht="19.5" hidden="false" customHeight="true" outlineLevel="0" collapsed="false">
      <c r="B11" s="8" t="s">
        <v>10</v>
      </c>
      <c r="C11" s="8"/>
    </row>
    <row r="12" customFormat="false" ht="19.5" hidden="false" customHeight="true" outlineLevel="0" collapsed="false">
      <c r="B12" s="8" t="s">
        <v>11</v>
      </c>
      <c r="C12" s="8"/>
    </row>
    <row r="13" customFormat="false" ht="19.5" hidden="false" customHeight="true" outlineLevel="0" collapsed="false">
      <c r="B13" s="8" t="s">
        <v>12</v>
      </c>
      <c r="C13" s="8"/>
    </row>
    <row r="14" customFormat="false" ht="19.5" hidden="false" customHeight="true" outlineLevel="0" collapsed="false">
      <c r="B14" s="8" t="s">
        <v>13</v>
      </c>
      <c r="C14" s="8"/>
    </row>
    <row r="15" customFormat="false" ht="19.5" hidden="false" customHeight="true" outlineLevel="0" collapsed="false">
      <c r="B15" s="8" t="s">
        <v>14</v>
      </c>
      <c r="C15" s="8"/>
    </row>
    <row r="16" customFormat="false" ht="7.5" hidden="false" customHeight="true" outlineLevel="0" collapsed="false"/>
    <row r="17" customFormat="false" ht="21.75" hidden="false" customHeight="true" outlineLevel="0" collapsed="false">
      <c r="B17" s="9" t="s">
        <v>15</v>
      </c>
      <c r="C17" s="9"/>
    </row>
    <row r="18" customFormat="false" ht="21.75" hidden="false" customHeight="true" outlineLevel="0" collapsed="false">
      <c r="B18" s="10" t="s">
        <v>16</v>
      </c>
      <c r="C18" s="11" t="s">
        <v>17</v>
      </c>
    </row>
    <row r="19" customFormat="false" ht="21.75" hidden="false" customHeight="true" outlineLevel="0" collapsed="false">
      <c r="B19" s="10" t="s">
        <v>18</v>
      </c>
      <c r="C19" s="11" t="s">
        <v>19</v>
      </c>
    </row>
    <row r="20" customFormat="false" ht="21.75" hidden="false" customHeight="true" outlineLevel="0" collapsed="false">
      <c r="B20" s="10" t="s">
        <v>20</v>
      </c>
      <c r="C20" s="11" t="s">
        <v>21</v>
      </c>
    </row>
    <row r="21" customFormat="false" ht="21.75" hidden="false" customHeight="true" outlineLevel="0" collapsed="false">
      <c r="B21" s="10" t="s">
        <v>22</v>
      </c>
      <c r="C21" s="11" t="s">
        <v>23</v>
      </c>
    </row>
  </sheetData>
  <mergeCells count="10">
    <mergeCell ref="B2:C2"/>
    <mergeCell ref="B3:C3"/>
    <mergeCell ref="B5:C5"/>
    <mergeCell ref="B10:C10"/>
    <mergeCell ref="B11:C11"/>
    <mergeCell ref="B12:C12"/>
    <mergeCell ref="B13:C13"/>
    <mergeCell ref="B14:C14"/>
    <mergeCell ref="B15:C15"/>
    <mergeCell ref="B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7C5E"/>
    <pageSetUpPr fitToPage="false"/>
  </sheetPr>
  <dimension ref="B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6" style="1" width="18"/>
    <col collapsed="false" customWidth="true" hidden="false" outlineLevel="0" max="8" min="8" style="1" width="24"/>
  </cols>
  <sheetData>
    <row r="1" customFormat="false" ht="6" hidden="false" customHeight="true" outlineLevel="0" collapsed="false"/>
    <row r="2" customFormat="false" ht="31.5" hidden="false" customHeight="true" outlineLevel="0" collapsed="false">
      <c r="B2" s="12" t="s">
        <v>24</v>
      </c>
      <c r="C2" s="12"/>
      <c r="D2" s="12"/>
      <c r="E2" s="12"/>
      <c r="F2" s="12"/>
      <c r="G2" s="12"/>
      <c r="H2" s="12"/>
    </row>
    <row r="3" customFormat="false" ht="19.5" hidden="false" customHeight="true" outlineLevel="0" collapsed="false">
      <c r="B3" s="13" t="s">
        <v>25</v>
      </c>
      <c r="C3" s="13"/>
      <c r="D3" s="13"/>
      <c r="E3" s="13"/>
      <c r="F3" s="13"/>
      <c r="G3" s="13"/>
      <c r="H3" s="13"/>
    </row>
    <row r="4" customFormat="false" ht="9.75" hidden="false" customHeight="true" outlineLevel="0" collapsed="false"/>
    <row r="5" customFormat="false" ht="21.75" hidden="false" customHeight="true" outlineLevel="0" collapsed="false">
      <c r="B5" s="4" t="s">
        <v>26</v>
      </c>
      <c r="C5" s="4"/>
      <c r="D5" s="4"/>
      <c r="E5" s="4"/>
      <c r="F5" s="4"/>
      <c r="G5" s="4"/>
      <c r="H5" s="4"/>
    </row>
    <row r="6" customFormat="false" ht="19.5" hidden="false" customHeight="true" outlineLevel="0" collapsed="false">
      <c r="B6" s="14" t="s">
        <v>27</v>
      </c>
      <c r="C6" s="14" t="s">
        <v>28</v>
      </c>
      <c r="D6" s="14" t="s">
        <v>29</v>
      </c>
      <c r="E6" s="14" t="s">
        <v>30</v>
      </c>
      <c r="F6" s="14" t="s">
        <v>31</v>
      </c>
      <c r="G6" s="14" t="s">
        <v>32</v>
      </c>
      <c r="H6" s="14" t="s">
        <v>33</v>
      </c>
    </row>
    <row r="7" customFormat="false" ht="21.75" hidden="false" customHeight="true" outlineLevel="0" collapsed="false">
      <c r="B7" s="15" t="s">
        <v>34</v>
      </c>
      <c r="C7" s="16"/>
      <c r="D7" s="16"/>
      <c r="E7" s="16"/>
      <c r="F7" s="17" t="n">
        <f aca="false">IFERROR(C7*D7*E7,"")</f>
        <v>0</v>
      </c>
      <c r="G7" s="18" t="n">
        <f aca="false">IFERROR(C7+F7,"")</f>
        <v>0</v>
      </c>
      <c r="H7" s="19" t="s">
        <v>35</v>
      </c>
    </row>
    <row r="8" customFormat="false" ht="21.75" hidden="false" customHeight="true" outlineLevel="0" collapsed="false">
      <c r="B8" s="15" t="s">
        <v>36</v>
      </c>
      <c r="C8" s="16"/>
      <c r="D8" s="16"/>
      <c r="E8" s="16"/>
      <c r="F8" s="17" t="n">
        <f aca="false">IFERROR(C8*D8*E8,"")</f>
        <v>0</v>
      </c>
      <c r="G8" s="18" t="n">
        <f aca="false">IFERROR(C8+F8,"")</f>
        <v>0</v>
      </c>
      <c r="H8" s="19" t="s">
        <v>37</v>
      </c>
    </row>
    <row r="9" customFormat="false" ht="21.75" hidden="false" customHeight="true" outlineLevel="0" collapsed="false">
      <c r="B9" s="15" t="s">
        <v>38</v>
      </c>
      <c r="C9" s="16"/>
      <c r="D9" s="16"/>
      <c r="E9" s="16"/>
      <c r="F9" s="17" t="n">
        <f aca="false">IFERROR(C9*D9*E9,"")</f>
        <v>0</v>
      </c>
      <c r="G9" s="18" t="n">
        <f aca="false">IFERROR(C9+F9,"")</f>
        <v>0</v>
      </c>
      <c r="H9" s="19" t="s">
        <v>39</v>
      </c>
    </row>
    <row r="10" customFormat="false" ht="13.5" hidden="false" customHeight="true" outlineLevel="0" collapsed="false"/>
    <row r="11" customFormat="false" ht="21.75" hidden="false" customHeight="true" outlineLevel="0" collapsed="false">
      <c r="B11" s="7" t="s">
        <v>40</v>
      </c>
      <c r="C11" s="7"/>
      <c r="D11" s="7"/>
      <c r="E11" s="7"/>
      <c r="F11" s="7"/>
      <c r="G11" s="7"/>
      <c r="H11" s="7"/>
    </row>
    <row r="12" customFormat="false" ht="19.5" hidden="false" customHeight="true" outlineLevel="0" collapsed="false">
      <c r="B12" s="14" t="s">
        <v>41</v>
      </c>
      <c r="C12" s="14" t="s">
        <v>28</v>
      </c>
      <c r="D12" s="14" t="s">
        <v>42</v>
      </c>
      <c r="E12" s="14" t="s">
        <v>30</v>
      </c>
      <c r="F12" s="14" t="s">
        <v>31</v>
      </c>
      <c r="G12" s="14" t="s">
        <v>43</v>
      </c>
      <c r="H12" s="14" t="s">
        <v>44</v>
      </c>
    </row>
    <row r="13" customFormat="false" ht="21.75" hidden="false" customHeight="true" outlineLevel="0" collapsed="false">
      <c r="B13" s="15" t="s">
        <v>45</v>
      </c>
      <c r="C13" s="16"/>
      <c r="D13" s="20" t="n">
        <v>0.045</v>
      </c>
      <c r="E13" s="20" t="n">
        <v>1</v>
      </c>
      <c r="F13" s="20" t="n">
        <v>450</v>
      </c>
      <c r="G13" s="21" t="s">
        <v>46</v>
      </c>
      <c r="H13" s="18" t="str">
        <f aca="false">IFERROR(E13/(C13*D13),"")</f>
        <v/>
      </c>
    </row>
    <row r="14" customFormat="false" ht="21.75" hidden="false" customHeight="true" outlineLevel="0" collapsed="false">
      <c r="B14" s="15" t="s">
        <v>47</v>
      </c>
      <c r="C14" s="20" t="n">
        <v>10000</v>
      </c>
      <c r="D14" s="16"/>
      <c r="E14" s="20" t="n">
        <v>2</v>
      </c>
      <c r="F14" s="20" t="n">
        <v>1200</v>
      </c>
      <c r="G14" s="21" t="s">
        <v>48</v>
      </c>
      <c r="H14" s="18" t="str">
        <f aca="false">IFERROR(E14/(B14*D14),"")</f>
        <v/>
      </c>
    </row>
    <row r="15" customFormat="false" ht="21.75" hidden="false" customHeight="true" outlineLevel="0" collapsed="false">
      <c r="B15" s="15" t="s">
        <v>49</v>
      </c>
      <c r="C15" s="20" t="n">
        <v>8000</v>
      </c>
      <c r="D15" s="20" t="n">
        <v>0.055</v>
      </c>
      <c r="E15" s="16"/>
      <c r="F15" s="20" t="n">
        <v>330</v>
      </c>
      <c r="G15" s="21" t="s">
        <v>50</v>
      </c>
      <c r="H15" s="18" t="str">
        <f aca="false">IFERROR(E15/(B15*C15),"")</f>
        <v/>
      </c>
    </row>
    <row r="16" customFormat="false" ht="13.5" hidden="false" customHeight="true" outlineLevel="0" collapsed="false"/>
    <row r="17" customFormat="false" ht="21.75" hidden="false" customHeight="true" outlineLevel="0" collapsed="false">
      <c r="B17" s="9" t="s">
        <v>51</v>
      </c>
      <c r="C17" s="9"/>
      <c r="D17" s="9"/>
      <c r="E17" s="9"/>
      <c r="F17" s="9"/>
      <c r="G17" s="9"/>
      <c r="H17" s="9"/>
    </row>
    <row r="18" customFormat="false" ht="19.5" hidden="false" customHeight="true" outlineLevel="0" collapsed="false">
      <c r="B18" s="14" t="s">
        <v>27</v>
      </c>
      <c r="C18" s="14" t="s">
        <v>46</v>
      </c>
      <c r="D18" s="14" t="s">
        <v>52</v>
      </c>
      <c r="E18" s="14" t="s">
        <v>53</v>
      </c>
      <c r="F18" s="14" t="s">
        <v>54</v>
      </c>
      <c r="G18" s="14" t="s">
        <v>55</v>
      </c>
      <c r="H18" s="14" t="s">
        <v>56</v>
      </c>
    </row>
    <row r="19" customFormat="false" ht="21.75" hidden="false" customHeight="true" outlineLevel="0" collapsed="false">
      <c r="B19" s="15" t="s">
        <v>57</v>
      </c>
      <c r="C19" s="16"/>
      <c r="D19" s="16"/>
      <c r="E19" s="16"/>
      <c r="F19" s="17" t="n">
        <f aca="false">IFERROR(C19*D19*(E19/365),"")</f>
        <v>0</v>
      </c>
      <c r="G19" s="18" t="n">
        <f aca="false">IFERROR(C19*D19*(E19/360),"")</f>
        <v>0</v>
      </c>
      <c r="H19" s="17" t="str">
        <f aca="false">IFERROR(IF(G19&gt;F19,"Ordinary","Exact"),"")</f>
        <v>Exact</v>
      </c>
    </row>
    <row r="20" customFormat="false" ht="21.75" hidden="false" customHeight="true" outlineLevel="0" collapsed="false">
      <c r="B20" s="15" t="s">
        <v>58</v>
      </c>
      <c r="C20" s="16"/>
      <c r="D20" s="16"/>
      <c r="E20" s="16"/>
      <c r="F20" s="17" t="n">
        <f aca="false">IFERROR(C20*D20*(E20/365),"")</f>
        <v>0</v>
      </c>
      <c r="G20" s="18" t="n">
        <f aca="false">IFERROR(C20*D20*(E20/360),"")</f>
        <v>0</v>
      </c>
      <c r="H20" s="17" t="str">
        <f aca="false">IFERROR(IF(G20&gt;F20,"Ordinary","Exact"),"")</f>
        <v>Exact</v>
      </c>
    </row>
    <row r="21" customFormat="false" ht="21.75" hidden="false" customHeight="true" outlineLevel="0" collapsed="false">
      <c r="B21" s="22" t="s">
        <v>59</v>
      </c>
      <c r="C21" s="22"/>
      <c r="D21" s="22"/>
      <c r="E21" s="22"/>
      <c r="F21" s="22"/>
      <c r="G21" s="22"/>
      <c r="H21" s="22"/>
    </row>
  </sheetData>
  <mergeCells count="6">
    <mergeCell ref="B2:H2"/>
    <mergeCell ref="B3:H3"/>
    <mergeCell ref="B5:H5"/>
    <mergeCell ref="B11:H11"/>
    <mergeCell ref="B17:H17"/>
    <mergeCell ref="B21:H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4A2B"/>
    <pageSetUpPr fitToPage="false"/>
  </sheetPr>
  <dimension ref="B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5" min="4" style="1" width="14"/>
    <col collapsed="false" customWidth="true" hidden="false" outlineLevel="0" max="6" min="6" style="1" width="20"/>
    <col collapsed="false" customWidth="true" hidden="false" outlineLevel="0" max="7" min="7" style="1" width="22"/>
    <col collapsed="false" customWidth="true" hidden="false" outlineLevel="0" max="9" min="8" style="1" width="24"/>
  </cols>
  <sheetData>
    <row r="1" customFormat="false" ht="6" hidden="false" customHeight="true" outlineLevel="0" collapsed="false"/>
    <row r="2" customFormat="false" ht="31.5" hidden="false" customHeight="true" outlineLevel="0" collapsed="false">
      <c r="B2" s="12" t="s">
        <v>60</v>
      </c>
      <c r="C2" s="12"/>
      <c r="D2" s="12"/>
      <c r="E2" s="12"/>
      <c r="F2" s="12"/>
      <c r="G2" s="12"/>
      <c r="H2" s="12"/>
    </row>
    <row r="3" customFormat="false" ht="9.75" hidden="false" customHeight="true" outlineLevel="0" collapsed="false"/>
    <row r="4" customFormat="false" ht="21.75" hidden="false" customHeight="true" outlineLevel="0" collapsed="false">
      <c r="B4" s="9" t="s">
        <v>61</v>
      </c>
      <c r="C4" s="9"/>
      <c r="D4" s="9"/>
      <c r="E4" s="9"/>
      <c r="F4" s="9"/>
      <c r="G4" s="9"/>
      <c r="H4" s="9"/>
    </row>
    <row r="5" customFormat="false" ht="19.5" hidden="false" customHeight="true" outlineLevel="0" collapsed="false">
      <c r="B5" s="14" t="s">
        <v>62</v>
      </c>
      <c r="C5" s="14" t="s">
        <v>63</v>
      </c>
      <c r="D5" s="14" t="s">
        <v>64</v>
      </c>
      <c r="E5" s="14" t="s">
        <v>30</v>
      </c>
      <c r="F5" s="14" t="s">
        <v>65</v>
      </c>
      <c r="G5" s="14" t="s">
        <v>66</v>
      </c>
      <c r="H5" s="14" t="s">
        <v>33</v>
      </c>
    </row>
    <row r="6" customFormat="false" ht="21.75" hidden="false" customHeight="true" outlineLevel="0" collapsed="false">
      <c r="B6" s="15" t="s">
        <v>67</v>
      </c>
      <c r="C6" s="16"/>
      <c r="D6" s="16"/>
      <c r="E6" s="16"/>
      <c r="F6" s="17" t="n">
        <f aca="false">IFERROR(1+D6*E6,"")</f>
        <v>1</v>
      </c>
      <c r="G6" s="18" t="n">
        <f aca="false">IFERROR(C6/F6,"")</f>
        <v>0</v>
      </c>
      <c r="H6" s="19" t="s">
        <v>68</v>
      </c>
    </row>
    <row r="7" customFormat="false" ht="21.75" hidden="false" customHeight="true" outlineLevel="0" collapsed="false">
      <c r="B7" s="15" t="s">
        <v>69</v>
      </c>
      <c r="C7" s="16"/>
      <c r="D7" s="16"/>
      <c r="E7" s="16"/>
      <c r="F7" s="17" t="n">
        <f aca="false">IFERROR(1+D7*E7,"")</f>
        <v>1</v>
      </c>
      <c r="G7" s="18" t="n">
        <f aca="false">IFERROR(C7/F7,"")</f>
        <v>0</v>
      </c>
      <c r="H7" s="19" t="s">
        <v>70</v>
      </c>
    </row>
    <row r="8" customFormat="false" ht="21.75" hidden="false" customHeight="true" outlineLevel="0" collapsed="false">
      <c r="B8" s="15" t="s">
        <v>71</v>
      </c>
      <c r="C8" s="16"/>
      <c r="D8" s="16"/>
      <c r="E8" s="16"/>
      <c r="F8" s="17" t="n">
        <f aca="false">IFERROR(1+D8*E8,"")</f>
        <v>1</v>
      </c>
      <c r="G8" s="18" t="n">
        <f aca="false">IFERROR(C8/F8,"")</f>
        <v>0</v>
      </c>
      <c r="H8" s="19" t="s">
        <v>72</v>
      </c>
    </row>
    <row r="9" customFormat="false" ht="13.5" hidden="false" customHeight="true" outlineLevel="0" collapsed="false"/>
    <row r="10" customFormat="false" ht="21.75" hidden="false" customHeight="true" outlineLevel="0" collapsed="false">
      <c r="B10" s="7" t="s">
        <v>73</v>
      </c>
      <c r="C10" s="7"/>
      <c r="D10" s="7"/>
      <c r="E10" s="7"/>
      <c r="F10" s="7"/>
      <c r="G10" s="7"/>
      <c r="H10" s="7"/>
    </row>
    <row r="11" customFormat="false" ht="19.5" hidden="false" customHeight="true" outlineLevel="0" collapsed="false">
      <c r="B11" s="14" t="s">
        <v>62</v>
      </c>
      <c r="C11" s="14" t="s">
        <v>63</v>
      </c>
      <c r="D11" s="14" t="s">
        <v>48</v>
      </c>
      <c r="E11" s="14" t="s">
        <v>74</v>
      </c>
      <c r="F11" s="14" t="s">
        <v>75</v>
      </c>
      <c r="G11" s="14" t="s">
        <v>76</v>
      </c>
      <c r="H11" s="14" t="s">
        <v>77</v>
      </c>
    </row>
    <row r="12" customFormat="false" ht="21.75" hidden="false" customHeight="true" outlineLevel="0" collapsed="false">
      <c r="B12" s="15" t="s">
        <v>78</v>
      </c>
      <c r="C12" s="16"/>
      <c r="D12" s="16"/>
      <c r="E12" s="16"/>
      <c r="F12" s="16"/>
      <c r="G12" s="23" t="n">
        <f aca="false">IFERROR(PV(D12,E12,F12,C12),"")</f>
        <v>-0</v>
      </c>
      <c r="H12" s="24" t="n">
        <f aca="false">IFERROR(FV(D12,E12,F12,G12),"")</f>
        <v>-0</v>
      </c>
      <c r="I12" s="19" t="s">
        <v>79</v>
      </c>
    </row>
    <row r="13" customFormat="false" ht="21.75" hidden="false" customHeight="true" outlineLevel="0" collapsed="false">
      <c r="B13" s="15" t="s">
        <v>80</v>
      </c>
      <c r="C13" s="16"/>
      <c r="D13" s="16"/>
      <c r="E13" s="16"/>
      <c r="F13" s="16"/>
      <c r="G13" s="23" t="n">
        <f aca="false">IFERROR(PV(D13,E13,F13,C13),"")</f>
        <v>-0</v>
      </c>
      <c r="H13" s="24" t="n">
        <f aca="false">IFERROR(FV(D13,E13,F13,G13),"")</f>
        <v>-0</v>
      </c>
      <c r="I13" s="19" t="s">
        <v>81</v>
      </c>
    </row>
    <row r="14" customFormat="false" ht="21.75" hidden="false" customHeight="true" outlineLevel="0" collapsed="false">
      <c r="B14" s="15" t="s">
        <v>82</v>
      </c>
      <c r="C14" s="16"/>
      <c r="D14" s="16"/>
      <c r="E14" s="16"/>
      <c r="F14" s="16"/>
      <c r="G14" s="23" t="n">
        <f aca="false">IFERROR(PV(D14,E14,F14,C14),"")</f>
        <v>-0</v>
      </c>
      <c r="H14" s="24" t="n">
        <f aca="false">IFERROR(FV(D14,E14,F14,G14),"")</f>
        <v>-0</v>
      </c>
      <c r="I14" s="19" t="s">
        <v>83</v>
      </c>
    </row>
    <row r="15" customFormat="false" ht="9.75" hidden="false" customHeight="true" outlineLevel="0" collapsed="false"/>
    <row r="16" customFormat="false" ht="21.75" hidden="false" customHeight="true" outlineLevel="0" collapsed="false">
      <c r="B16" s="22" t="s">
        <v>84</v>
      </c>
      <c r="C16" s="22"/>
      <c r="D16" s="22"/>
      <c r="E16" s="22"/>
      <c r="F16" s="22"/>
      <c r="G16" s="22"/>
      <c r="H16" s="22"/>
    </row>
  </sheetData>
  <mergeCells count="4">
    <mergeCell ref="B2:H2"/>
    <mergeCell ref="B4:H4"/>
    <mergeCell ref="B10:H10"/>
    <mergeCell ref="B16:H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843D"/>
    <pageSetUpPr fitToPage="false"/>
  </sheetPr>
  <dimension ref="B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4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18"/>
    <col collapsed="false" customWidth="true" hidden="false" outlineLevel="0" max="7" min="7" style="1" width="20"/>
    <col collapsed="false" customWidth="true" hidden="false" outlineLevel="0" max="8" min="8" style="1" width="24"/>
  </cols>
  <sheetData>
    <row r="1" customFormat="false" ht="6" hidden="false" customHeight="true" outlineLevel="0" collapsed="false"/>
    <row r="2" customFormat="false" ht="31.5" hidden="false" customHeight="true" outlineLevel="0" collapsed="false">
      <c r="B2" s="12" t="s">
        <v>85</v>
      </c>
      <c r="C2" s="12"/>
      <c r="D2" s="12"/>
      <c r="E2" s="12"/>
      <c r="F2" s="12"/>
      <c r="G2" s="12"/>
      <c r="H2" s="12"/>
    </row>
    <row r="3" customFormat="false" ht="24" hidden="false" customHeight="true" outlineLevel="0" collapsed="false">
      <c r="B3" s="25" t="s">
        <v>86</v>
      </c>
      <c r="C3" s="25"/>
      <c r="D3" s="25"/>
      <c r="E3" s="25"/>
      <c r="F3" s="25"/>
      <c r="G3" s="25"/>
      <c r="H3" s="25"/>
    </row>
    <row r="4" customFormat="false" ht="9.75" hidden="false" customHeight="true" outlineLevel="0" collapsed="false"/>
    <row r="5" customFormat="false" ht="21.75" hidden="false" customHeight="true" outlineLevel="0" collapsed="false">
      <c r="B5" s="9" t="s">
        <v>87</v>
      </c>
      <c r="C5" s="9"/>
      <c r="D5" s="9"/>
    </row>
    <row r="6" customFormat="false" ht="21.75" hidden="false" customHeight="true" outlineLevel="0" collapsed="false">
      <c r="B6" s="15" t="s">
        <v>88</v>
      </c>
      <c r="C6" s="16"/>
      <c r="D6" s="26" t="s">
        <v>89</v>
      </c>
    </row>
    <row r="7" customFormat="false" ht="9.75" hidden="false" customHeight="true" outlineLevel="0" collapsed="false"/>
    <row r="8" customFormat="false" ht="21.75" hidden="false" customHeight="true" outlineLevel="0" collapsed="false">
      <c r="B8" s="4" t="s">
        <v>90</v>
      </c>
      <c r="C8" s="4"/>
      <c r="D8" s="4"/>
      <c r="E8" s="4"/>
      <c r="F8" s="4"/>
      <c r="G8" s="4"/>
      <c r="H8" s="4"/>
    </row>
    <row r="9" customFormat="false" ht="19.5" hidden="false" customHeight="true" outlineLevel="0" collapsed="false">
      <c r="B9" s="14" t="s">
        <v>91</v>
      </c>
      <c r="C9" s="14" t="s">
        <v>92</v>
      </c>
      <c r="D9" s="14" t="s">
        <v>63</v>
      </c>
      <c r="E9" s="14" t="s">
        <v>93</v>
      </c>
      <c r="F9" s="14" t="s">
        <v>65</v>
      </c>
      <c r="G9" s="14" t="s">
        <v>66</v>
      </c>
      <c r="H9" s="14" t="s">
        <v>94</v>
      </c>
    </row>
    <row r="10" customFormat="false" ht="21.75" hidden="false" customHeight="true" outlineLevel="0" collapsed="false">
      <c r="B10" s="15" t="s">
        <v>95</v>
      </c>
      <c r="C10" s="11" t="s">
        <v>96</v>
      </c>
      <c r="D10" s="27" t="n">
        <v>18000</v>
      </c>
      <c r="E10" s="20" t="n">
        <v>1</v>
      </c>
      <c r="F10" s="16"/>
      <c r="G10" s="16"/>
      <c r="H10" s="28" t="s">
        <v>97</v>
      </c>
    </row>
    <row r="11" customFormat="false" ht="21.75" hidden="false" customHeight="true" outlineLevel="0" collapsed="false">
      <c r="B11" s="15" t="s">
        <v>98</v>
      </c>
      <c r="C11" s="11" t="s">
        <v>99</v>
      </c>
      <c r="D11" s="27" t="n">
        <v>22000</v>
      </c>
      <c r="E11" s="20" t="n">
        <v>2</v>
      </c>
      <c r="F11" s="16"/>
      <c r="G11" s="16"/>
      <c r="H11" s="28" t="s">
        <v>100</v>
      </c>
    </row>
    <row r="12" customFormat="false" ht="21.75" hidden="false" customHeight="true" outlineLevel="0" collapsed="false">
      <c r="B12" s="15" t="s">
        <v>101</v>
      </c>
      <c r="C12" s="11" t="s">
        <v>102</v>
      </c>
      <c r="D12" s="27" t="n">
        <v>25000</v>
      </c>
      <c r="E12" s="20" t="n">
        <v>3</v>
      </c>
      <c r="F12" s="16"/>
      <c r="G12" s="16"/>
      <c r="H12" s="28" t="s">
        <v>103</v>
      </c>
    </row>
    <row r="13" customFormat="false" ht="21.75" hidden="false" customHeight="true" outlineLevel="0" collapsed="false">
      <c r="B13" s="15" t="s">
        <v>104</v>
      </c>
      <c r="C13" s="11" t="s">
        <v>105</v>
      </c>
      <c r="D13" s="27" t="n">
        <v>20000</v>
      </c>
      <c r="E13" s="20" t="n">
        <v>4</v>
      </c>
      <c r="F13" s="16"/>
      <c r="G13" s="16"/>
      <c r="H13" s="28" t="s">
        <v>106</v>
      </c>
    </row>
    <row r="14" customFormat="false" ht="21.75" hidden="false" customHeight="true" outlineLevel="0" collapsed="false">
      <c r="B14" s="15" t="s">
        <v>107</v>
      </c>
      <c r="C14" s="11" t="s">
        <v>108</v>
      </c>
      <c r="D14" s="27" t="n">
        <v>15000</v>
      </c>
      <c r="E14" s="20" t="n">
        <v>5</v>
      </c>
      <c r="F14" s="16"/>
      <c r="G14" s="16"/>
      <c r="H14" s="28" t="s">
        <v>109</v>
      </c>
    </row>
    <row r="15" customFormat="false" ht="6" hidden="false" customHeight="true" outlineLevel="0" collapsed="false"/>
    <row r="16" customFormat="false" ht="25.5" hidden="false" customHeight="true" outlineLevel="0" collapsed="false">
      <c r="B16" s="29" t="s">
        <v>110</v>
      </c>
      <c r="C16" s="29"/>
      <c r="D16" s="29"/>
      <c r="E16" s="29"/>
      <c r="F16" s="29"/>
      <c r="G16" s="16"/>
      <c r="H16" s="30" t="n">
        <f aca="false">SUM(G10:G14)</f>
        <v>0</v>
      </c>
    </row>
    <row r="17" customFormat="false" ht="9.75" hidden="false" customHeight="true" outlineLevel="0" collapsed="false"/>
    <row r="18" customFormat="false" ht="21.75" hidden="false" customHeight="true" outlineLevel="0" collapsed="false">
      <c r="B18" s="7" t="s">
        <v>111</v>
      </c>
      <c r="C18" s="7"/>
      <c r="D18" s="7"/>
      <c r="E18" s="7"/>
      <c r="F18" s="7"/>
      <c r="G18" s="7"/>
      <c r="H18" s="7"/>
    </row>
    <row r="19" customFormat="false" ht="39.75" hidden="false" customHeight="true" outlineLevel="0" collapsed="false">
      <c r="B19" s="31" t="s">
        <v>112</v>
      </c>
      <c r="C19" s="31"/>
      <c r="D19" s="31"/>
      <c r="E19" s="31"/>
      <c r="F19" s="31"/>
      <c r="G19" s="31"/>
      <c r="H19" s="31"/>
    </row>
    <row r="20" customFormat="false" ht="21.75" hidden="false" customHeight="true" outlineLevel="0" collapsed="false">
      <c r="B20" s="32" t="s">
        <v>113</v>
      </c>
      <c r="C20" s="32"/>
      <c r="D20" s="32"/>
      <c r="E20" s="32"/>
      <c r="F20" s="32"/>
      <c r="G20" s="32"/>
      <c r="H20" s="32"/>
    </row>
    <row r="21" customFormat="false" ht="21.75" hidden="false" customHeight="true" outlineLevel="0" collapsed="false">
      <c r="B21" s="32"/>
      <c r="C21" s="32"/>
      <c r="D21" s="32"/>
      <c r="E21" s="32"/>
      <c r="F21" s="32"/>
      <c r="G21" s="32"/>
      <c r="H21" s="32"/>
    </row>
    <row r="22" customFormat="false" ht="21.75" hidden="false" customHeight="true" outlineLevel="0" collapsed="false">
      <c r="B22" s="32"/>
      <c r="C22" s="32"/>
      <c r="D22" s="32"/>
      <c r="E22" s="32"/>
      <c r="F22" s="32"/>
      <c r="G22" s="32"/>
      <c r="H22" s="32"/>
    </row>
  </sheetData>
  <mergeCells count="8">
    <mergeCell ref="B2:H2"/>
    <mergeCell ref="B3:H3"/>
    <mergeCell ref="B5:D5"/>
    <mergeCell ref="B8:H8"/>
    <mergeCell ref="B16:F16"/>
    <mergeCell ref="B18:H18"/>
    <mergeCell ref="B19:H19"/>
    <mergeCell ref="B20: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88888"/>
    <pageSetUpPr fitToPage="false"/>
  </sheetPr>
  <dimension ref="B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8"/>
    <col collapsed="false" customWidth="true" hidden="false" outlineLevel="0" max="4" min="3" style="1" width="30"/>
    <col collapsed="false" customWidth="true" hidden="false" outlineLevel="0" max="5" min="5" style="1" width="24"/>
  </cols>
  <sheetData>
    <row r="1" customFormat="false" ht="6" hidden="false" customHeight="true" outlineLevel="0" collapsed="false"/>
    <row r="2" customFormat="false" ht="30" hidden="false" customHeight="true" outlineLevel="0" collapsed="false">
      <c r="B2" s="33" t="s">
        <v>114</v>
      </c>
      <c r="C2" s="33"/>
      <c r="D2" s="33"/>
      <c r="E2" s="33"/>
    </row>
    <row r="3" customFormat="false" ht="19.5" hidden="false" customHeight="true" outlineLevel="0" collapsed="false">
      <c r="B3" s="34" t="s">
        <v>115</v>
      </c>
      <c r="C3" s="34"/>
      <c r="D3" s="34"/>
      <c r="E3" s="34"/>
    </row>
    <row r="4" customFormat="false" ht="9.75" hidden="false" customHeight="true" outlineLevel="0" collapsed="false"/>
    <row r="5" customFormat="false" ht="21.75" hidden="false" customHeight="true" outlineLevel="0" collapsed="false">
      <c r="B5" s="4" t="s">
        <v>116</v>
      </c>
      <c r="C5" s="4"/>
      <c r="D5" s="4"/>
      <c r="E5" s="4"/>
    </row>
    <row r="6" customFormat="false" ht="18" hidden="false" customHeight="true" outlineLevel="0" collapsed="false">
      <c r="B6" s="35" t="s">
        <v>117</v>
      </c>
      <c r="C6" s="35" t="s">
        <v>118</v>
      </c>
      <c r="D6" s="35" t="s">
        <v>119</v>
      </c>
      <c r="E6" s="35" t="s">
        <v>33</v>
      </c>
    </row>
    <row r="7" customFormat="false" ht="19.5" hidden="false" customHeight="true" outlineLevel="0" collapsed="false">
      <c r="B7" s="36" t="s">
        <v>120</v>
      </c>
      <c r="C7" s="37" t="s">
        <v>121</v>
      </c>
      <c r="D7" s="38" t="s">
        <v>122</v>
      </c>
      <c r="E7" s="19" t="s">
        <v>123</v>
      </c>
    </row>
    <row r="8" customFormat="false" ht="19.5" hidden="false" customHeight="true" outlineLevel="0" collapsed="false">
      <c r="B8" s="36" t="s">
        <v>124</v>
      </c>
      <c r="C8" s="37" t="s">
        <v>125</v>
      </c>
      <c r="D8" s="38" t="s">
        <v>126</v>
      </c>
      <c r="E8" s="19" t="s">
        <v>127</v>
      </c>
    </row>
    <row r="9" customFormat="false" ht="19.5" hidden="false" customHeight="true" outlineLevel="0" collapsed="false">
      <c r="B9" s="36" t="s">
        <v>128</v>
      </c>
      <c r="C9" s="37" t="s">
        <v>129</v>
      </c>
      <c r="D9" s="38" t="s">
        <v>130</v>
      </c>
      <c r="E9" s="19" t="s">
        <v>131</v>
      </c>
    </row>
    <row r="10" customFormat="false" ht="19.5" hidden="false" customHeight="true" outlineLevel="0" collapsed="false">
      <c r="B10" s="36" t="s">
        <v>132</v>
      </c>
      <c r="C10" s="37" t="s">
        <v>133</v>
      </c>
      <c r="D10" s="38" t="s">
        <v>134</v>
      </c>
      <c r="E10" s="19" t="s">
        <v>135</v>
      </c>
    </row>
    <row r="11" customFormat="false" ht="19.5" hidden="false" customHeight="true" outlineLevel="0" collapsed="false">
      <c r="B11" s="36" t="s">
        <v>136</v>
      </c>
      <c r="C11" s="37" t="s">
        <v>137</v>
      </c>
      <c r="D11" s="38" t="s">
        <v>138</v>
      </c>
      <c r="E11" s="19" t="s">
        <v>139</v>
      </c>
    </row>
    <row r="12" customFormat="false" ht="7.5" hidden="false" customHeight="true" outlineLevel="0" collapsed="false"/>
    <row r="13" customFormat="false" ht="21.75" hidden="false" customHeight="true" outlineLevel="0" collapsed="false">
      <c r="B13" s="7" t="s">
        <v>140</v>
      </c>
      <c r="C13" s="7"/>
      <c r="D13" s="7"/>
      <c r="E13" s="7"/>
    </row>
    <row r="14" customFormat="false" ht="18" hidden="false" customHeight="true" outlineLevel="0" collapsed="false">
      <c r="B14" s="39" t="s">
        <v>117</v>
      </c>
      <c r="C14" s="39" t="s">
        <v>118</v>
      </c>
      <c r="D14" s="39" t="s">
        <v>119</v>
      </c>
      <c r="E14" s="39" t="s">
        <v>33</v>
      </c>
    </row>
    <row r="15" customFormat="false" ht="19.5" hidden="false" customHeight="true" outlineLevel="0" collapsed="false">
      <c r="B15" s="36" t="s">
        <v>141</v>
      </c>
      <c r="C15" s="37" t="s">
        <v>142</v>
      </c>
      <c r="D15" s="38" t="s">
        <v>143</v>
      </c>
      <c r="E15" s="19" t="s">
        <v>144</v>
      </c>
    </row>
    <row r="16" customFormat="false" ht="19.5" hidden="false" customHeight="true" outlineLevel="0" collapsed="false">
      <c r="B16" s="36" t="s">
        <v>145</v>
      </c>
      <c r="C16" s="37" t="s">
        <v>146</v>
      </c>
      <c r="D16" s="38" t="s">
        <v>147</v>
      </c>
      <c r="E16" s="19" t="s">
        <v>148</v>
      </c>
    </row>
    <row r="17" customFormat="false" ht="19.5" hidden="false" customHeight="true" outlineLevel="0" collapsed="false">
      <c r="B17" s="36" t="s">
        <v>149</v>
      </c>
      <c r="C17" s="37" t="s">
        <v>150</v>
      </c>
      <c r="D17" s="38" t="s">
        <v>151</v>
      </c>
      <c r="E17" s="19" t="s">
        <v>152</v>
      </c>
    </row>
    <row r="18" customFormat="false" ht="7.5" hidden="false" customHeight="true" outlineLevel="0" collapsed="false"/>
    <row r="19" customFormat="false" ht="21.75" hidden="false" customHeight="true" outlineLevel="0" collapsed="false">
      <c r="B19" s="9" t="s">
        <v>153</v>
      </c>
      <c r="C19" s="9"/>
      <c r="D19" s="9"/>
      <c r="E19" s="9"/>
    </row>
    <row r="20" customFormat="false" ht="18" hidden="false" customHeight="true" outlineLevel="0" collapsed="false">
      <c r="B20" s="40" t="s">
        <v>117</v>
      </c>
      <c r="C20" s="40" t="s">
        <v>118</v>
      </c>
      <c r="D20" s="40" t="s">
        <v>119</v>
      </c>
      <c r="E20" s="40" t="s">
        <v>33</v>
      </c>
    </row>
    <row r="21" customFormat="false" ht="19.5" hidden="false" customHeight="true" outlineLevel="0" collapsed="false">
      <c r="B21" s="36" t="s">
        <v>65</v>
      </c>
      <c r="C21" s="37" t="s">
        <v>154</v>
      </c>
      <c r="D21" s="38" t="s">
        <v>155</v>
      </c>
      <c r="E21" s="19" t="s">
        <v>156</v>
      </c>
    </row>
    <row r="22" customFormat="false" ht="19.5" hidden="false" customHeight="true" outlineLevel="0" collapsed="false">
      <c r="B22" s="36" t="s">
        <v>157</v>
      </c>
      <c r="C22" s="37" t="s">
        <v>158</v>
      </c>
      <c r="D22" s="38" t="s">
        <v>159</v>
      </c>
      <c r="E22" s="19" t="s">
        <v>160</v>
      </c>
    </row>
    <row r="23" customFormat="false" ht="19.5" hidden="false" customHeight="true" outlineLevel="0" collapsed="false">
      <c r="B23" s="36" t="s">
        <v>161</v>
      </c>
      <c r="C23" s="38" t="s">
        <v>162</v>
      </c>
      <c r="D23" s="38" t="s">
        <v>163</v>
      </c>
      <c r="E23" s="19" t="s">
        <v>164</v>
      </c>
    </row>
    <row r="24" customFormat="false" ht="19.5" hidden="false" customHeight="true" outlineLevel="0" collapsed="false">
      <c r="B24" s="36" t="s">
        <v>165</v>
      </c>
      <c r="C24" s="38" t="s">
        <v>166</v>
      </c>
      <c r="D24" s="38" t="s">
        <v>167</v>
      </c>
      <c r="E24" s="19" t="s">
        <v>168</v>
      </c>
    </row>
    <row r="25" customFormat="false" ht="19.5" hidden="false" customHeight="true" outlineLevel="0" collapsed="false">
      <c r="B25" s="36" t="s">
        <v>169</v>
      </c>
      <c r="C25" s="37" t="s">
        <v>170</v>
      </c>
      <c r="D25" s="38" t="s">
        <v>171</v>
      </c>
      <c r="E25" s="19" t="s">
        <v>172</v>
      </c>
    </row>
    <row r="26" customFormat="false" ht="7.5" hidden="false" customHeight="true" outlineLevel="0" collapsed="false"/>
  </sheetData>
  <mergeCells count="5">
    <mergeCell ref="B2:E2"/>
    <mergeCell ref="B3:E3"/>
    <mergeCell ref="B5:E5"/>
    <mergeCell ref="B13:E13"/>
    <mergeCell ref="B19:E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2026-06-08T13:45:31Z</dcterms:created>
  <dc:creator>openpyxl</dc:creator>
  <dc:description/>
  <dc:language>en-US</dc:language>
  <cp:lastModifiedBy/>
  <dcterms:modified xsi:type="dcterms:W3CDTF">2026-06-08T13:46:04Z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