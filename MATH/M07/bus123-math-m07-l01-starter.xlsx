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tmp/bus123-m07-review/ab-outputs/"/>
    </mc:Choice>
  </mc:AlternateContent>
  <xr:revisionPtr revIDLastSave="0" documentId="13_ncr:1_{A150F5AE-2600-284B-923F-B93A3BC429F1}" xr6:coauthVersionLast="47" xr6:coauthVersionMax="47" xr10:uidLastSave="{00000000-0000-0000-0000-000000000000}"/>
  <bookViews>
    <workbookView xWindow="0" yWindow="580" windowWidth="38400" windowHeight="15280" xr2:uid="{00000000-000D-0000-FFFF-FFFF00000000}"/>
  </bookViews>
  <sheets>
    <sheet name="START HERE" sheetId="1" r:id="rId1"/>
    <sheet name="Live You Try It" sheetId="2" r:id="rId2"/>
    <sheet name="Class Challenge" sheetId="3" r:id="rId3"/>
    <sheet name="FormulaReferenceC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3" l="1"/>
  <c r="I11" i="3"/>
  <c r="I10" i="3"/>
  <c r="I9" i="3"/>
  <c r="I8" i="3"/>
  <c r="I7" i="3"/>
  <c r="D16" i="3" s="1"/>
  <c r="I34" i="2"/>
  <c r="I33" i="2"/>
  <c r="I25" i="2"/>
  <c r="I24" i="2"/>
  <c r="I16" i="2"/>
  <c r="I15" i="2"/>
  <c r="I14" i="2"/>
  <c r="I13" i="2"/>
  <c r="I12" i="2"/>
  <c r="I11" i="2"/>
  <c r="I10" i="2"/>
  <c r="I9" i="2"/>
  <c r="I8" i="2"/>
  <c r="I7" i="2"/>
  <c r="I6" i="2"/>
</calcChain>
</file>

<file path=xl/sharedStrings.xml><?xml version="1.0" encoding="utf-8"?>
<sst xmlns="http://schemas.openxmlformats.org/spreadsheetml/2006/main" count="240" uniqueCount="183">
  <si>
    <t>BUS123 - MATH-M07-L01 - Sales, Excise, and Property Taxes</t>
  </si>
  <si>
    <t>How to use this workbook</t>
  </si>
  <si>
    <t>Course</t>
  </si>
  <si>
    <t>BUS123 - Solving Business Problems with Technology</t>
  </si>
  <si>
    <t>Module</t>
  </si>
  <si>
    <t>MATH-M07 - Lesson 01</t>
  </si>
  <si>
    <t>Topic</t>
  </si>
  <si>
    <t>Sales tax, excise tax, and property tax using a simplified training jurisdiction</t>
  </si>
  <si>
    <t>Companies</t>
  </si>
  <si>
    <t>Tidal Goods Co. and Meridian Advisory Group; supplied training rules</t>
  </si>
  <si>
    <t>Live You Try It</t>
  </si>
  <si>
    <t>Class Challenge</t>
  </si>
  <si>
    <t>FormulaReferenceCard</t>
  </si>
  <si>
    <t>Syntax reminders to use only after you decide which pattern fits the supplied business rule.</t>
  </si>
  <si>
    <t>Color key</t>
  </si>
  <si>
    <t>Yellow input cells</t>
  </si>
  <si>
    <t>Green feedback cells</t>
  </si>
  <si>
    <t>Yellow audit-repair cells</t>
  </si>
  <si>
    <t>Only yellow cells are student work. Blue-gray source records and the supplied training-jurisdiction rules stay unchanged.</t>
  </si>
  <si>
    <t>MATH-M07 - Live You Try It | Self-graded Excel pauses</t>
  </si>
  <si>
    <t>#</t>
  </si>
  <si>
    <t>Task</t>
  </si>
  <si>
    <t>Input 1</t>
  </si>
  <si>
    <t>Input 2</t>
  </si>
  <si>
    <t>Input 3</t>
  </si>
  <si>
    <t>Input 4</t>
  </si>
  <si>
    <t>Formula / Answer</t>
  </si>
  <si>
    <t>Self-check feedback</t>
  </si>
  <si>
    <t>Hint</t>
  </si>
  <si>
    <t>Slide</t>
  </si>
  <si>
    <t>Sales tax</t>
  </si>
  <si>
    <t>D: retail price 735; E: trade discount 95; H: taxable subtotal.</t>
  </si>
  <si>
    <t>Subtract the discount before tax under the supplied rule.</t>
  </si>
  <si>
    <t>E: tax rate 5.75%; H: tax owed using row 1 subtotal.</t>
  </si>
  <si>
    <t>Reference the taxable subtotal cell, not the retail price.</t>
  </si>
  <si>
    <t>D: shipping 22; H: total price using rows 1 and 2.</t>
  </si>
  <si>
    <t>Reference the subtotal and tax results, then add shipping.</t>
  </si>
  <si>
    <t>Reverse tax</t>
  </si>
  <si>
    <t>D: receipts 64,200; E: tax rate 7%; H: pre-tax sales.</t>
  </si>
  <si>
    <t>Divide receipts by 1 plus the tax rate.</t>
  </si>
  <si>
    <t>H: tax held using row 4 receipts and pre-tax sales.</t>
  </si>
  <si>
    <t>Reference receipts and pre-tax sales.</t>
  </si>
  <si>
    <t>Excise tax</t>
  </si>
  <si>
    <t>D: base cost 7,250; E: sales tax rate 6%; H: sales tax.</t>
  </si>
  <si>
    <t>Reference the supplied base and sales-tax rate.</t>
  </si>
  <si>
    <t>Property tax</t>
  </si>
  <si>
    <t>D: market value 540,000; E: assessment rate 32%; H: assessed value.</t>
  </si>
  <si>
    <t>Reference market value and the supplied assessment rate.</t>
  </si>
  <si>
    <t>D: town budget 234,500; E: total assessed value 3,450,000; H: rounded rate.</t>
  </si>
  <si>
    <t>Use ROUND on budget divided by total assessed value.</t>
  </si>
  <si>
    <t>H: annual tax due using row 9 assessed value and row 10 rounded rate.</t>
  </si>
  <si>
    <t>MATH-M07 - Class Challenge | Tax Compliance Audit</t>
  </si>
  <si>
    <t>All cases use the supplied training-jurisdiction rules. Blue-gray cells are source data and stay unchanged. Yellow cells are your audit work. Corrected liabilities must be formulas, not typed answers.</t>
  </si>
  <si>
    <t>SUPPLIED SOURCE DATA + FILED CALCULATION</t>
  </si>
  <si>
    <t>STUDENT AUDIT REPAIRS</t>
  </si>
  <si>
    <t>Record</t>
  </si>
  <si>
    <t>Tax area</t>
  </si>
  <si>
    <t>Audit case</t>
  </si>
  <si>
    <t>Amount / market value</t>
  </si>
  <si>
    <t>Discount / assessment rate</t>
  </si>
  <si>
    <t>Tax rate / town budget</t>
  </si>
  <si>
    <t>Second rate / total AV</t>
  </si>
  <si>
    <t>Filed formula</t>
  </si>
  <si>
    <t>Reported liability</t>
  </si>
  <si>
    <t>Finding code
0=OK · 1=ERROR</t>
  </si>
  <si>
    <t>Corrected liability formula</t>
  </si>
  <si>
    <t>Adjustment
(corrected - reported)</t>
  </si>
  <si>
    <t>R01</t>
  </si>
  <si>
    <t>Tidal invoice: $1,200 less $180 trade discount; tax liability only</t>
  </si>
  <si>
    <t>=ROUND((D7-E7)*F7,2)</t>
  </si>
  <si>
    <t>R02</t>
  </si>
  <si>
    <t>Tidal order: $480 less $80 trade discount; tax liability only</t>
  </si>
  <si>
    <t>=ROUND(D8*F8,2)</t>
  </si>
  <si>
    <t>R03</t>
  </si>
  <si>
    <t>Tidal register: tax is included in $78,625 total receipts</t>
  </si>
  <si>
    <t>=ROUND(D9-D9/(1+F9),2)</t>
  </si>
  <si>
    <t>R04</t>
  </si>
  <si>
    <t>Meridian appliance: 7% sales and 8% excise tax share a $6,200 base</t>
  </si>
  <si>
    <t>=ROUND(D10*(F10+G10),2)</t>
  </si>
  <si>
    <t>R05</t>
  </si>
  <si>
    <t>Meridian equipment: 7% sales and 9% excise tax share an $8,400 base</t>
  </si>
  <si>
    <t>=ROUND(D11*F11+(D11+D11*F11)*G11,2)</t>
  </si>
  <si>
    <t>R06</t>
  </si>
  <si>
    <t>Meridian office: annual property tax using assessed value and a 4-decimal rate</t>
  </si>
  <si>
    <t>=ROUND(D12*ROUND(F12/G12,4),2)</t>
  </si>
  <si>
    <t>LIABILITY RECONCILIATION</t>
  </si>
  <si>
    <t>Reported liability total (supplied)</t>
  </si>
  <si>
    <t>Control total (supplied)</t>
  </si>
  <si>
    <t>Corrected total</t>
  </si>
  <si>
    <t>Net adjustment</t>
  </si>
  <si>
    <t>Corrected from reported</t>
  </si>
  <si>
    <t>Reconciliation difference</t>
  </si>
  <si>
    <t>AUDIT NOTE
In 8+ words, identify the most consequential issue and explain why.</t>
  </si>
  <si>
    <t>MATH-M07 - FormulaReferenceCard</t>
  </si>
  <si>
    <t>Concept</t>
  </si>
  <si>
    <t>Excel Pattern</t>
  </si>
  <si>
    <t>Plain-English Meaning</t>
  </si>
  <si>
    <t>Watch Out For</t>
  </si>
  <si>
    <t>Taxable subtotal</t>
  </si>
  <si>
    <t>=Price-Discount</t>
  </si>
  <si>
    <t>Finds the amount subject to sales tax.</t>
  </si>
  <si>
    <t>Apply qualifying discounts before tax under the supplied rule.</t>
  </si>
  <si>
    <t>Sales tax owed</t>
  </si>
  <si>
    <t>=Taxable*Rate</t>
  </si>
  <si>
    <t>Calculates the tax on the taxable subtotal.</t>
  </si>
  <si>
    <t>Use the tax rate as a decimal and the taxable subtotal as the base.</t>
  </si>
  <si>
    <t>Total price</t>
  </si>
  <si>
    <t>=Taxable+Tax+Shipping</t>
  </si>
  <si>
    <t>Adds taxable amount, tax, and shipping.</t>
  </si>
  <si>
    <t>Add shipping after tax under the supplied rule.</t>
  </si>
  <si>
    <t>Back-calculate sales</t>
  </si>
  <si>
    <t>=TotalReceipts/(1+Rate)</t>
  </si>
  <si>
    <t>Finds sales before tax from total receipts.</t>
  </si>
  <si>
    <t>Do not divide receipts by the tax rate alone.</t>
  </si>
  <si>
    <t>Tax remittance</t>
  </si>
  <si>
    <t>=Receipts-PreTaxSales</t>
  </si>
  <si>
    <t>Finds tax collected and owed to the government.</t>
  </si>
  <si>
    <t>Collected tax is a liability, not revenue.</t>
  </si>
  <si>
    <t>Separate excise taxes</t>
  </si>
  <si>
    <t>=Base*SalesRate and =Base*ExciseRate</t>
  </si>
  <si>
    <t>Calculates both tax amounts from the same base.</t>
  </si>
  <si>
    <t>Use only when the scenario says both taxes share one base.</t>
  </si>
  <si>
    <t>Combined excise shortcut</t>
  </si>
  <si>
    <t>=Base*(1+SalesRate+ExciseRate)</t>
  </si>
  <si>
    <t>Combines rates when they share one base.</t>
  </si>
  <si>
    <t>The shortcut is valid only under the supplied same-base rule.</t>
  </si>
  <si>
    <t>Assessed value</t>
  </si>
  <si>
    <t>=MarketValue*AssessmentRate</t>
  </si>
  <si>
    <t>Converts market value to taxable assessed value.</t>
  </si>
  <si>
    <t>Use the assessment rule supplied by the training municipality.</t>
  </si>
  <si>
    <t>Property tax rate</t>
  </si>
  <si>
    <t>=ROUND(Budget/TotalAV,4)</t>
  </si>
  <si>
    <t>Rounds the municipal tax rate to four decimals.</t>
  </si>
  <si>
    <t>Round the rate before applying it to assessed value.</t>
  </si>
  <si>
    <t>Annual property tax</t>
  </si>
  <si>
    <t>=RoundedRate*AssessedValue</t>
  </si>
  <si>
    <t>Calculates annual property tax due.</t>
  </si>
  <si>
    <t>Use assessed value and the rounded rate.</t>
  </si>
  <si>
    <t>Monthly NNN reserve</t>
  </si>
  <si>
    <t>=AnnualTax/12</t>
  </si>
  <si>
    <t>Converts annual property tax into monthly planning cost.</t>
  </si>
  <si>
    <t>Use for lease cash-flow planning; actual obligations depend on lease terms.</t>
  </si>
  <si>
    <t>Slide 6: follow Version A in rows 22-25, then try Version B in rows 31-34. Later slides use tasks 1-11 above. Compare with the slide reveals.</t>
  </si>
  <si>
    <t>In pairs, audit R01-R03 and one of R04-R06. Complete all six and reconcile for homework.</t>
  </si>
  <si>
    <t>Yellow input cells and answer cells are blank for student work.</t>
  </si>
  <si>
    <t>Feedback checks baseline values and required references; explain your logic and test changing inputs.</t>
  </si>
  <si>
    <t>Enter inputs and formulas in H. Feedback checks baseline values and required references. Attempt first, then compare with the slide reveal. Restore inputs after Predict → Change → Explain.</t>
  </si>
  <si>
    <t>slide 8</t>
  </si>
  <si>
    <t>slide 13</t>
  </si>
  <si>
    <t>E: excise rate 4.5%; H: excise tax using the original base in D11.</t>
  </si>
  <si>
    <t>Reference the same original base cell used for sales tax: D11.</t>
  </si>
  <si>
    <t>H: total cost using original base D11 and tax results H11 and H12.</t>
  </si>
  <si>
    <t>Add the original base and both separate tax results.</t>
  </si>
  <si>
    <t>slide 17</t>
  </si>
  <si>
    <t>Reference assessed value H14 and rounded rate H15.</t>
  </si>
  <si>
    <t>Slide 6 - Reverse sales tax - Version A (follow along)</t>
  </si>
  <si>
    <t>Tidal register receipts of $52,000 include 6.5% sales tax. Enter the givens, calculate pre-tax sales and tax held, and explain why they add back to receipts.</t>
  </si>
  <si>
    <t>A1</t>
  </si>
  <si>
    <t>Receipts</t>
  </si>
  <si>
    <t>Enter tax-inclusive receipts 52,000 in D22.</t>
  </si>
  <si>
    <t>slide 6</t>
  </si>
  <si>
    <t>A2</t>
  </si>
  <si>
    <t>Tax rate</t>
  </si>
  <si>
    <t>Enter sales-tax rate 6.5% in E23.</t>
  </si>
  <si>
    <t>A3</t>
  </si>
  <si>
    <t>Pre-tax sales</t>
  </si>
  <si>
    <t>Calculate sales before tax in H24 using the two inputs above.</t>
  </si>
  <si>
    <t>Explain why the divisor includes 1 plus the tax rate.</t>
  </si>
  <si>
    <t>A4</t>
  </si>
  <si>
    <t>Tax held</t>
  </si>
  <si>
    <t>Calculate tax held in H25 using receipts and your pre-tax sales result.</t>
  </si>
  <si>
    <t>Sales plus tax held must equal receipts.</t>
  </si>
  <si>
    <t>Slide 6 - Reverse sales tax - Version B (try independently)</t>
  </si>
  <si>
    <t>Tidal register receipts of $43,200 include 8% sales tax. Enter the givens, calculate pre-tax sales and tax held, and explain why they add back to receipts.</t>
  </si>
  <si>
    <t>B1</t>
  </si>
  <si>
    <t>Enter tax-inclusive receipts 43,200 in D31.</t>
  </si>
  <si>
    <t>B2</t>
  </si>
  <si>
    <t>Enter sales-tax rate 8% in E32.</t>
  </si>
  <si>
    <t>B3</t>
  </si>
  <si>
    <t>Calculate sales before tax in H33 using the two inputs above.</t>
  </si>
  <si>
    <t>B4</t>
  </si>
  <si>
    <t>Calculate tax held in H34 using receipts and your pre-tax sales result.</t>
  </si>
  <si>
    <t>In pairs: audit R01-R03, then one of R04-R06. Finish all six for homework before reconciling to the control total. Enter 0 for OK or 1 for ERROR, repair formulas, and compute adjustments.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</si>
</sst>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.00"/>
    <numFmt numFmtId="165" formatCode="0.0%"/>
    <numFmt numFmtId="166" formatCode="0.0000"/>
    <numFmt numFmtId="167" formatCode="&quot;$&quot;#,##0.00"/>
    <numFmt numFmtId="168" formatCode="&quot;$&quot;#,##0.00;[Red]\-&quot;$&quot;#,##0.00"/>
    <numFmt numFmtId="169" formatCode="0.00%;[Red]\-0.00%"/>
  </numFmts>
  <fonts count="16">
    <font>
      <sz val="11"/>
      <color theme="1"/>
      <name val="Calibri"/>
    </font>
    <font>
      <b/>
      <sz val="16"/>
      <color rgb="FFFFFFFF"/>
      <name val="Aptos Display"/>
    </font>
    <font>
      <b/>
      <sz val="12"/>
      <color rgb="FFFFFFFF"/>
      <name val="Aptos"/>
    </font>
    <font>
      <b/>
      <sz val="11"/>
      <color rgb="FF1A1F2C"/>
      <name val="Aptos"/>
    </font>
    <font>
      <i/>
      <sz val="11"/>
      <color rgb="FF4A5567"/>
      <name val="Aptos"/>
    </font>
    <font>
      <b/>
      <sz val="11"/>
      <color rgb="FFFFFFFF"/>
      <name val="Aptos"/>
    </font>
    <font>
      <b/>
      <sz val="11"/>
      <color rgb="FF355773"/>
      <name val="Aptos Mono"/>
    </font>
    <font>
      <sz val="11"/>
      <color rgb="FF1A1F2C"/>
      <name val="DM Sans"/>
    </font>
    <font>
      <b/>
      <sz val="20"/>
      <color rgb="FFFFFFFF"/>
      <name val="DM Sans"/>
    </font>
    <font>
      <i/>
      <sz val="11"/>
      <color rgb="FF4A5567"/>
      <name val="DM Sans"/>
    </font>
    <font>
      <b/>
      <sz val="10"/>
      <color rgb="FF355773"/>
      <name val="DM Sans"/>
    </font>
    <font>
      <b/>
      <sz val="11"/>
      <color rgb="FFFFFFFF"/>
      <name val="DM Sans"/>
    </font>
    <font>
      <sz val="9"/>
      <color rgb="FF355773"/>
      <name val="JetBrains Mono"/>
    </font>
    <font>
      <b/>
      <sz val="11"/>
      <color rgb="FF9C4A2B"/>
      <name val="DM Sans"/>
    </font>
    <font>
      <sz val="11"/>
      <color rgb="FF1A1F2C"/>
      <name val="Aptos"/>
    </font>
    <font>
      <b/>
      <sz val="13"/>
      <color rgb="FFFFFFFF"/>
      <name val="Aptos"/>
    </font>
  </fonts>
  <fills count="25">
    <fill>
      <patternFill patternType="none"/>
    </fill>
    <fill>
      <patternFill patternType="gray125"/>
    </fill>
    <fill>
      <patternFill patternType="solid">
        <fgColor rgb="FF0E1116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F2EEE5"/>
      </patternFill>
    </fill>
    <fill>
      <patternFill patternType="solid">
        <fgColor rgb="FF355773"/>
      </patternFill>
    </fill>
    <fill>
      <patternFill patternType="solid">
        <fgColor rgb="FFFFF2CC"/>
      </patternFill>
    </fill>
    <fill>
      <patternFill patternType="solid">
        <fgColor rgb="FFEAF3EC"/>
      </patternFill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EAF3EC"/>
      </patternFill>
    </fill>
    <fill>
      <patternFill patternType="solid">
        <fgColor rgb="FF355773"/>
      </patternFill>
    </fill>
    <fill>
      <patternFill patternType="solid">
        <fgColor rgb="FFB8843D"/>
      </patternFill>
    </fill>
    <fill>
      <patternFill patternType="solid">
        <fgColor rgb="FF4A7C5E"/>
      </patternFill>
    </fill>
    <fill>
      <patternFill patternType="solid">
        <fgColor rgb="FFE8EEF3"/>
      </patternFill>
    </fill>
    <fill>
      <patternFill patternType="solid">
        <fgColor rgb="FFFFF2CC"/>
      </patternFill>
    </fill>
    <fill>
      <patternFill patternType="solid">
        <fgColor rgb="FF9C4A2B"/>
      </patternFill>
    </fill>
    <fill>
      <patternFill patternType="solid">
        <fgColor rgb="FFFFFFFF"/>
      </patternFill>
    </fill>
    <fill>
      <patternFill patternType="solid">
        <fgColor rgb="FFF2EEE5"/>
      </patternFill>
    </fill>
    <fill>
      <patternFill patternType="solid">
        <fgColor rgb="FFEAF3EC"/>
      </patternFill>
    </fill>
    <fill>
      <patternFill patternType="solid">
        <fgColor rgb="FF4A7C5E"/>
      </patternFill>
    </fill>
    <fill>
      <patternFill patternType="solid">
        <fgColor rgb="FFFAF8F3"/>
      </patternFill>
    </fill>
    <fill>
      <patternFill patternType="solid">
        <fgColor rgb="FF355773"/>
      </patternFill>
    </fill>
    <fill>
      <patternFill patternType="solid">
        <fgColor rgb="FFFFD966"/>
      </patternFill>
    </fill>
  </fills>
  <borders count="13">
    <border>
      <left/>
      <right/>
      <top/>
      <bottom/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thin">
        <color rgb="FFE5E1D6"/>
      </left>
      <right/>
      <top style="thin">
        <color rgb="FFE5E1D6"/>
      </top>
      <bottom style="thin">
        <color rgb="FFE5E1D6"/>
      </bottom>
      <diagonal/>
    </border>
    <border>
      <left/>
      <right/>
      <top style="thin">
        <color rgb="FFE5E1D6"/>
      </top>
      <bottom style="thin">
        <color rgb="FFE5E1D6"/>
      </bottom>
      <diagonal/>
    </border>
    <border>
      <left/>
      <right style="thin">
        <color rgb="FFE5E1D6"/>
      </right>
      <top style="thin">
        <color rgb="FFE5E1D6"/>
      </top>
      <bottom style="thin">
        <color rgb="FFE5E1D6"/>
      </bottom>
      <diagonal/>
    </border>
    <border>
      <left/>
      <right style="thin">
        <color rgb="FFE5E1D6"/>
      </right>
      <top/>
      <bottom style="thin">
        <color rgb="FFE5E1D6"/>
      </bottom>
      <diagonal/>
    </border>
    <border>
      <left style="thin">
        <color rgb="FFE5E1D6"/>
      </left>
      <right style="thin">
        <color rgb="FFE5E1D6"/>
      </right>
      <top/>
      <bottom style="thin">
        <color rgb="FFE5E1D6"/>
      </bottom>
      <diagonal/>
    </border>
    <border>
      <left style="thin">
        <color rgb="FFE5E1D6"/>
      </left>
      <right/>
      <top/>
      <bottom style="thin">
        <color rgb="FFE5E1D6"/>
      </bottom>
      <diagonal/>
    </border>
    <border>
      <left/>
      <right style="thin">
        <color rgb="FFE5E1D6"/>
      </right>
      <top style="thin">
        <color rgb="FFE5E1D6"/>
      </top>
      <bottom/>
      <diagonal/>
    </border>
    <border>
      <left style="thin">
        <color rgb="FFE5E1D6"/>
      </left>
      <right style="thin">
        <color rgb="FFE5E1D6"/>
      </right>
      <top style="thin">
        <color rgb="FFE5E1D6"/>
      </top>
      <bottom/>
      <diagonal/>
    </border>
    <border>
      <left style="thin">
        <color rgb="FFE5E1D6"/>
      </left>
      <right/>
      <top style="thin">
        <color rgb="FFE5E1D6"/>
      </top>
      <bottom/>
      <diagonal/>
    </border>
    <border>
      <left/>
      <right/>
      <top style="thin">
        <color rgb="FFE5E1D6"/>
      </top>
      <bottom/>
      <diagonal/>
    </border>
    <border>
      <left/>
      <right/>
      <top/>
      <bottom style="thin">
        <color rgb="FFE5E1D6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0" xfId="0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164" fontId="0" fillId="7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65" fontId="0" fillId="7" borderId="1" xfId="0" applyNumberFormat="1" applyFill="1" applyBorder="1" applyAlignment="1">
      <alignment vertical="center" wrapText="1"/>
    </xf>
    <xf numFmtId="166" fontId="0" fillId="7" borderId="1" xfId="0" applyNumberForma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11" fillId="14" borderId="2" xfId="0" applyFont="1" applyFill="1" applyBorder="1" applyAlignment="1">
      <alignment vertical="center" wrapText="1"/>
    </xf>
    <xf numFmtId="0" fontId="11" fillId="14" borderId="3" xfId="0" applyFont="1" applyFill="1" applyBorder="1" applyAlignment="1">
      <alignment vertical="center" wrapText="1"/>
    </xf>
    <xf numFmtId="0" fontId="11" fillId="14" borderId="4" xfId="0" applyFont="1" applyFill="1" applyBorder="1" applyAlignment="1">
      <alignment vertical="center" wrapText="1"/>
    </xf>
    <xf numFmtId="0" fontId="7" fillId="15" borderId="5" xfId="0" applyFont="1" applyFill="1" applyBorder="1" applyAlignment="1">
      <alignment vertical="center"/>
    </xf>
    <xf numFmtId="0" fontId="7" fillId="16" borderId="6" xfId="0" applyFont="1" applyFill="1" applyBorder="1" applyAlignment="1">
      <alignment vertical="center"/>
    </xf>
    <xf numFmtId="0" fontId="7" fillId="15" borderId="4" xfId="0" applyFont="1" applyFill="1" applyBorder="1" applyAlignment="1">
      <alignment vertical="center"/>
    </xf>
    <xf numFmtId="0" fontId="7" fillId="16" borderId="1" xfId="0" applyFont="1" applyFill="1" applyBorder="1" applyAlignment="1">
      <alignment vertical="center"/>
    </xf>
    <xf numFmtId="0" fontId="7" fillId="15" borderId="8" xfId="0" applyFont="1" applyFill="1" applyBorder="1" applyAlignment="1">
      <alignment vertical="center"/>
    </xf>
    <xf numFmtId="0" fontId="7" fillId="16" borderId="9" xfId="0" applyFont="1" applyFill="1" applyBorder="1" applyAlignment="1">
      <alignment vertical="center"/>
    </xf>
    <xf numFmtId="0" fontId="7" fillId="15" borderId="6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9" xfId="0" applyFont="1" applyFill="1" applyBorder="1" applyAlignment="1">
      <alignment vertical="center" wrapText="1"/>
    </xf>
    <xf numFmtId="0" fontId="12" fillId="15" borderId="6" xfId="0" applyFont="1" applyFill="1" applyBorder="1" applyAlignment="1">
      <alignment vertical="center" wrapText="1"/>
    </xf>
    <xf numFmtId="0" fontId="12" fillId="15" borderId="1" xfId="0" applyFont="1" applyFill="1" applyBorder="1" applyAlignment="1">
      <alignment vertical="center" wrapText="1"/>
    </xf>
    <xf numFmtId="0" fontId="12" fillId="15" borderId="9" xfId="0" applyFont="1" applyFill="1" applyBorder="1" applyAlignment="1">
      <alignment vertical="center" wrapText="1"/>
    </xf>
    <xf numFmtId="167" fontId="7" fillId="15" borderId="6" xfId="0" applyNumberFormat="1" applyFont="1" applyFill="1" applyBorder="1" applyAlignment="1">
      <alignment vertical="center"/>
    </xf>
    <xf numFmtId="167" fontId="7" fillId="15" borderId="1" xfId="0" applyNumberFormat="1" applyFont="1" applyFill="1" applyBorder="1" applyAlignment="1">
      <alignment vertical="center"/>
    </xf>
    <xf numFmtId="167" fontId="7" fillId="15" borderId="9" xfId="0" applyNumberFormat="1" applyFont="1" applyFill="1" applyBorder="1" applyAlignment="1">
      <alignment vertical="center"/>
    </xf>
    <xf numFmtId="168" fontId="7" fillId="16" borderId="6" xfId="0" applyNumberFormat="1" applyFont="1" applyFill="1" applyBorder="1" applyAlignment="1">
      <alignment vertical="center"/>
    </xf>
    <xf numFmtId="168" fontId="7" fillId="16" borderId="7" xfId="0" applyNumberFormat="1" applyFont="1" applyFill="1" applyBorder="1" applyAlignment="1">
      <alignment vertical="center"/>
    </xf>
    <xf numFmtId="168" fontId="7" fillId="16" borderId="1" xfId="0" applyNumberFormat="1" applyFont="1" applyFill="1" applyBorder="1" applyAlignment="1">
      <alignment vertical="center"/>
    </xf>
    <xf numFmtId="168" fontId="7" fillId="16" borderId="2" xfId="0" applyNumberFormat="1" applyFont="1" applyFill="1" applyBorder="1" applyAlignment="1">
      <alignment vertical="center"/>
    </xf>
    <xf numFmtId="168" fontId="7" fillId="16" borderId="9" xfId="0" applyNumberFormat="1" applyFont="1" applyFill="1" applyBorder="1" applyAlignment="1">
      <alignment vertical="center"/>
    </xf>
    <xf numFmtId="168" fontId="7" fillId="16" borderId="10" xfId="0" applyNumberFormat="1" applyFont="1" applyFill="1" applyBorder="1" applyAlignment="1">
      <alignment vertical="center"/>
    </xf>
    <xf numFmtId="169" fontId="7" fillId="15" borderId="6" xfId="0" applyNumberFormat="1" applyFont="1" applyFill="1" applyBorder="1" applyAlignment="1">
      <alignment vertical="center"/>
    </xf>
    <xf numFmtId="169" fontId="7" fillId="15" borderId="1" xfId="0" applyNumberFormat="1" applyFont="1" applyFill="1" applyBorder="1" applyAlignment="1">
      <alignment vertical="center"/>
    </xf>
    <xf numFmtId="169" fontId="7" fillId="15" borderId="9" xfId="0" applyNumberFormat="1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168" fontId="13" fillId="16" borderId="10" xfId="0" applyNumberFormat="1" applyFont="1" applyFill="1" applyBorder="1" applyAlignment="1">
      <alignment vertical="center"/>
    </xf>
    <xf numFmtId="0" fontId="14" fillId="18" borderId="1" xfId="0" applyFont="1" applyFill="1" applyBorder="1" applyAlignment="1">
      <alignment vertical="center" wrapText="1"/>
    </xf>
    <xf numFmtId="0" fontId="14" fillId="19" borderId="1" xfId="0" applyFont="1" applyFill="1" applyBorder="1" applyAlignment="1">
      <alignment vertical="center" wrapText="1"/>
    </xf>
    <xf numFmtId="0" fontId="14" fillId="20" borderId="1" xfId="0" applyFont="1" applyFill="1" applyBorder="1" applyAlignment="1">
      <alignment vertical="center" wrapText="1"/>
    </xf>
    <xf numFmtId="0" fontId="5" fillId="23" borderId="0" xfId="0" applyFont="1" applyFill="1" applyAlignment="1">
      <alignment vertical="center" wrapText="1"/>
    </xf>
    <xf numFmtId="167" fontId="14" fillId="24" borderId="1" xfId="0" applyNumberFormat="1" applyFont="1" applyFill="1" applyBorder="1" applyAlignment="1">
      <alignment vertical="center" wrapText="1"/>
    </xf>
    <xf numFmtId="165" fontId="14" fillId="24" borderId="1" xfId="0" applyNumberFormat="1" applyFont="1" applyFill="1" applyBorder="1" applyAlignment="1">
      <alignment vertical="center" wrapText="1"/>
    </xf>
    <xf numFmtId="164" fontId="0" fillId="19" borderId="1" xfId="0" applyNumberFormat="1" applyFill="1" applyBorder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15" fillId="21" borderId="0" xfId="0" applyFont="1" applyFill="1"/>
    <xf numFmtId="0" fontId="14" fillId="22" borderId="0" xfId="0" applyFont="1" applyFill="1" applyAlignment="1">
      <alignment wrapText="1"/>
    </xf>
    <xf numFmtId="0" fontId="13" fillId="16" borderId="9" xfId="0" applyFont="1" applyFill="1" applyBorder="1" applyAlignment="1">
      <alignment vertical="center"/>
    </xf>
    <xf numFmtId="0" fontId="11" fillId="12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2" borderId="7" xfId="0" applyFont="1" applyFill="1" applyBorder="1" applyAlignment="1">
      <alignment vertical="center" wrapText="1"/>
    </xf>
    <xf numFmtId="0" fontId="11" fillId="12" borderId="12" xfId="0" applyFont="1" applyFill="1" applyBorder="1" applyAlignment="1">
      <alignment vertical="center" wrapText="1"/>
    </xf>
    <xf numFmtId="0" fontId="8" fillId="9" borderId="0" xfId="0" applyFont="1" applyFill="1" applyAlignment="1">
      <alignment vertical="center"/>
    </xf>
    <xf numFmtId="0" fontId="9" fillId="10" borderId="0" xfId="0" applyFont="1" applyFill="1" applyAlignment="1">
      <alignment vertical="center" wrapText="1"/>
    </xf>
    <xf numFmtId="0" fontId="10" fillId="11" borderId="0" xfId="0" applyFont="1" applyFill="1" applyAlignment="1">
      <alignment vertical="center" wrapText="1"/>
    </xf>
    <xf numFmtId="0" fontId="11" fillId="12" borderId="2" xfId="0" applyFont="1" applyFill="1" applyBorder="1" applyAlignment="1">
      <alignment vertical="center"/>
    </xf>
    <xf numFmtId="0" fontId="11" fillId="12" borderId="3" xfId="0" applyFont="1" applyFill="1" applyBorder="1" applyAlignment="1">
      <alignment vertical="center"/>
    </xf>
    <xf numFmtId="0" fontId="11" fillId="12" borderId="4" xfId="0" applyFont="1" applyFill="1" applyBorder="1" applyAlignment="1">
      <alignment vertical="center"/>
    </xf>
    <xf numFmtId="0" fontId="11" fillId="13" borderId="2" xfId="0" applyFont="1" applyFill="1" applyBorder="1" applyAlignment="1">
      <alignment vertical="center"/>
    </xf>
    <xf numFmtId="0" fontId="11" fillId="13" borderId="3" xfId="0" applyFont="1" applyFill="1" applyBorder="1" applyAlignment="1">
      <alignment vertical="center"/>
    </xf>
    <xf numFmtId="0" fontId="11" fillId="13" borderId="4" xfId="0" applyFont="1" applyFill="1" applyBorder="1" applyAlignment="1">
      <alignment vertical="center"/>
    </xf>
    <xf numFmtId="0" fontId="11" fillId="17" borderId="2" xfId="0" applyFont="1" applyFill="1" applyBorder="1" applyAlignment="1">
      <alignment vertical="center"/>
    </xf>
    <xf numFmtId="0" fontId="11" fillId="17" borderId="3" xfId="0" applyFont="1" applyFill="1" applyBorder="1" applyAlignment="1">
      <alignment vertical="center"/>
    </xf>
    <xf numFmtId="0" fontId="11" fillId="17" borderId="4" xfId="0" applyFont="1" applyFill="1" applyBorder="1" applyAlignment="1">
      <alignment vertical="center"/>
    </xf>
    <xf numFmtId="0" fontId="7" fillId="16" borderId="11" xfId="0" applyFont="1" applyFill="1" applyBorder="1" applyAlignment="1">
      <alignment vertical="center" wrapText="1"/>
    </xf>
    <xf numFmtId="0" fontId="7" fillId="16" borderId="8" xfId="0" applyFont="1" applyFill="1" applyBorder="1" applyAlignment="1">
      <alignment vertical="center" wrapText="1"/>
    </xf>
    <xf numFmtId="0" fontId="7" fillId="16" borderId="12" xfId="0" applyFont="1" applyFill="1" applyBorder="1" applyAlignment="1">
      <alignment vertical="center" wrapText="1"/>
    </xf>
    <xf numFmtId="0" fontId="7" fillId="16" borderId="5" xfId="0" applyFont="1" applyFill="1" applyBorder="1" applyAlignment="1">
      <alignment vertical="center" wrapText="1"/>
    </xf>
    <xf numFmtId="0" fontId="7" fillId="15" borderId="5" xfId="0" applyFont="1" applyFill="1" applyBorder="1" applyAlignment="1">
      <alignment vertical="center"/>
    </xf>
    <xf numFmtId="0" fontId="7" fillId="15" borderId="6" xfId="0" applyFont="1" applyFill="1" applyBorder="1" applyAlignment="1">
      <alignment vertical="center"/>
    </xf>
    <xf numFmtId="0" fontId="7" fillId="16" borderId="6" xfId="0" applyFont="1" applyFill="1" applyBorder="1" applyAlignment="1">
      <alignment vertical="center"/>
    </xf>
    <xf numFmtId="0" fontId="7" fillId="16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showGridLines="0" tabSelected="1" workbookViewId="0">
      <selection sqref="A1:F1"/>
    </sheetView>
  </sheetViews>
  <sheetFormatPr baseColWidth="10" defaultColWidth="8.83203125" defaultRowHeight="15"/>
  <cols>
    <col min="1" max="1" width="4" customWidth="1"/>
    <col min="2" max="2" width="26" customWidth="1"/>
    <col min="3" max="3" width="34" customWidth="1"/>
    <col min="4" max="4" width="24" customWidth="1"/>
    <col min="5" max="5" width="30" customWidth="1"/>
    <col min="6" max="6" width="26" customWidth="1"/>
  </cols>
  <sheetData>
    <row r="1" spans="1:6" ht="34" customHeight="1">
      <c r="A1" s="55" t="s">
        <v>0</v>
      </c>
      <c r="B1" s="56"/>
      <c r="C1" s="56"/>
      <c r="D1" s="56"/>
      <c r="E1" s="56"/>
      <c r="F1" s="56"/>
    </row>
    <row r="2" spans="1:6">
      <c r="A2" s="1"/>
      <c r="B2" s="1"/>
      <c r="C2" s="1"/>
      <c r="D2" s="1"/>
      <c r="E2" s="1"/>
      <c r="F2" s="1"/>
    </row>
    <row r="3" spans="1:6" ht="24" customHeight="1">
      <c r="A3" s="51" t="s">
        <v>1</v>
      </c>
      <c r="B3" s="52"/>
      <c r="C3" s="52"/>
      <c r="D3" s="52"/>
      <c r="E3" s="52"/>
      <c r="F3" s="52"/>
    </row>
    <row r="4" spans="1:6" ht="32">
      <c r="A4" s="1"/>
      <c r="B4" s="2" t="s">
        <v>2</v>
      </c>
      <c r="C4" s="3" t="s">
        <v>3</v>
      </c>
      <c r="D4" s="1"/>
      <c r="E4" s="1"/>
      <c r="F4" s="1"/>
    </row>
    <row r="5" spans="1:6" ht="16">
      <c r="A5" s="1"/>
      <c r="B5" s="2" t="s">
        <v>4</v>
      </c>
      <c r="C5" s="3" t="s">
        <v>5</v>
      </c>
      <c r="D5" s="1"/>
      <c r="E5" s="1"/>
      <c r="F5" s="1"/>
    </row>
    <row r="6" spans="1:6" ht="32">
      <c r="A6" s="1"/>
      <c r="B6" s="2" t="s">
        <v>6</v>
      </c>
      <c r="C6" s="3" t="s">
        <v>7</v>
      </c>
      <c r="D6" s="1"/>
      <c r="E6" s="1"/>
      <c r="F6" s="1"/>
    </row>
    <row r="7" spans="1:6" ht="32">
      <c r="A7" s="1"/>
      <c r="B7" s="2" t="s">
        <v>8</v>
      </c>
      <c r="C7" s="3" t="s">
        <v>9</v>
      </c>
      <c r="D7" s="1"/>
      <c r="E7" s="1"/>
      <c r="F7" s="1"/>
    </row>
    <row r="8" spans="1:6" ht="64">
      <c r="A8" s="1"/>
      <c r="B8" s="2" t="s">
        <v>10</v>
      </c>
      <c r="C8" s="3" t="s">
        <v>142</v>
      </c>
      <c r="D8" s="1"/>
      <c r="E8" s="1"/>
      <c r="F8" s="1"/>
    </row>
    <row r="9" spans="1:6" ht="48" customHeight="1">
      <c r="A9" s="1"/>
      <c r="B9" s="2" t="s">
        <v>11</v>
      </c>
      <c r="C9" s="3" t="s">
        <v>143</v>
      </c>
      <c r="D9" s="1"/>
      <c r="E9" s="1"/>
      <c r="F9" s="1"/>
    </row>
    <row r="10" spans="1:6" ht="48">
      <c r="A10" s="1"/>
      <c r="B10" s="2" t="s">
        <v>12</v>
      </c>
      <c r="C10" s="3" t="s">
        <v>13</v>
      </c>
      <c r="D10" s="1"/>
      <c r="E10" s="1"/>
      <c r="F10" s="1"/>
    </row>
    <row r="11" spans="1:6">
      <c r="A11" s="1"/>
      <c r="B11" s="1"/>
      <c r="C11" s="1"/>
      <c r="D11" s="1"/>
      <c r="E11" s="1"/>
      <c r="F11" s="1"/>
    </row>
    <row r="12" spans="1:6">
      <c r="A12" s="1"/>
      <c r="B12" s="1"/>
      <c r="C12" s="1"/>
      <c r="D12" s="1"/>
      <c r="E12" s="1"/>
      <c r="F12" s="1"/>
    </row>
    <row r="13" spans="1:6" ht="24" customHeight="1">
      <c r="A13" s="53" t="s">
        <v>14</v>
      </c>
      <c r="B13" s="54"/>
      <c r="C13" s="54"/>
      <c r="D13" s="54"/>
      <c r="E13" s="54"/>
      <c r="F13" s="54"/>
    </row>
    <row r="14" spans="1:6" ht="32">
      <c r="A14" s="1"/>
      <c r="B14" s="3" t="s">
        <v>15</v>
      </c>
      <c r="C14" s="3" t="s">
        <v>144</v>
      </c>
      <c r="D14" s="1"/>
      <c r="E14" s="1"/>
      <c r="F14" s="1"/>
    </row>
    <row r="15" spans="1:6" ht="48">
      <c r="A15" s="1"/>
      <c r="B15" s="3" t="s">
        <v>16</v>
      </c>
      <c r="C15" s="3" t="s">
        <v>145</v>
      </c>
      <c r="D15" s="1"/>
      <c r="E15" s="1"/>
      <c r="F15" s="1"/>
    </row>
    <row r="16" spans="1:6" ht="38" customHeight="1">
      <c r="A16" s="1"/>
      <c r="B16" s="3" t="s">
        <v>17</v>
      </c>
      <c r="C16" s="3" t="s">
        <v>18</v>
      </c>
      <c r="D16" s="1"/>
      <c r="E16" s="1"/>
      <c r="F16" s="1"/>
    </row>
  </sheetData>
  <mergeCells count="3">
    <mergeCell ref="A3:F3"/>
    <mergeCell ref="A13:F13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4"/>
  <sheetViews>
    <sheetView showGridLines="0" workbookViewId="0"/>
  </sheetViews>
  <sheetFormatPr baseColWidth="10" defaultColWidth="8.83203125" defaultRowHeight="15"/>
  <cols>
    <col min="1" max="1" width="7" customWidth="1"/>
    <col min="2" max="2" width="16" customWidth="1"/>
    <col min="3" max="3" width="58" customWidth="1"/>
    <col min="4" max="7" width="16" customWidth="1"/>
    <col min="8" max="8" width="22" customWidth="1"/>
    <col min="9" max="10" width="34" customWidth="1"/>
    <col min="11" max="11" width="14" customWidth="1"/>
  </cols>
  <sheetData>
    <row r="1" spans="1:11" ht="34" customHeight="1">
      <c r="A1" s="55" t="s">
        <v>19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42" customHeight="1">
      <c r="A3" s="57" t="s">
        <v>146</v>
      </c>
      <c r="B3" s="58"/>
      <c r="C3" s="58"/>
      <c r="D3" s="58"/>
      <c r="E3" s="58"/>
      <c r="F3" s="58"/>
      <c r="G3" s="58"/>
      <c r="H3" s="58"/>
      <c r="I3" s="58"/>
      <c r="J3" s="58"/>
      <c r="K3" s="58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16">
      <c r="A5" s="4" t="s">
        <v>20</v>
      </c>
      <c r="B5" s="4" t="s">
        <v>6</v>
      </c>
      <c r="C5" s="4" t="s">
        <v>21</v>
      </c>
      <c r="D5" s="4" t="s">
        <v>22</v>
      </c>
      <c r="E5" s="4" t="s">
        <v>23</v>
      </c>
      <c r="F5" s="4" t="s">
        <v>24</v>
      </c>
      <c r="G5" s="4" t="s">
        <v>25</v>
      </c>
      <c r="H5" s="4" t="s">
        <v>26</v>
      </c>
      <c r="I5" s="4" t="s">
        <v>27</v>
      </c>
      <c r="J5" s="4" t="s">
        <v>28</v>
      </c>
      <c r="K5" s="4" t="s">
        <v>29</v>
      </c>
    </row>
    <row r="6" spans="1:11" ht="32">
      <c r="A6" s="3">
        <v>1</v>
      </c>
      <c r="B6" s="3" t="s">
        <v>30</v>
      </c>
      <c r="C6" s="3" t="s">
        <v>31</v>
      </c>
      <c r="D6" s="5"/>
      <c r="E6" s="5"/>
      <c r="F6" s="6"/>
      <c r="G6" s="6"/>
      <c r="H6" s="5"/>
      <c r="I6" s="7" t="str">
        <f ca="1">IF(COUNT(D6,E6,H6)&lt;3,"Enter inputs and a formula first",IF(NOT(_xlfn.ISFORMULA(H6)),"Use a formula, not a typed answer",IF(NOT(IFERROR(AND(ISNUMBER(SEARCH("D6",SUBSTITUTE(UPPER(_xlfn.FORMULATEXT(H6)),"$",""))),ISNUMBER(SEARCH("E6",SUBSTITUTE(UPPER(_xlfn.FORMULATEXT(H6)),"$","")))),FALSE)),"Use the required input/result references",IF(AND(ABS(D6-735)&lt;=0.01,ABS(E6-95)&lt;=0.01,ABS(H6-640)&lt;=0.01),"Correct - explain and test your model","Check the baseline inputs and calculation"))))</f>
        <v>Enter inputs and a formula first</v>
      </c>
      <c r="J6" s="3" t="s">
        <v>32</v>
      </c>
      <c r="K6" s="3" t="s">
        <v>147</v>
      </c>
    </row>
    <row r="7" spans="1:11" ht="32">
      <c r="A7" s="3">
        <v>2</v>
      </c>
      <c r="B7" s="3" t="s">
        <v>30</v>
      </c>
      <c r="C7" s="3" t="s">
        <v>33</v>
      </c>
      <c r="D7" s="6"/>
      <c r="E7" s="8"/>
      <c r="F7" s="6"/>
      <c r="G7" s="6"/>
      <c r="H7" s="5"/>
      <c r="I7" s="7" t="str">
        <f ca="1">IF(COUNT(H6,E7,H7)&lt;3,"Enter inputs and a formula first",IF(NOT(_xlfn.ISFORMULA(H7)),"Use a formula, not a typed answer",IF(NOT(IFERROR(AND(ISNUMBER(SEARCH("H6",SUBSTITUTE(UPPER(_xlfn.FORMULATEXT(H7)),"$",""))),ISNUMBER(SEARCH("E7",SUBSTITUTE(UPPER(_xlfn.FORMULATEXT(H7)),"$","")))),FALSE)),"Use the required input/result references",IF(AND(ABS(E7-0.0575)&lt;=0.0000001,ABS(H7-36.8)&lt;=0.01),"Correct - explain and test your model","Check the baseline inputs and calculation"))))</f>
        <v>Enter inputs and a formula first</v>
      </c>
      <c r="J7" s="3" t="s">
        <v>34</v>
      </c>
      <c r="K7" s="3" t="s">
        <v>147</v>
      </c>
    </row>
    <row r="8" spans="1:11" ht="32">
      <c r="A8" s="3">
        <v>3</v>
      </c>
      <c r="B8" s="3" t="s">
        <v>30</v>
      </c>
      <c r="C8" s="3" t="s">
        <v>35</v>
      </c>
      <c r="D8" s="5"/>
      <c r="E8" s="6"/>
      <c r="F8" s="6"/>
      <c r="G8" s="6"/>
      <c r="H8" s="5"/>
      <c r="I8" s="7" t="str">
        <f ca="1">IF(COUNT(H6,H7,D8,H8)&lt;4,"Enter inputs and a formula first",IF(NOT(_xlfn.ISFORMULA(H8)),"Use a formula, not a typed answer",IF(NOT(IFERROR(AND(ISNUMBER(SEARCH("H6",SUBSTITUTE(UPPER(_xlfn.FORMULATEXT(H8)),"$",""))),ISNUMBER(SEARCH("H7",SUBSTITUTE(UPPER(_xlfn.FORMULATEXT(H8)),"$",""))),ISNUMBER(SEARCH("D8",SUBSTITUTE(UPPER(_xlfn.FORMULATEXT(H8)),"$","")))),FALSE)),"Use the required input/result references",IF(AND(ABS(D8-22)&lt;=0.01,ABS(H8-698.8)&lt;=0.01),"Correct - explain and test your model","Check the baseline inputs and calculation"))))</f>
        <v>Enter inputs and a formula first</v>
      </c>
      <c r="J8" s="3" t="s">
        <v>36</v>
      </c>
      <c r="K8" s="3" t="s">
        <v>147</v>
      </c>
    </row>
    <row r="9" spans="1:11" ht="16">
      <c r="A9" s="3">
        <v>4</v>
      </c>
      <c r="B9" s="3" t="s">
        <v>37</v>
      </c>
      <c r="C9" s="3" t="s">
        <v>38</v>
      </c>
      <c r="D9" s="5"/>
      <c r="E9" s="8"/>
      <c r="F9" s="6"/>
      <c r="G9" s="6"/>
      <c r="H9" s="5"/>
      <c r="I9" s="7" t="str">
        <f ca="1">IF(COUNT(D9,E9,H9)&lt;3,"Enter inputs and a formula first",IF(NOT(_xlfn.ISFORMULA(H9)),"Use a formula, not a typed answer",IF(NOT(IFERROR(AND(ISNUMBER(SEARCH("D9",SUBSTITUTE(UPPER(_xlfn.FORMULATEXT(H9)),"$",""))),ISNUMBER(SEARCH("E9",SUBSTITUTE(UPPER(_xlfn.FORMULATEXT(H9)),"$","")))),FALSE)),"Use the required input/result references",IF(AND(ABS(D9-64200)&lt;=0.01,ABS(E9-0.07)&lt;=0.0000001,ABS(H9-60000)&lt;=0.01),"Correct - explain and test your model","Check the baseline inputs and calculation"))))</f>
        <v>Enter inputs and a formula first</v>
      </c>
      <c r="J9" s="3" t="s">
        <v>39</v>
      </c>
      <c r="K9" s="3" t="s">
        <v>147</v>
      </c>
    </row>
    <row r="10" spans="1:11" ht="16">
      <c r="A10" s="3">
        <v>5</v>
      </c>
      <c r="B10" s="3" t="s">
        <v>37</v>
      </c>
      <c r="C10" s="3" t="s">
        <v>40</v>
      </c>
      <c r="D10" s="6"/>
      <c r="E10" s="6"/>
      <c r="F10" s="6"/>
      <c r="G10" s="6"/>
      <c r="H10" s="5"/>
      <c r="I10" s="7" t="str">
        <f ca="1">IF(COUNT(D9,H9,H10)&lt;3,"Enter inputs and a formula first",IF(NOT(_xlfn.ISFORMULA(H10)),"Use a formula, not a typed answer",IF(NOT(IFERROR(AND(ISNUMBER(SEARCH("D9",SUBSTITUTE(UPPER(_xlfn.FORMULATEXT(H10)),"$",""))),ISNUMBER(SEARCH("H9",SUBSTITUTE(UPPER(_xlfn.FORMULATEXT(H10)),"$","")))),FALSE)),"Use the required input/result references",IF(AND(ABS(H10-4200)&lt;=0.01),"Correct - explain and test your model","Check the baseline inputs and calculation"))))</f>
        <v>Enter inputs and a formula first</v>
      </c>
      <c r="J10" s="3" t="s">
        <v>41</v>
      </c>
      <c r="K10" s="3" t="s">
        <v>147</v>
      </c>
    </row>
    <row r="11" spans="1:11" ht="32">
      <c r="A11" s="3">
        <v>6</v>
      </c>
      <c r="B11" s="3" t="s">
        <v>42</v>
      </c>
      <c r="C11" s="3" t="s">
        <v>43</v>
      </c>
      <c r="D11" s="5"/>
      <c r="E11" s="8"/>
      <c r="F11" s="6"/>
      <c r="G11" s="6"/>
      <c r="H11" s="5"/>
      <c r="I11" s="7" t="str">
        <f ca="1">IF(COUNT(D11,E11,H11)&lt;3,"Enter inputs and a formula first",IF(NOT(_xlfn.ISFORMULA(H11)),"Use a formula, not a typed answer",IF(NOT(IFERROR(AND(ISNUMBER(SEARCH("D11",SUBSTITUTE(UPPER(_xlfn.FORMULATEXT(H11)),"$",""))),ISNUMBER(SEARCH("E11",SUBSTITUTE(UPPER(_xlfn.FORMULATEXT(H11)),"$","")))),FALSE)),"Use the required input/result references",IF(AND(ABS(D11-7250)&lt;=0.01,ABS(E11-0.06)&lt;=0.0000001,ABS(H11-435)&lt;=0.01),"Correct - explain and test your model","Check the baseline inputs and calculation"))))</f>
        <v>Enter inputs and a formula first</v>
      </c>
      <c r="J11" s="3" t="s">
        <v>44</v>
      </c>
      <c r="K11" s="3" t="s">
        <v>148</v>
      </c>
    </row>
    <row r="12" spans="1:11" ht="32">
      <c r="A12" s="3">
        <v>7</v>
      </c>
      <c r="B12" s="3" t="s">
        <v>42</v>
      </c>
      <c r="C12" s="3" t="s">
        <v>149</v>
      </c>
      <c r="D12" s="50"/>
      <c r="E12" s="8"/>
      <c r="F12" s="6"/>
      <c r="G12" s="6"/>
      <c r="H12" s="5"/>
      <c r="I12" s="7" t="str">
        <f ca="1">IF(COUNT(D11,E12,H12)&lt;3,"Enter inputs and a formula first",IF(NOT(_xlfn.ISFORMULA(H12)),"Use a formula, not a typed answer",IF(NOT(IFERROR(AND(ISNUMBER(SEARCH("D11",SUBSTITUTE(UPPER(_xlfn.FORMULATEXT(H12)),"$",""))),ISNUMBER(SEARCH("E12",SUBSTITUTE(UPPER(_xlfn.FORMULATEXT(H12)),"$","")))),FALSE)),"Use the required input/result references",IF(AND(ABS(E12-0.045)&lt;=0.0000001,ABS(H12-326.25)&lt;=0.01),"Correct - explain and test your model","Check the baseline inputs and calculation"))))</f>
        <v>Enter inputs and a formula first</v>
      </c>
      <c r="J12" s="3" t="s">
        <v>150</v>
      </c>
      <c r="K12" s="3" t="s">
        <v>148</v>
      </c>
    </row>
    <row r="13" spans="1:11" ht="32">
      <c r="A13" s="3">
        <v>8</v>
      </c>
      <c r="B13" s="3" t="s">
        <v>42</v>
      </c>
      <c r="C13" s="3" t="s">
        <v>151</v>
      </c>
      <c r="D13" s="50"/>
      <c r="E13" s="6"/>
      <c r="F13" s="6"/>
      <c r="G13" s="6"/>
      <c r="H13" s="5"/>
      <c r="I13" s="7" t="str">
        <f ca="1">IF(COUNT(D11,H11,H12,H13)&lt;4,"Enter inputs and a formula first",IF(NOT(_xlfn.ISFORMULA(H13)),"Use a formula, not a typed answer",IF(NOT(IFERROR(AND(ISNUMBER(SEARCH("D11",SUBSTITUTE(UPPER(_xlfn.FORMULATEXT(H13)),"$",""))),ISNUMBER(SEARCH("H11",SUBSTITUTE(UPPER(_xlfn.FORMULATEXT(H13)),"$",""))),ISNUMBER(SEARCH("H12",SUBSTITUTE(UPPER(_xlfn.FORMULATEXT(H13)),"$","")))),FALSE)),"Use the required input/result references",IF(AND(ABS(H13-8011.25)&lt;=0.01),"Correct - explain and test your model","Check the baseline inputs and calculation"))))</f>
        <v>Enter inputs and a formula first</v>
      </c>
      <c r="J13" s="3" t="s">
        <v>152</v>
      </c>
      <c r="K13" s="3" t="s">
        <v>148</v>
      </c>
    </row>
    <row r="14" spans="1:11" ht="32">
      <c r="A14" s="3">
        <v>9</v>
      </c>
      <c r="B14" s="3" t="s">
        <v>45</v>
      </c>
      <c r="C14" s="3" t="s">
        <v>46</v>
      </c>
      <c r="D14" s="5"/>
      <c r="E14" s="8"/>
      <c r="F14" s="6"/>
      <c r="G14" s="6"/>
      <c r="H14" s="5"/>
      <c r="I14" s="7" t="str">
        <f ca="1">IF(COUNT(D14,E14,H14)&lt;3,"Enter inputs and a formula first",IF(NOT(_xlfn.ISFORMULA(H14)),"Use a formula, not a typed answer",IF(NOT(IFERROR(AND(ISNUMBER(SEARCH("D14",SUBSTITUTE(UPPER(_xlfn.FORMULATEXT(H14)),"$",""))),ISNUMBER(SEARCH("E14",SUBSTITUTE(UPPER(_xlfn.FORMULATEXT(H14)),"$","")))),FALSE)),"Use the required input/result references",IF(AND(ABS(D14-540000)&lt;=0.01,ABS(E14-0.32)&lt;=0.0000001,ABS(H14-172800)&lt;=0.01),"Correct - explain and test your model","Check the baseline inputs and calculation"))))</f>
        <v>Enter inputs and a formula first</v>
      </c>
      <c r="J14" s="3" t="s">
        <v>47</v>
      </c>
      <c r="K14" s="3" t="s">
        <v>153</v>
      </c>
    </row>
    <row r="15" spans="1:11" ht="32">
      <c r="A15" s="3">
        <v>10</v>
      </c>
      <c r="B15" s="3" t="s">
        <v>45</v>
      </c>
      <c r="C15" s="3" t="s">
        <v>48</v>
      </c>
      <c r="D15" s="5"/>
      <c r="E15" s="5"/>
      <c r="F15" s="6"/>
      <c r="G15" s="6"/>
      <c r="H15" s="9"/>
      <c r="I15" s="7" t="str">
        <f ca="1">IF(COUNT(D15,E15,H15)&lt;3,"Enter inputs and a formula first",IF(NOT(_xlfn.ISFORMULA(H15)),"Use a formula, not a typed answer",IF(NOT(IFERROR(AND(ISNUMBER(SEARCH("D15",SUBSTITUTE(UPPER(_xlfn.FORMULATEXT(H15)),"$",""))),ISNUMBER(SEARCH("E15",SUBSTITUTE(UPPER(_xlfn.FORMULATEXT(H15)),"$","")))),FALSE)),"Use the required input/result references",IF(AND(ABS(D15-234500)&lt;=0.01,ABS(E15-3450000)&lt;=0.01,ABS(H15-0.068)&lt;=0.0000001),"Correct - explain and test your model","Check the baseline inputs and calculation"))))</f>
        <v>Enter inputs and a formula first</v>
      </c>
      <c r="J15" s="3" t="s">
        <v>49</v>
      </c>
      <c r="K15" s="3" t="s">
        <v>153</v>
      </c>
    </row>
    <row r="16" spans="1:11" ht="32">
      <c r="A16" s="3">
        <v>11</v>
      </c>
      <c r="B16" s="3" t="s">
        <v>45</v>
      </c>
      <c r="C16" s="3" t="s">
        <v>50</v>
      </c>
      <c r="D16" s="6"/>
      <c r="E16" s="6"/>
      <c r="F16" s="6"/>
      <c r="G16" s="6"/>
      <c r="H16" s="5"/>
      <c r="I16" s="7" t="str">
        <f ca="1">IF(COUNT(H14,H15,H16)&lt;3,"Enter inputs and a formula first",IF(NOT(_xlfn.ISFORMULA(H16)),"Use a formula, not a typed answer",IF(NOT(IFERROR(AND(ISNUMBER(SEARCH("H14",SUBSTITUTE(UPPER(_xlfn.FORMULATEXT(H16)),"$",""))),ISNUMBER(SEARCH("H15",SUBSTITUTE(UPPER(_xlfn.FORMULATEXT(H16)),"$","")))),FALSE)),"Use the required input/result references",IF(AND(ABS(H16-11750.4)&lt;=0.01),"Correct - explain and test your model","Check the baseline inputs and calculation"))))</f>
        <v>Enter inputs and a formula first</v>
      </c>
      <c r="J16" s="3" t="s">
        <v>154</v>
      </c>
      <c r="K16" s="3" t="s">
        <v>153</v>
      </c>
    </row>
    <row r="19" spans="1:11" ht="30" customHeight="1">
      <c r="A19" s="59" t="s">
        <v>155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</row>
    <row r="20" spans="1:11" ht="36" customHeight="1">
      <c r="A20" s="60" t="s">
        <v>156</v>
      </c>
      <c r="B20" s="60"/>
      <c r="C20" s="60"/>
      <c r="D20" s="60"/>
      <c r="E20" s="60"/>
      <c r="F20" s="60"/>
      <c r="G20" s="60"/>
      <c r="H20" s="60"/>
      <c r="I20" s="60"/>
      <c r="J20" s="60"/>
      <c r="K20" s="60"/>
    </row>
    <row r="21" spans="1:11" ht="28" customHeight="1">
      <c r="A21" s="47" t="s">
        <v>20</v>
      </c>
      <c r="B21" s="47" t="s">
        <v>6</v>
      </c>
      <c r="C21" s="47" t="s">
        <v>21</v>
      </c>
      <c r="D21" s="47" t="s">
        <v>22</v>
      </c>
      <c r="E21" s="47" t="s">
        <v>23</v>
      </c>
      <c r="F21" s="47" t="s">
        <v>24</v>
      </c>
      <c r="G21" s="47" t="s">
        <v>25</v>
      </c>
      <c r="H21" s="47" t="s">
        <v>26</v>
      </c>
      <c r="I21" s="47" t="s">
        <v>27</v>
      </c>
      <c r="J21" s="47" t="s">
        <v>28</v>
      </c>
      <c r="K21" s="47" t="s">
        <v>29</v>
      </c>
    </row>
    <row r="22" spans="1:11" ht="42" customHeight="1">
      <c r="A22" s="44" t="s">
        <v>157</v>
      </c>
      <c r="B22" s="44" t="s">
        <v>158</v>
      </c>
      <c r="C22" s="44" t="s">
        <v>159</v>
      </c>
      <c r="D22" s="48"/>
      <c r="E22" s="45"/>
      <c r="F22" s="45"/>
      <c r="G22" s="45"/>
      <c r="H22" s="45"/>
      <c r="I22" s="46"/>
      <c r="J22" s="44"/>
      <c r="K22" s="44" t="s">
        <v>160</v>
      </c>
    </row>
    <row r="23" spans="1:11" ht="42" customHeight="1">
      <c r="A23" s="44" t="s">
        <v>161</v>
      </c>
      <c r="B23" s="44" t="s">
        <v>162</v>
      </c>
      <c r="C23" s="44" t="s">
        <v>163</v>
      </c>
      <c r="D23" s="45"/>
      <c r="E23" s="49"/>
      <c r="F23" s="45"/>
      <c r="G23" s="45"/>
      <c r="H23" s="45"/>
      <c r="I23" s="46"/>
      <c r="J23" s="44"/>
      <c r="K23" s="44" t="s">
        <v>160</v>
      </c>
    </row>
    <row r="24" spans="1:11" ht="42" customHeight="1">
      <c r="A24" s="44" t="s">
        <v>164</v>
      </c>
      <c r="B24" s="44" t="s">
        <v>165</v>
      </c>
      <c r="C24" s="44" t="s">
        <v>166</v>
      </c>
      <c r="D24" s="45"/>
      <c r="E24" s="45"/>
      <c r="F24" s="45"/>
      <c r="G24" s="45"/>
      <c r="H24" s="48"/>
      <c r="I24" s="46" t="str">
        <f ca="1">IF(COUNT(D22,E23,H24)&lt;3,"Enter inputs and a formula first",IF(NOT(_xlfn.ISFORMULA(H24)),"Use a formula, not a typed answer",IF(NOT(IFERROR(AND(ISNUMBER(SEARCH("D22",SUBSTITUTE(UPPER(_xlfn.FORMULATEXT(H24)),"$",""))),ISNUMBER(SEARCH("E23",SUBSTITUTE(UPPER(_xlfn.FORMULATEXT(H24)),"$","")))),FALSE)),"Use the required input/result references",IF(ABS(H24-48826.2910798122)&lt;=0.01,"Correct - explain your revenue/tax split","Check the inputs and reverse-tax calculation"))))</f>
        <v>Enter inputs and a formula first</v>
      </c>
      <c r="J24" s="44" t="s">
        <v>167</v>
      </c>
      <c r="K24" s="44" t="s">
        <v>160</v>
      </c>
    </row>
    <row r="25" spans="1:11" ht="42" customHeight="1">
      <c r="A25" s="44" t="s">
        <v>168</v>
      </c>
      <c r="B25" s="44" t="s">
        <v>169</v>
      </c>
      <c r="C25" s="44" t="s">
        <v>170</v>
      </c>
      <c r="D25" s="45"/>
      <c r="E25" s="45"/>
      <c r="F25" s="45"/>
      <c r="G25" s="45"/>
      <c r="H25" s="48"/>
      <c r="I25" s="46" t="str">
        <f ca="1">IF(COUNT(D22,H24,H25)&lt;3,"Enter inputs and a formula first",IF(NOT(_xlfn.ISFORMULA(H25)),"Use a formula, not a typed answer",IF(NOT(IFERROR(AND(ISNUMBER(SEARCH("D22",SUBSTITUTE(UPPER(_xlfn.FORMULATEXT(H25)),"$",""))),ISNUMBER(SEARCH("H24",SUBSTITUTE(UPPER(_xlfn.FORMULATEXT(H25)),"$","")))),FALSE)),"Use the required input/result references",IF(ABS(H25-3173.70892018778)&lt;=0.01,"Correct - explain your revenue/tax split","Check the inputs and reverse-tax calculation"))))</f>
        <v>Enter inputs and a formula first</v>
      </c>
      <c r="J25" s="44" t="s">
        <v>171</v>
      </c>
      <c r="K25" s="44" t="s">
        <v>160</v>
      </c>
    </row>
    <row r="28" spans="1:11" ht="30" customHeight="1">
      <c r="A28" s="59" t="s">
        <v>172</v>
      </c>
      <c r="B28" s="59"/>
      <c r="C28" s="59"/>
      <c r="D28" s="59"/>
      <c r="E28" s="59"/>
      <c r="F28" s="59"/>
      <c r="G28" s="59"/>
      <c r="H28" s="59"/>
      <c r="I28" s="59"/>
      <c r="J28" s="59"/>
      <c r="K28" s="59"/>
    </row>
    <row r="29" spans="1:11" ht="36" customHeight="1">
      <c r="A29" s="60" t="s">
        <v>173</v>
      </c>
      <c r="B29" s="60"/>
      <c r="C29" s="60"/>
      <c r="D29" s="60"/>
      <c r="E29" s="60"/>
      <c r="F29" s="60"/>
      <c r="G29" s="60"/>
      <c r="H29" s="60"/>
      <c r="I29" s="60"/>
      <c r="J29" s="60"/>
      <c r="K29" s="60"/>
    </row>
    <row r="30" spans="1:11" ht="28" customHeight="1">
      <c r="A30" s="47" t="s">
        <v>20</v>
      </c>
      <c r="B30" s="47" t="s">
        <v>6</v>
      </c>
      <c r="C30" s="47" t="s">
        <v>21</v>
      </c>
      <c r="D30" s="47" t="s">
        <v>22</v>
      </c>
      <c r="E30" s="47" t="s">
        <v>23</v>
      </c>
      <c r="F30" s="47" t="s">
        <v>24</v>
      </c>
      <c r="G30" s="47" t="s">
        <v>25</v>
      </c>
      <c r="H30" s="47" t="s">
        <v>26</v>
      </c>
      <c r="I30" s="47" t="s">
        <v>27</v>
      </c>
      <c r="J30" s="47" t="s">
        <v>28</v>
      </c>
      <c r="K30" s="47" t="s">
        <v>29</v>
      </c>
    </row>
    <row r="31" spans="1:11" ht="42" customHeight="1">
      <c r="A31" s="44" t="s">
        <v>174</v>
      </c>
      <c r="B31" s="44" t="s">
        <v>158</v>
      </c>
      <c r="C31" s="44" t="s">
        <v>175</v>
      </c>
      <c r="D31" s="48"/>
      <c r="E31" s="45"/>
      <c r="F31" s="45"/>
      <c r="G31" s="45"/>
      <c r="H31" s="45"/>
      <c r="I31" s="46"/>
      <c r="J31" s="44"/>
      <c r="K31" s="44" t="s">
        <v>160</v>
      </c>
    </row>
    <row r="32" spans="1:11" ht="42" customHeight="1">
      <c r="A32" s="44" t="s">
        <v>176</v>
      </c>
      <c r="B32" s="44" t="s">
        <v>162</v>
      </c>
      <c r="C32" s="44" t="s">
        <v>177</v>
      </c>
      <c r="D32" s="45"/>
      <c r="E32" s="49"/>
      <c r="F32" s="45"/>
      <c r="G32" s="45"/>
      <c r="H32" s="45"/>
      <c r="I32" s="46"/>
      <c r="J32" s="44"/>
      <c r="K32" s="44" t="s">
        <v>160</v>
      </c>
    </row>
    <row r="33" spans="1:11" ht="42" customHeight="1">
      <c r="A33" s="44" t="s">
        <v>178</v>
      </c>
      <c r="B33" s="44" t="s">
        <v>165</v>
      </c>
      <c r="C33" s="44" t="s">
        <v>179</v>
      </c>
      <c r="D33" s="45"/>
      <c r="E33" s="45"/>
      <c r="F33" s="45"/>
      <c r="G33" s="45"/>
      <c r="H33" s="48"/>
      <c r="I33" s="46" t="str">
        <f ca="1">IF(COUNT(D31,E32,H33)&lt;3,"Enter inputs and a formula first",IF(NOT(_xlfn.ISFORMULA(H33)),"Use a formula, not a typed answer",IF(NOT(IFERROR(AND(ISNUMBER(SEARCH("D31",SUBSTITUTE(UPPER(_xlfn.FORMULATEXT(H33)),"$",""))),ISNUMBER(SEARCH("E32",SUBSTITUTE(UPPER(_xlfn.FORMULATEXT(H33)),"$","")))),FALSE)),"Use the required input/result references",IF(ABS(H33-40000)&lt;=0.01,"Correct - explain your revenue/tax split","Check the inputs and reverse-tax calculation"))))</f>
        <v>Enter inputs and a formula first</v>
      </c>
      <c r="J33" s="44" t="s">
        <v>167</v>
      </c>
      <c r="K33" s="44" t="s">
        <v>160</v>
      </c>
    </row>
    <row r="34" spans="1:11" ht="42" customHeight="1">
      <c r="A34" s="44" t="s">
        <v>180</v>
      </c>
      <c r="B34" s="44" t="s">
        <v>169</v>
      </c>
      <c r="C34" s="44" t="s">
        <v>181</v>
      </c>
      <c r="D34" s="45"/>
      <c r="E34" s="45"/>
      <c r="F34" s="45"/>
      <c r="G34" s="45"/>
      <c r="H34" s="48"/>
      <c r="I34" s="46" t="str">
        <f ca="1">IF(COUNT(D31,H33,H34)&lt;3,"Enter inputs and a formula first",IF(NOT(_xlfn.ISFORMULA(H34)),"Use a formula, not a typed answer",IF(NOT(IFERROR(AND(ISNUMBER(SEARCH("D31",SUBSTITUTE(UPPER(_xlfn.FORMULATEXT(H34)),"$",""))),ISNUMBER(SEARCH("H33",SUBSTITUTE(UPPER(_xlfn.FORMULATEXT(H34)),"$","")))),FALSE)),"Use the required input/result references",IF(ABS(H34-3200)&lt;=0.01,"Correct - explain your revenue/tax split","Check the inputs and reverse-tax calculation"))))</f>
        <v>Enter inputs and a formula first</v>
      </c>
      <c r="J34" s="44" t="s">
        <v>171</v>
      </c>
      <c r="K34" s="44" t="s">
        <v>160</v>
      </c>
    </row>
  </sheetData>
  <mergeCells count="6">
    <mergeCell ref="A29:K29"/>
    <mergeCell ref="A1:K1"/>
    <mergeCell ref="A3:K3"/>
    <mergeCell ref="A19:K19"/>
    <mergeCell ref="A20:K20"/>
    <mergeCell ref="A28:K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4"/>
  <sheetViews>
    <sheetView showGridLines="0" workbookViewId="0"/>
  </sheetViews>
  <sheetFormatPr baseColWidth="10" defaultColWidth="8.83203125" defaultRowHeight="15"/>
  <cols>
    <col min="1" max="1" width="10" customWidth="1"/>
    <col min="2" max="2" width="14" customWidth="1"/>
    <col min="3" max="3" width="37" customWidth="1"/>
    <col min="4" max="4" width="17" customWidth="1"/>
    <col min="5" max="5" width="18" customWidth="1"/>
    <col min="6" max="6" width="17" customWidth="1"/>
    <col min="7" max="7" width="18" customWidth="1"/>
    <col min="8" max="8" width="34" customWidth="1"/>
    <col min="9" max="9" width="17" customWidth="1"/>
    <col min="10" max="10" width="16" customWidth="1"/>
    <col min="11" max="11" width="23" customWidth="1"/>
    <col min="12" max="12" width="18" customWidth="1"/>
  </cols>
  <sheetData>
    <row r="1" spans="1:12" ht="36" customHeight="1">
      <c r="A1" s="66" t="s">
        <v>51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</row>
    <row r="2" spans="1:1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42" customHeight="1">
      <c r="A3" s="67" t="s">
        <v>182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</row>
    <row r="4" spans="1:12" ht="32" customHeight="1">
      <c r="A4" s="68" t="s">
        <v>52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</row>
    <row r="5" spans="1:12">
      <c r="A5" s="69" t="s">
        <v>53</v>
      </c>
      <c r="B5" s="70"/>
      <c r="C5" s="70"/>
      <c r="D5" s="70"/>
      <c r="E5" s="70"/>
      <c r="F5" s="70"/>
      <c r="G5" s="70"/>
      <c r="H5" s="70"/>
      <c r="I5" s="71"/>
      <c r="J5" s="72" t="s">
        <v>54</v>
      </c>
      <c r="K5" s="73"/>
      <c r="L5" s="74"/>
    </row>
    <row r="6" spans="1:12" ht="42" customHeight="1">
      <c r="A6" s="15" t="s">
        <v>55</v>
      </c>
      <c r="B6" s="16" t="s">
        <v>56</v>
      </c>
      <c r="C6" s="16" t="s">
        <v>57</v>
      </c>
      <c r="D6" s="16" t="s">
        <v>58</v>
      </c>
      <c r="E6" s="16" t="s">
        <v>59</v>
      </c>
      <c r="F6" s="16" t="s">
        <v>60</v>
      </c>
      <c r="G6" s="16" t="s">
        <v>61</v>
      </c>
      <c r="H6" s="16" t="s">
        <v>62</v>
      </c>
      <c r="I6" s="16" t="s">
        <v>63</v>
      </c>
      <c r="J6" s="16" t="s">
        <v>64</v>
      </c>
      <c r="K6" s="16" t="s">
        <v>65</v>
      </c>
      <c r="L6" s="17" t="s">
        <v>66</v>
      </c>
    </row>
    <row r="7" spans="1:12" ht="42" customHeight="1">
      <c r="A7" s="18" t="s">
        <v>67</v>
      </c>
      <c r="B7" s="24" t="s">
        <v>30</v>
      </c>
      <c r="C7" s="24" t="s">
        <v>68</v>
      </c>
      <c r="D7" s="30">
        <v>1200</v>
      </c>
      <c r="E7" s="30">
        <v>180</v>
      </c>
      <c r="F7" s="39">
        <v>6.25E-2</v>
      </c>
      <c r="G7" s="39"/>
      <c r="H7" s="27" t="s">
        <v>69</v>
      </c>
      <c r="I7" s="30">
        <f>ROUND((D7-E7)*F7,2)</f>
        <v>63.75</v>
      </c>
      <c r="J7" s="19"/>
      <c r="K7" s="33"/>
      <c r="L7" s="34"/>
    </row>
    <row r="8" spans="1:12" ht="42" customHeight="1">
      <c r="A8" s="20" t="s">
        <v>70</v>
      </c>
      <c r="B8" s="25" t="s">
        <v>30</v>
      </c>
      <c r="C8" s="25" t="s">
        <v>71</v>
      </c>
      <c r="D8" s="31">
        <v>480</v>
      </c>
      <c r="E8" s="31">
        <v>80</v>
      </c>
      <c r="F8" s="40">
        <v>0.06</v>
      </c>
      <c r="G8" s="40"/>
      <c r="H8" s="28" t="s">
        <v>72</v>
      </c>
      <c r="I8" s="31">
        <f>ROUND(D8*F8,2)</f>
        <v>28.8</v>
      </c>
      <c r="J8" s="21"/>
      <c r="K8" s="35"/>
      <c r="L8" s="36"/>
    </row>
    <row r="9" spans="1:12" ht="42" customHeight="1">
      <c r="A9" s="20" t="s">
        <v>73</v>
      </c>
      <c r="B9" s="25" t="s">
        <v>30</v>
      </c>
      <c r="C9" s="25" t="s">
        <v>74</v>
      </c>
      <c r="D9" s="31">
        <v>78625</v>
      </c>
      <c r="E9" s="40"/>
      <c r="F9" s="40">
        <v>6.25E-2</v>
      </c>
      <c r="G9" s="40"/>
      <c r="H9" s="28" t="s">
        <v>75</v>
      </c>
      <c r="I9" s="31">
        <f>ROUND(D9-D9/(1+F9),2)</f>
        <v>4625</v>
      </c>
      <c r="J9" s="21"/>
      <c r="K9" s="35"/>
      <c r="L9" s="36"/>
    </row>
    <row r="10" spans="1:12" ht="42" customHeight="1">
      <c r="A10" s="20" t="s">
        <v>76</v>
      </c>
      <c r="B10" s="25" t="s">
        <v>42</v>
      </c>
      <c r="C10" s="25" t="s">
        <v>77</v>
      </c>
      <c r="D10" s="31">
        <v>6200</v>
      </c>
      <c r="E10" s="40"/>
      <c r="F10" s="40">
        <v>7.0000000000000007E-2</v>
      </c>
      <c r="G10" s="40">
        <v>0.08</v>
      </c>
      <c r="H10" s="28" t="s">
        <v>78</v>
      </c>
      <c r="I10" s="31">
        <f>ROUND(D10*(F10+G10),2)</f>
        <v>930</v>
      </c>
      <c r="J10" s="21"/>
      <c r="K10" s="35"/>
      <c r="L10" s="36"/>
    </row>
    <row r="11" spans="1:12" ht="42" customHeight="1">
      <c r="A11" s="20" t="s">
        <v>79</v>
      </c>
      <c r="B11" s="25" t="s">
        <v>42</v>
      </c>
      <c r="C11" s="25" t="s">
        <v>80</v>
      </c>
      <c r="D11" s="31">
        <v>8400</v>
      </c>
      <c r="E11" s="40"/>
      <c r="F11" s="40">
        <v>7.0000000000000007E-2</v>
      </c>
      <c r="G11" s="40">
        <v>0.09</v>
      </c>
      <c r="H11" s="28" t="s">
        <v>81</v>
      </c>
      <c r="I11" s="31">
        <f>ROUND(D11*F11+(D11+D11*F11)*G11,2)</f>
        <v>1396.92</v>
      </c>
      <c r="J11" s="21"/>
      <c r="K11" s="35"/>
      <c r="L11" s="36"/>
    </row>
    <row r="12" spans="1:12" ht="42" customHeight="1">
      <c r="A12" s="22" t="s">
        <v>82</v>
      </c>
      <c r="B12" s="26" t="s">
        <v>45</v>
      </c>
      <c r="C12" s="26" t="s">
        <v>83</v>
      </c>
      <c r="D12" s="32">
        <v>820000</v>
      </c>
      <c r="E12" s="41">
        <v>0.4</v>
      </c>
      <c r="F12" s="32">
        <v>310000</v>
      </c>
      <c r="G12" s="32">
        <v>4750000</v>
      </c>
      <c r="H12" s="29" t="s">
        <v>84</v>
      </c>
      <c r="I12" s="32">
        <f>ROUND(D12*ROUND(F12/G12,4),2)</f>
        <v>53546</v>
      </c>
      <c r="J12" s="23"/>
      <c r="K12" s="37"/>
      <c r="L12" s="38"/>
    </row>
    <row r="13" spans="1:1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 spans="1:12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spans="1:12">
      <c r="A15" s="75" t="s">
        <v>85</v>
      </c>
      <c r="B15" s="76"/>
      <c r="C15" s="76"/>
      <c r="D15" s="76"/>
      <c r="E15" s="76"/>
      <c r="F15" s="76"/>
      <c r="G15" s="76"/>
      <c r="H15" s="76"/>
      <c r="I15" s="76"/>
      <c r="J15" s="76"/>
      <c r="K15" s="76"/>
      <c r="L15" s="77"/>
    </row>
    <row r="16" spans="1:12">
      <c r="A16" s="82" t="s">
        <v>86</v>
      </c>
      <c r="B16" s="83"/>
      <c r="C16" s="83"/>
      <c r="D16" s="30">
        <f>SUM(I7:I12)</f>
        <v>60590.47</v>
      </c>
      <c r="E16" s="83" t="s">
        <v>87</v>
      </c>
      <c r="F16" s="83"/>
      <c r="G16" s="83"/>
      <c r="H16" s="30">
        <v>28405.15</v>
      </c>
      <c r="I16" s="84" t="s">
        <v>88</v>
      </c>
      <c r="J16" s="84"/>
      <c r="K16" s="34"/>
      <c r="L16" s="11"/>
    </row>
    <row r="17" spans="1:12">
      <c r="A17" s="12"/>
      <c r="B17" s="42"/>
      <c r="C17" s="42"/>
      <c r="D17" s="42"/>
      <c r="E17" s="42"/>
      <c r="F17" s="42"/>
      <c r="G17" s="42"/>
      <c r="H17" s="42"/>
      <c r="I17" s="85" t="s">
        <v>89</v>
      </c>
      <c r="J17" s="85"/>
      <c r="K17" s="36"/>
      <c r="L17" s="11"/>
    </row>
    <row r="18" spans="1:12">
      <c r="A18" s="12"/>
      <c r="B18" s="42"/>
      <c r="C18" s="42"/>
      <c r="D18" s="42"/>
      <c r="E18" s="42"/>
      <c r="F18" s="42"/>
      <c r="G18" s="42"/>
      <c r="H18" s="42"/>
      <c r="I18" s="85" t="s">
        <v>90</v>
      </c>
      <c r="J18" s="85"/>
      <c r="K18" s="36"/>
      <c r="L18" s="11"/>
    </row>
    <row r="19" spans="1:12">
      <c r="A19" s="13"/>
      <c r="B19" s="14"/>
      <c r="C19" s="14"/>
      <c r="D19" s="14"/>
      <c r="E19" s="14"/>
      <c r="F19" s="14"/>
      <c r="G19" s="14"/>
      <c r="H19" s="14"/>
      <c r="I19" s="61" t="s">
        <v>91</v>
      </c>
      <c r="J19" s="61"/>
      <c r="K19" s="43"/>
      <c r="L19" s="11"/>
    </row>
    <row r="20" spans="1:1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spans="1:12" ht="32" customHeight="1">
      <c r="A21" s="62" t="s">
        <v>92</v>
      </c>
      <c r="B21" s="63"/>
      <c r="C21" s="63"/>
      <c r="D21" s="78"/>
      <c r="E21" s="78"/>
      <c r="F21" s="78"/>
      <c r="G21" s="78"/>
      <c r="H21" s="78"/>
      <c r="I21" s="78"/>
      <c r="J21" s="78"/>
      <c r="K21" s="78"/>
      <c r="L21" s="79"/>
    </row>
    <row r="22" spans="1:12" ht="32" customHeight="1">
      <c r="A22" s="64"/>
      <c r="B22" s="65"/>
      <c r="C22" s="65"/>
      <c r="D22" s="80"/>
      <c r="E22" s="80"/>
      <c r="F22" s="80"/>
      <c r="G22" s="80"/>
      <c r="H22" s="80"/>
      <c r="I22" s="80"/>
      <c r="J22" s="80"/>
      <c r="K22" s="80"/>
      <c r="L22" s="81"/>
    </row>
    <row r="23" spans="1:1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 spans="1:1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</sheetData>
  <mergeCells count="14">
    <mergeCell ref="I19:J19"/>
    <mergeCell ref="A21:C22"/>
    <mergeCell ref="A1:L1"/>
    <mergeCell ref="A3:L3"/>
    <mergeCell ref="A4:L4"/>
    <mergeCell ref="A5:I5"/>
    <mergeCell ref="J5:L5"/>
    <mergeCell ref="A15:L15"/>
    <mergeCell ref="D21:L22"/>
    <mergeCell ref="A16:C16"/>
    <mergeCell ref="E16:G16"/>
    <mergeCell ref="I16:J16"/>
    <mergeCell ref="I17:J17"/>
    <mergeCell ref="I18:J18"/>
  </mergeCells>
  <dataValidations count="1">
    <dataValidation type="list" sqref="J7:J12" xr:uid="{00000000-0002-0000-0200-000000000000}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showGridLines="0" workbookViewId="0"/>
  </sheetViews>
  <sheetFormatPr baseColWidth="10" defaultColWidth="8.83203125" defaultRowHeight="15"/>
  <cols>
    <col min="1" max="1" width="28" customWidth="1"/>
    <col min="2" max="2" width="36" customWidth="1"/>
    <col min="3" max="3" width="44" customWidth="1"/>
    <col min="4" max="4" width="38" customWidth="1"/>
  </cols>
  <sheetData>
    <row r="1" spans="1:4" ht="34" customHeight="1">
      <c r="A1" s="55" t="s">
        <v>93</v>
      </c>
      <c r="B1" s="56"/>
      <c r="C1" s="56"/>
      <c r="D1" s="56"/>
    </row>
    <row r="2" spans="1:4">
      <c r="A2" s="1"/>
      <c r="B2" s="1"/>
      <c r="C2" s="1"/>
      <c r="D2" s="1"/>
    </row>
    <row r="3" spans="1:4" ht="16">
      <c r="A3" s="4" t="s">
        <v>94</v>
      </c>
      <c r="B3" s="4" t="s">
        <v>95</v>
      </c>
      <c r="C3" s="4" t="s">
        <v>96</v>
      </c>
      <c r="D3" s="4" t="s">
        <v>97</v>
      </c>
    </row>
    <row r="4" spans="1:4" ht="32">
      <c r="A4" s="3" t="s">
        <v>98</v>
      </c>
      <c r="B4" s="10" t="s">
        <v>99</v>
      </c>
      <c r="C4" s="3" t="s">
        <v>100</v>
      </c>
      <c r="D4" s="3" t="s">
        <v>101</v>
      </c>
    </row>
    <row r="5" spans="1:4" ht="32">
      <c r="A5" s="3" t="s">
        <v>102</v>
      </c>
      <c r="B5" s="10" t="s">
        <v>103</v>
      </c>
      <c r="C5" s="3" t="s">
        <v>104</v>
      </c>
      <c r="D5" s="3" t="s">
        <v>105</v>
      </c>
    </row>
    <row r="6" spans="1:4" ht="16">
      <c r="A6" s="3" t="s">
        <v>106</v>
      </c>
      <c r="B6" s="10" t="s">
        <v>107</v>
      </c>
      <c r="C6" s="3" t="s">
        <v>108</v>
      </c>
      <c r="D6" s="3" t="s">
        <v>109</v>
      </c>
    </row>
    <row r="7" spans="1:4" ht="16">
      <c r="A7" s="3" t="s">
        <v>110</v>
      </c>
      <c r="B7" s="10" t="s">
        <v>111</v>
      </c>
      <c r="C7" s="3" t="s">
        <v>112</v>
      </c>
      <c r="D7" s="3" t="s">
        <v>113</v>
      </c>
    </row>
    <row r="8" spans="1:4" ht="16">
      <c r="A8" s="3" t="s">
        <v>114</v>
      </c>
      <c r="B8" s="10" t="s">
        <v>115</v>
      </c>
      <c r="C8" s="3" t="s">
        <v>116</v>
      </c>
      <c r="D8" s="3" t="s">
        <v>117</v>
      </c>
    </row>
    <row r="9" spans="1:4" ht="32">
      <c r="A9" s="3" t="s">
        <v>118</v>
      </c>
      <c r="B9" s="10" t="s">
        <v>119</v>
      </c>
      <c r="C9" s="3" t="s">
        <v>120</v>
      </c>
      <c r="D9" s="3" t="s">
        <v>121</v>
      </c>
    </row>
    <row r="10" spans="1:4" ht="32">
      <c r="A10" s="3" t="s">
        <v>122</v>
      </c>
      <c r="B10" s="10" t="s">
        <v>123</v>
      </c>
      <c r="C10" s="3" t="s">
        <v>124</v>
      </c>
      <c r="D10" s="3" t="s">
        <v>125</v>
      </c>
    </row>
    <row r="11" spans="1:4" ht="32">
      <c r="A11" s="3" t="s">
        <v>126</v>
      </c>
      <c r="B11" s="10" t="s">
        <v>127</v>
      </c>
      <c r="C11" s="3" t="s">
        <v>128</v>
      </c>
      <c r="D11" s="3" t="s">
        <v>129</v>
      </c>
    </row>
    <row r="12" spans="1:4" ht="32">
      <c r="A12" s="3" t="s">
        <v>130</v>
      </c>
      <c r="B12" s="10" t="s">
        <v>131</v>
      </c>
      <c r="C12" s="3" t="s">
        <v>132</v>
      </c>
      <c r="D12" s="3" t="s">
        <v>133</v>
      </c>
    </row>
    <row r="13" spans="1:4" ht="16">
      <c r="A13" s="3" t="s">
        <v>134</v>
      </c>
      <c r="B13" s="10" t="s">
        <v>135</v>
      </c>
      <c r="C13" s="3" t="s">
        <v>136</v>
      </c>
      <c r="D13" s="3" t="s">
        <v>137</v>
      </c>
    </row>
    <row r="14" spans="1:4" ht="32">
      <c r="A14" s="3" t="s">
        <v>138</v>
      </c>
      <c r="B14" s="10" t="s">
        <v>139</v>
      </c>
      <c r="C14" s="3" t="s">
        <v>140</v>
      </c>
      <c r="D14" s="3" t="s">
        <v>141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Live You Try It</vt:lpstr>
      <vt:lpstr>Class 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2026-10-07T22:48:07Z</dcterms:modified>
</cp:coreProperties>
</file>