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art A · Loan PMT" sheetId="2" state="visible" r:id="rId4"/>
    <sheet name="Part B · Savings FV" sheetId="3" state="visible" r:id="rId5"/>
    <sheet name="Part C · Annuity PV" sheetId="4" state="visible" r:id="rId6"/>
    <sheet name="FormulaReferenceC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<sst xmlns="http://schemas.openxmlformats.org/spreadsheetml/2006/main" count="135" uniqueCount="116">
  <si>
    <t xml:space="preserve">BUS123 · MATH-M09 · L02</t>
  </si>
  <si>
    <t xml:space="preserve">PMT Function &amp; Annuities</t>
  </si>
  <si>
    <t xml:space="preserve">Learning Objectives</t>
  </si>
  <si>
    <t xml:space="preserve">  1. Use =PMT(rate, nper, pv, 0) to calculate required periodic loan payments</t>
  </si>
  <si>
    <t xml:space="preserve">  2. Calculate total interest paid: ABS(PMT)×nper − PV</t>
  </si>
  <si>
    <t xml:space="preserve">  3. Use =FV(rate, nper, pmt, pv) with regular contributions to project savings</t>
  </si>
  <si>
    <t xml:space="preserve">  4. Use =PV(rate, nper, pmt, 0) to value a stream of equal future payments</t>
  </si>
  <si>
    <t xml:space="preserve">  5. Apply correct sign to pmt: negative for payments out, positive for payments received</t>
  </si>
  <si>
    <t xml:space="preserve">Tabs in This Workbook</t>
  </si>
  <si>
    <t xml:space="preserve">Part A · Loan PMT</t>
  </si>
  <si>
    <t xml:space="preserve">Mortgage analysis — monthly payment, total paid, total interest.</t>
  </si>
  <si>
    <t xml:space="preserve">Part B · Savings FV</t>
  </si>
  <si>
    <t xml:space="preserve">Retirement savings — monthly contributions to a future goal.</t>
  </si>
  <si>
    <t xml:space="preserve">Part C · Annuity PV</t>
  </si>
  <si>
    <t xml:space="preserve">Value a monthly payment stream in today's dollars.</t>
  </si>
  <si>
    <t xml:space="preserve">FormulaReferenceCard</t>
  </si>
  <si>
    <t xml:space="preserve">All PMT, FV, and PV formulas for this lesson.</t>
  </si>
  <si>
    <t xml:space="preserve">Meridian Advisory Group · Loan Payment Analysis</t>
  </si>
  <si>
    <t xml:space="preserve">Section 1 — Monthly Payment   =PMT(rate/12, years×12, pv, 0)</t>
  </si>
  <si>
    <t xml:space="preserve">Loan</t>
  </si>
  <si>
    <t xml:space="preserve">Principal (PV)</t>
  </si>
  <si>
    <t xml:space="preserve">Annual Rate</t>
  </si>
  <si>
    <t xml:space="preserve">Years</t>
  </si>
  <si>
    <t xml:space="preserve">Monthly PMT</t>
  </si>
  <si>
    <t xml:space="preserve">Notes</t>
  </si>
  <si>
    <t xml:space="preserve">Mortgage A</t>
  </si>
  <si>
    <t xml:space="preserve">Auto Loan B</t>
  </si>
  <si>
    <t xml:space="preserve">Business Loan C</t>
  </si>
  <si>
    <t xml:space="preserve">Section 2 — Total Cost Analysis</t>
  </si>
  <si>
    <t xml:space="preserve">Total Payments</t>
  </si>
  <si>
    <t xml:space="preserve">Total Paid</t>
  </si>
  <si>
    <t xml:space="preserve">Total Interest</t>
  </si>
  <si>
    <t xml:space="preserve">% of Original</t>
  </si>
  <si>
    <t xml:space="preserve">Loan A</t>
  </si>
  <si>
    <t xml:space="preserve">Loan B</t>
  </si>
  <si>
    <t xml:space="preserve">Loan C</t>
  </si>
  <si>
    <t xml:space="preserve">  ⚠  PMT returns a negative number — this is correct. The analysis rows use ABS(PMT). Read monthly payment as absolute value when advising clients.</t>
  </si>
  <si>
    <t xml:space="preserve">Meridian Advisory Group · Retirement Savings Model</t>
  </si>
  <si>
    <t xml:space="preserve">Section 1 — Monthly Savings Goal   =FV(rate/12, years×12, −pmt, −pv)</t>
  </si>
  <si>
    <t xml:space="preserve">Client</t>
  </si>
  <si>
    <t xml:space="preserve">Monthly Contribution (pmt)</t>
  </si>
  <si>
    <t xml:space="preserve">Account Value at Goal</t>
  </si>
  <si>
    <t xml:space="preserve">Section 2 — What Monthly Amount Is Needed?   =PMT(rate/12, years×12, 0, fv)</t>
  </si>
  <si>
    <t xml:space="preserve">Goal</t>
  </si>
  <si>
    <t xml:space="preserve">Savings Target (FV)</t>
  </si>
  <si>
    <t xml:space="preserve">Required Monthly PMT</t>
  </si>
  <si>
    <t xml:space="preserve">Goal 1</t>
  </si>
  <si>
    <t xml:space="preserve">Goal 2</t>
  </si>
  <si>
    <t xml:space="preserve">  Hint for Section 2: to solve for required PMT, use =PMT() with pv=0 and fv=target amount. The result will be negative — your required monthly deposit.</t>
  </si>
  <si>
    <t xml:space="preserve">Meridian Advisory Group · Annuity Valuation</t>
  </si>
  <si>
    <t xml:space="preserve">Present Value of a Payment Stream   =PV(rate/12, years×12, pmt, 0)</t>
  </si>
  <si>
    <t xml:space="preserve">Stream</t>
  </si>
  <si>
    <t xml:space="preserve">Monthly Payment (pmt)</t>
  </si>
  <si>
    <t xml:space="preserve">Discount Rate</t>
  </si>
  <si>
    <t xml:space="preserve">Present Value Today</t>
  </si>
  <si>
    <t xml:space="preserve">Decision Analysis — Buy or Wait?</t>
  </si>
  <si>
    <t xml:space="preserve">PV of Stream</t>
  </si>
  <si>
    <t xml:space="preserve">Offer Price</t>
  </si>
  <si>
    <t xml:space="preserve">Decision</t>
  </si>
  <si>
    <t xml:space="preserve">Reasoning</t>
  </si>
  <si>
    <t xml:space="preserve">Stream A</t>
  </si>
  <si>
    <t xml:space="preserve">Enter an offer price in column D</t>
  </si>
  <si>
    <t xml:space="preserve">Stream B</t>
  </si>
  <si>
    <t xml:space="preserve">Stream C</t>
  </si>
  <si>
    <t xml:space="preserve">  Note: =PV() returns a negative (outflow = cost to acquire the stream). Column C uses ABS() to convert to positive for comparison with the offer price.</t>
  </si>
  <si>
    <t xml:space="preserve">Formula Reference Card · MATH-M09-L02</t>
  </si>
  <si>
    <t xml:space="preserve">PMT Function &amp; Annuities  ·  Meridian Advisory Group</t>
  </si>
  <si>
    <t xml:space="preserve"> =PMT() — REQUIRED PAYMENT</t>
  </si>
  <si>
    <t xml:space="preserve">Formula Name</t>
  </si>
  <si>
    <t xml:space="preserve">What to Calculate</t>
  </si>
  <si>
    <t xml:space="preserve">Excel Formula</t>
  </si>
  <si>
    <t xml:space="preserve">Monthly loan payment</t>
  </si>
  <si>
    <t xml:space="preserve"> =PMT(rate/12, years×12, pv, 0))</t>
  </si>
  <si>
    <t xml:space="preserve"> =PMT(B3/12,B4*12,B2,0)</t>
  </si>
  <si>
    <t xml:space="preserve">pv positive=loan received; result negative</t>
  </si>
  <si>
    <t xml:space="preserve">Total paid</t>
  </si>
  <si>
    <t xml:space="preserve">ABS(PMT) × nper</t>
  </si>
  <si>
    <t xml:space="preserve"> =ABS(B7)*B6</t>
  </si>
  <si>
    <t xml:space="preserve">Multiply absolute monthly pmt by periods</t>
  </si>
  <si>
    <t xml:space="preserve">Total interest</t>
  </si>
  <si>
    <t xml:space="preserve">Total Paid − Original PV</t>
  </si>
  <si>
    <t xml:space="preserve"> =B8-B2</t>
  </si>
  <si>
    <t xml:space="preserve">Cost of borrowing over loan life</t>
  </si>
  <si>
    <t xml:space="preserve">Solve for pmt (savings)</t>
  </si>
  <si>
    <t xml:space="preserve"> =PMT(rate/12, years×12, 0, fv))</t>
  </si>
  <si>
    <t xml:space="preserve"> =PMT(B3/12,B4*12,0,B5)</t>
  </si>
  <si>
    <t xml:space="preserve">fv=goal; pv=0; result=required deposit</t>
  </si>
  <si>
    <t xml:space="preserve"> =FV() with payments</t>
  </si>
  <si>
    <t xml:space="preserve">Monthly savings FV</t>
  </si>
  <si>
    <t xml:space="preserve"> =FV(rate/12, years×12, −pmt, −pv))</t>
  </si>
  <si>
    <t xml:space="preserve"> =FV(B3/12,B4*12,-B5,-B2)</t>
  </si>
  <si>
    <t xml:space="preserve">Both pmt and pv negative=outflows</t>
  </si>
  <si>
    <t xml:space="preserve">No starting balance</t>
  </si>
  <si>
    <t xml:space="preserve"> =FV(rate/12, years×12, −pmt, 0))</t>
  </si>
  <si>
    <t xml:space="preserve"> =FV(B3/12,B4*12,-B5,0)</t>
  </si>
  <si>
    <t xml:space="preserve">pv=0 if starting from zero</t>
  </si>
  <si>
    <t xml:space="preserve">Growth from contributions</t>
  </si>
  <si>
    <t xml:space="preserve">FV − (PMT × nper)</t>
  </si>
  <si>
    <t xml:space="preserve"> =F10-(B5*B4*12)</t>
  </si>
  <si>
    <t xml:space="preserve">Total from compounding only</t>
  </si>
  <si>
    <t xml:space="preserve"> =PV() with payments</t>
  </si>
  <si>
    <t xml:space="preserve">Annuity present value</t>
  </si>
  <si>
    <t xml:space="preserve"> =PV(rate/12, years×12, pmt, 0))</t>
  </si>
  <si>
    <t xml:space="preserve"> =PV(B3/12,B4*12,B5,0)</t>
  </si>
  <si>
    <t xml:space="preserve">pmt positive=payments received</t>
  </si>
  <si>
    <t xml:space="preserve">Absolute PV for comparison</t>
  </si>
  <si>
    <t xml:space="preserve">ABS(=PV(...))</t>
  </si>
  <si>
    <t xml:space="preserve"> =ABS(PV(B3/12,B4*12,B5,0))</t>
  </si>
  <si>
    <t xml:space="preserve">Convert to positive for decision table</t>
  </si>
  <si>
    <t xml:space="preserve">Nominal total</t>
  </si>
  <si>
    <t xml:space="preserve">Monthly pmt × total periods</t>
  </si>
  <si>
    <t xml:space="preserve"> =B5*B4*12</t>
  </si>
  <si>
    <t xml:space="preserve">Face value before discounting</t>
  </si>
  <si>
    <t xml:space="preserve">Discount gap</t>
  </si>
  <si>
    <t xml:space="preserve">Nominal − PV</t>
  </si>
  <si>
    <t xml:space="preserve">Shows cost of time value on the stream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</si>
</sst>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[$$-409]#,##0.00;[RED]\-[$$-409]#,##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sz val="13"/>
      <color rgb="FFC9A84C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sz val="11"/>
      <color rgb="FF0E1116"/>
      <name val="Calibri"/>
      <family val="0"/>
      <charset val="1"/>
    </font>
    <font>
      <b val="true"/>
      <sz val="11"/>
      <color rgb="FF4A7C5E"/>
      <name val="Calibri"/>
      <family val="0"/>
      <charset val="1"/>
    </font>
    <font>
      <sz val="11"/>
      <color rgb="FF4A5567"/>
      <name val="Calibri"/>
      <family val="0"/>
      <charset val="1"/>
    </font>
    <font>
      <b val="true"/>
      <sz val="15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color rgb="FF0E1116"/>
      <name val="Calibri"/>
      <family val="0"/>
      <charset val="1"/>
    </font>
    <font>
      <sz val="11"/>
      <color rgb="FF0A3D6B"/>
      <name val="Calibri"/>
      <family val="0"/>
      <charset val="1"/>
    </font>
    <font>
      <b val="true"/>
      <sz val="11"/>
      <color rgb="FF1A6B3C"/>
      <name val="Calibri"/>
      <family val="0"/>
      <charset val="1"/>
    </font>
    <font>
      <i val="true"/>
      <sz val="10"/>
      <color rgb="FF7A8290"/>
      <name val="Calibri"/>
      <family val="0"/>
      <charset val="1"/>
    </font>
    <font>
      <i val="true"/>
      <sz val="11"/>
      <color rgb="FF1A6B3C"/>
      <name val="Calibri"/>
      <family val="0"/>
      <charset val="1"/>
    </font>
    <font>
      <i val="true"/>
      <sz val="10"/>
      <color rgb="FF9C4A2B"/>
      <name val="Calibri"/>
      <family val="0"/>
      <charset val="1"/>
    </font>
    <font>
      <i val="true"/>
      <sz val="10"/>
      <color rgb="FF4A7C5E"/>
      <name val="Calibri"/>
      <family val="0"/>
      <charset val="1"/>
    </font>
    <font>
      <sz val="11"/>
      <color rgb="FFC9A84C"/>
      <name val="Calibri"/>
      <family val="0"/>
      <charset val="1"/>
    </font>
    <font>
      <sz val="11"/>
      <color rgb="FF1A6B3C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E1116"/>
        <bgColor rgb="FF1A1A2E"/>
      </patternFill>
    </fill>
    <fill>
      <patternFill patternType="solid">
        <fgColor rgb="FFB8843D"/>
        <bgColor rgb="FFC9A84C"/>
      </patternFill>
    </fill>
    <fill>
      <patternFill patternType="solid">
        <fgColor rgb="FF9C4A2B"/>
        <bgColor rgb="FF993366"/>
      </patternFill>
    </fill>
    <fill>
      <patternFill patternType="solid">
        <fgColor rgb="FF4A7C5E"/>
        <bgColor rgb="FF4A5567"/>
      </patternFill>
    </fill>
    <fill>
      <patternFill patternType="solid">
        <fgColor rgb="FF1A1A2E"/>
        <bgColor rgb="FF0E1116"/>
      </patternFill>
    </fill>
    <fill>
      <patternFill patternType="solid">
        <fgColor rgb="FFFFD966"/>
        <bgColor rgb="FFFFFF99"/>
      </patternFill>
    </fill>
    <fill>
      <patternFill patternType="solid">
        <fgColor rgb="FFFFFBF0"/>
        <bgColor rgb="FFFFF5F0"/>
      </patternFill>
    </fill>
    <fill>
      <patternFill patternType="solid">
        <fgColor rgb="FFFFF5F0"/>
        <bgColor rgb="FFFFFBF0"/>
      </patternFill>
    </fill>
    <fill>
      <patternFill patternType="solid">
        <fgColor rgb="FFF0FAF4"/>
        <bgColor rgb="FFFFFBF0"/>
      </patternFill>
    </fill>
    <fill>
      <patternFill patternType="solid">
        <fgColor rgb="FFF2EEE5"/>
        <bgColor rgb="FFFFF5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 diagonalUp="false" diagonalDown="false"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6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FFBF0"/>
      <rgbColor rgb="FFF0FAF4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5F0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C9A84C"/>
      <rgbColor rgb="FFFF6600"/>
      <rgbColor rgb="FF4A5567"/>
      <rgbColor rgb="FF888888"/>
      <rgbColor rgb="FF0A3D6B"/>
      <rgbColor rgb="FF4A7C5E"/>
      <rgbColor rgb="FF0E1116"/>
      <rgbColor rgb="FF333300"/>
      <rgbColor rgb="FF9C4A2B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1116"/>
    <pageSetUpPr fitToPage="false"/>
  </sheetPr>
  <dimension ref="B1:C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3" min="3" style="1" width="52"/>
    <col collapsed="false" customWidth="true" hidden="false" outlineLevel="0" max="4" min="4" style="1" width="2"/>
  </cols>
  <sheetData>
    <row r="1" customFormat="false" ht="6" hidden="false" customHeight="true" outlineLevel="0" collapsed="false"/>
    <row r="2" customFormat="false" ht="36" hidden="false" customHeight="true" outlineLevel="0" collapsed="false">
      <c r="B2" s="2" t="s">
        <v>0</v>
      </c>
      <c r="C2" s="2"/>
    </row>
    <row r="3" customFormat="false" ht="24" hidden="false" customHeight="true" outlineLevel="0" collapsed="false">
      <c r="B3" s="3" t="s">
        <v>1</v>
      </c>
      <c r="C3" s="3"/>
    </row>
    <row r="4" customFormat="false" ht="7.5" hidden="false" customHeight="true" outlineLevel="0" collapsed="false"/>
    <row r="5" customFormat="false" ht="21.75" hidden="false" customHeight="true" outlineLevel="0" collapsed="false">
      <c r="B5" s="4" t="s">
        <v>2</v>
      </c>
      <c r="C5" s="4"/>
    </row>
    <row r="6" customFormat="false" ht="19.5" hidden="false" customHeight="true" outlineLevel="0" collapsed="false">
      <c r="B6" s="5" t="s">
        <v>3</v>
      </c>
      <c r="C6" s="5"/>
    </row>
    <row r="7" customFormat="false" ht="19.5" hidden="false" customHeight="true" outlineLevel="0" collapsed="false">
      <c r="B7" s="5" t="s">
        <v>4</v>
      </c>
      <c r="C7" s="5"/>
    </row>
    <row r="8" customFormat="false" ht="19.5" hidden="false" customHeight="true" outlineLevel="0" collapsed="false">
      <c r="B8" s="5" t="s">
        <v>5</v>
      </c>
      <c r="C8" s="5"/>
    </row>
    <row r="9" customFormat="false" ht="19.5" hidden="false" customHeight="true" outlineLevel="0" collapsed="false">
      <c r="B9" s="5" t="s">
        <v>6</v>
      </c>
      <c r="C9" s="5"/>
    </row>
    <row r="10" customFormat="false" ht="19.5" hidden="false" customHeight="true" outlineLevel="0" collapsed="false">
      <c r="B10" s="5" t="s">
        <v>7</v>
      </c>
      <c r="C10" s="5"/>
    </row>
    <row r="11" customFormat="false" ht="7.5" hidden="false" customHeight="true" outlineLevel="0" collapsed="false"/>
    <row r="12" customFormat="false" ht="21.75" hidden="false" customHeight="true" outlineLevel="0" collapsed="false">
      <c r="B12" s="6" t="s">
        <v>8</v>
      </c>
      <c r="C12" s="6"/>
    </row>
    <row r="13" customFormat="false" ht="21.75" hidden="false" customHeight="true" outlineLevel="0" collapsed="false">
      <c r="B13" s="7" t="s">
        <v>9</v>
      </c>
      <c r="C13" s="8" t="s">
        <v>10</v>
      </c>
    </row>
    <row r="14" customFormat="false" ht="21.75" hidden="false" customHeight="true" outlineLevel="0" collapsed="false">
      <c r="B14" s="7" t="s">
        <v>11</v>
      </c>
      <c r="C14" s="8" t="s">
        <v>12</v>
      </c>
    </row>
    <row r="15" customFormat="false" ht="21.75" hidden="false" customHeight="true" outlineLevel="0" collapsed="false">
      <c r="B15" s="7" t="s">
        <v>13</v>
      </c>
      <c r="C15" s="8" t="s">
        <v>14</v>
      </c>
    </row>
    <row r="16" customFormat="false" ht="21.75" hidden="false" customHeight="true" outlineLevel="0" collapsed="false">
      <c r="B16" s="7" t="s">
        <v>15</v>
      </c>
      <c r="C16" s="8" t="s">
        <v>16</v>
      </c>
    </row>
  </sheetData>
  <mergeCells count="9">
    <mergeCell ref="B2:C2"/>
    <mergeCell ref="B3:C3"/>
    <mergeCell ref="B5:C5"/>
    <mergeCell ref="B6:C6"/>
    <mergeCell ref="B7:C7"/>
    <mergeCell ref="B8:C8"/>
    <mergeCell ref="B9:C9"/>
    <mergeCell ref="B10:C10"/>
    <mergeCell ref="B12:C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7C5E"/>
    <pageSetUpPr fitToPage="false"/>
  </sheetPr>
  <dimension ref="B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24"/>
  </cols>
  <sheetData>
    <row r="1" customFormat="false" ht="6" hidden="false" customHeight="true" outlineLevel="0" collapsed="false"/>
    <row r="2" customFormat="false" ht="30" hidden="false" customHeight="true" outlineLevel="0" collapsed="false">
      <c r="B2" s="9" t="s">
        <v>17</v>
      </c>
      <c r="C2" s="9"/>
      <c r="D2" s="9"/>
      <c r="E2" s="9"/>
      <c r="F2" s="9"/>
      <c r="G2" s="9"/>
    </row>
    <row r="3" customFormat="false" ht="9.75" hidden="false" customHeight="true" outlineLevel="0" collapsed="false"/>
    <row r="4" customFormat="false" ht="21.75" hidden="false" customHeight="true" outlineLevel="0" collapsed="false">
      <c r="B4" s="10" t="s">
        <v>18</v>
      </c>
      <c r="C4" s="10"/>
      <c r="D4" s="10"/>
      <c r="E4" s="10"/>
      <c r="F4" s="10"/>
      <c r="G4" s="10"/>
    </row>
    <row r="5" customFormat="false" ht="19.5" hidden="false" customHeight="true" outlineLevel="0" collapsed="false">
      <c r="B5" s="11" t="s">
        <v>19</v>
      </c>
      <c r="C5" s="11" t="s">
        <v>20</v>
      </c>
      <c r="D5" s="11" t="s">
        <v>21</v>
      </c>
      <c r="E5" s="11" t="s">
        <v>22</v>
      </c>
      <c r="F5" s="11" t="s">
        <v>23</v>
      </c>
      <c r="G5" s="11" t="s">
        <v>24</v>
      </c>
    </row>
    <row r="6" customFormat="false" ht="21.75" hidden="false" customHeight="true" outlineLevel="0" collapsed="false">
      <c r="B6" s="12" t="n">
        <v>6</v>
      </c>
      <c r="C6" s="13"/>
      <c r="D6" s="13"/>
      <c r="E6" s="13"/>
      <c r="F6" s="14" t="str">
        <f aca="false">IFERROR(PMT(D6/12,E6*12,C6,0),"")</f>
        <v/>
      </c>
      <c r="G6" s="15" t="s">
        <v>25</v>
      </c>
    </row>
    <row r="7" customFormat="false" ht="21.75" hidden="false" customHeight="true" outlineLevel="0" collapsed="false">
      <c r="B7" s="12" t="n">
        <v>7</v>
      </c>
      <c r="C7" s="13"/>
      <c r="D7" s="13"/>
      <c r="E7" s="13"/>
      <c r="F7" s="14" t="str">
        <f aca="false">IFERROR(PMT(D7/12,E7*12,C7,0),"")</f>
        <v/>
      </c>
      <c r="G7" s="15" t="s">
        <v>26</v>
      </c>
    </row>
    <row r="8" customFormat="false" ht="21.75" hidden="false" customHeight="true" outlineLevel="0" collapsed="false">
      <c r="B8" s="12" t="n">
        <v>8</v>
      </c>
      <c r="C8" s="13"/>
      <c r="D8" s="13"/>
      <c r="E8" s="13"/>
      <c r="F8" s="14" t="str">
        <f aca="false">IFERROR(PMT(D8/12,E8*12,C8,0),"")</f>
        <v/>
      </c>
      <c r="G8" s="15" t="s">
        <v>27</v>
      </c>
    </row>
    <row r="9" customFormat="false" ht="9.75" hidden="false" customHeight="true" outlineLevel="0" collapsed="false"/>
    <row r="10" customFormat="false" ht="21.75" hidden="false" customHeight="true" outlineLevel="0" collapsed="false">
      <c r="B10" s="4" t="s">
        <v>28</v>
      </c>
      <c r="C10" s="4"/>
      <c r="D10" s="4"/>
      <c r="E10" s="4"/>
      <c r="F10" s="4"/>
      <c r="G10" s="4"/>
    </row>
    <row r="11" customFormat="false" ht="19.5" hidden="false" customHeight="true" outlineLevel="0" collapsed="false">
      <c r="B11" s="11" t="s">
        <v>19</v>
      </c>
      <c r="C11" s="11" t="s">
        <v>23</v>
      </c>
      <c r="D11" s="11" t="s">
        <v>29</v>
      </c>
      <c r="E11" s="11" t="s">
        <v>30</v>
      </c>
      <c r="F11" s="11" t="s">
        <v>31</v>
      </c>
      <c r="G11" s="11" t="s">
        <v>32</v>
      </c>
    </row>
    <row r="12" customFormat="false" ht="21.75" hidden="false" customHeight="true" outlineLevel="0" collapsed="false">
      <c r="B12" s="12" t="s">
        <v>33</v>
      </c>
      <c r="C12" s="16" t="str">
        <f aca="false">IFERROR(ABS(F6),"")</f>
        <v/>
      </c>
      <c r="D12" s="16" t="n">
        <f aca="false">IFERROR(E6*12,"")</f>
        <v>0</v>
      </c>
      <c r="E12" s="14" t="str">
        <f aca="false">IFERROR(C12*D12,"")</f>
        <v/>
      </c>
      <c r="F12" s="14" t="str">
        <f aca="false">IFERROR(E12-C6,"")</f>
        <v/>
      </c>
      <c r="G12" s="17" t="str">
        <f aca="false">IFERROR(F12/C6,"")</f>
        <v/>
      </c>
    </row>
    <row r="13" customFormat="false" ht="21.75" hidden="false" customHeight="true" outlineLevel="0" collapsed="false">
      <c r="B13" s="12" t="s">
        <v>34</v>
      </c>
      <c r="C13" s="16" t="str">
        <f aca="false">IFERROR(ABS(F7),"")</f>
        <v/>
      </c>
      <c r="D13" s="16" t="n">
        <f aca="false">IFERROR(E7*12,"")</f>
        <v>0</v>
      </c>
      <c r="E13" s="14" t="str">
        <f aca="false">IFERROR(C13*D13,"")</f>
        <v/>
      </c>
      <c r="F13" s="14" t="str">
        <f aca="false">IFERROR(E13-C7,"")</f>
        <v/>
      </c>
      <c r="G13" s="17" t="str">
        <f aca="false">IFERROR(F13/C7,"")</f>
        <v/>
      </c>
    </row>
    <row r="14" customFormat="false" ht="21.75" hidden="false" customHeight="true" outlineLevel="0" collapsed="false">
      <c r="B14" s="12" t="s">
        <v>35</v>
      </c>
      <c r="C14" s="16" t="str">
        <f aca="false">IFERROR(ABS(F8),"")</f>
        <v/>
      </c>
      <c r="D14" s="16" t="n">
        <f aca="false">IFERROR(E8*12,"")</f>
        <v>0</v>
      </c>
      <c r="E14" s="14" t="str">
        <f aca="false">IFERROR(C14*D14,"")</f>
        <v/>
      </c>
      <c r="F14" s="14" t="str">
        <f aca="false">IFERROR(E14-C8,"")</f>
        <v/>
      </c>
      <c r="G14" s="17" t="str">
        <f aca="false">IFERROR(F14/C8,"")</f>
        <v/>
      </c>
    </row>
    <row r="15" customFormat="false" ht="7.5" hidden="false" customHeight="true" outlineLevel="0" collapsed="false"/>
    <row r="16" customFormat="false" ht="21.75" hidden="false" customHeight="true" outlineLevel="0" collapsed="false">
      <c r="B16" s="18" t="s">
        <v>36</v>
      </c>
      <c r="C16" s="18"/>
      <c r="D16" s="18"/>
      <c r="E16" s="18"/>
      <c r="F16" s="18"/>
      <c r="G16" s="18"/>
    </row>
  </sheetData>
  <mergeCells count="4">
    <mergeCell ref="B2:G2"/>
    <mergeCell ref="B4:G4"/>
    <mergeCell ref="B10:G10"/>
    <mergeCell ref="B16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4A2B"/>
    <pageSetUpPr fitToPage="false"/>
  </sheetPr>
  <dimension ref="B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22"/>
    <col collapsed="false" customWidth="true" hidden="false" outlineLevel="0" max="6" min="6" style="1" width="26"/>
  </cols>
  <sheetData>
    <row r="1" customFormat="false" ht="6" hidden="false" customHeight="true" outlineLevel="0" collapsed="false"/>
    <row r="2" customFormat="false" ht="30" hidden="false" customHeight="true" outlineLevel="0" collapsed="false">
      <c r="B2" s="9" t="s">
        <v>37</v>
      </c>
      <c r="C2" s="9"/>
      <c r="D2" s="9"/>
      <c r="E2" s="9"/>
      <c r="F2" s="9"/>
    </row>
    <row r="3" customFormat="false" ht="9.75" hidden="false" customHeight="true" outlineLevel="0" collapsed="false"/>
    <row r="4" customFormat="false" ht="21.75" hidden="false" customHeight="true" outlineLevel="0" collapsed="false">
      <c r="B4" s="6" t="s">
        <v>38</v>
      </c>
      <c r="C4" s="6"/>
      <c r="D4" s="6"/>
      <c r="E4" s="6"/>
      <c r="F4" s="6"/>
    </row>
    <row r="5" customFormat="false" ht="19.5" hidden="false" customHeight="true" outlineLevel="0" collapsed="false">
      <c r="B5" s="11" t="s">
        <v>39</v>
      </c>
      <c r="C5" s="11" t="s">
        <v>40</v>
      </c>
      <c r="D5" s="11" t="s">
        <v>21</v>
      </c>
      <c r="E5" s="11" t="s">
        <v>22</v>
      </c>
      <c r="F5" s="11" t="s">
        <v>41</v>
      </c>
    </row>
    <row r="6" customFormat="false" ht="21.75" hidden="false" customHeight="true" outlineLevel="0" collapsed="false">
      <c r="B6" s="12" t="n">
        <v>6</v>
      </c>
      <c r="C6" s="13"/>
      <c r="D6" s="13"/>
      <c r="E6" s="13"/>
      <c r="F6" s="19" t="n">
        <f aca="false">IFERROR(FV(D6/12,E6*12,-C6,0),"")</f>
        <v>-0</v>
      </c>
    </row>
    <row r="7" customFormat="false" ht="21.75" hidden="false" customHeight="true" outlineLevel="0" collapsed="false">
      <c r="B7" s="12" t="n">
        <v>7</v>
      </c>
      <c r="C7" s="13"/>
      <c r="D7" s="13"/>
      <c r="E7" s="13"/>
      <c r="F7" s="19" t="n">
        <f aca="false">IFERROR(FV(D7/12,E7*12,-C7,0),"")</f>
        <v>-0</v>
      </c>
    </row>
    <row r="8" customFormat="false" ht="21.75" hidden="false" customHeight="true" outlineLevel="0" collapsed="false">
      <c r="B8" s="12" t="n">
        <v>8</v>
      </c>
      <c r="C8" s="13"/>
      <c r="D8" s="13"/>
      <c r="E8" s="13"/>
      <c r="F8" s="19" t="n">
        <f aca="false">IFERROR(FV(D8/12,E8*12,-C8,0),"")</f>
        <v>-0</v>
      </c>
    </row>
    <row r="9" customFormat="false" ht="9.75" hidden="false" customHeight="true" outlineLevel="0" collapsed="false"/>
    <row r="10" customFormat="false" ht="21.75" hidden="false" customHeight="true" outlineLevel="0" collapsed="false">
      <c r="B10" s="4" t="s">
        <v>42</v>
      </c>
      <c r="C10" s="4"/>
      <c r="D10" s="4"/>
      <c r="E10" s="4"/>
      <c r="F10" s="4"/>
    </row>
    <row r="11" customFormat="false" ht="19.5" hidden="false" customHeight="true" outlineLevel="0" collapsed="false">
      <c r="B11" s="11" t="s">
        <v>43</v>
      </c>
      <c r="C11" s="11" t="s">
        <v>44</v>
      </c>
      <c r="D11" s="11" t="s">
        <v>21</v>
      </c>
      <c r="E11" s="11" t="s">
        <v>22</v>
      </c>
      <c r="F11" s="11" t="s">
        <v>45</v>
      </c>
    </row>
    <row r="12" customFormat="false" ht="21.75" hidden="false" customHeight="true" outlineLevel="0" collapsed="false">
      <c r="B12" s="12" t="s">
        <v>46</v>
      </c>
      <c r="C12" s="13"/>
      <c r="D12" s="13"/>
      <c r="E12" s="13"/>
      <c r="F12" s="14" t="str">
        <f aca="false">IFERROR(PMT(D12/12,E12*12,0,C12),"")</f>
        <v/>
      </c>
    </row>
    <row r="13" customFormat="false" ht="21.75" hidden="false" customHeight="true" outlineLevel="0" collapsed="false">
      <c r="B13" s="12" t="s">
        <v>47</v>
      </c>
      <c r="C13" s="13"/>
      <c r="D13" s="13"/>
      <c r="E13" s="13"/>
      <c r="F13" s="14" t="str">
        <f aca="false">IFERROR(PMT(D13/12,E13*12,0,C13),"")</f>
        <v/>
      </c>
    </row>
    <row r="14" customFormat="false" ht="7.5" hidden="false" customHeight="true" outlineLevel="0" collapsed="false"/>
    <row r="15" customFormat="false" ht="21.75" hidden="false" customHeight="true" outlineLevel="0" collapsed="false">
      <c r="B15" s="20" t="s">
        <v>48</v>
      </c>
      <c r="C15" s="20"/>
      <c r="D15" s="20"/>
      <c r="E15" s="20"/>
      <c r="F15" s="20"/>
    </row>
  </sheetData>
  <mergeCells count="4">
    <mergeCell ref="B2:F2"/>
    <mergeCell ref="B4:F4"/>
    <mergeCell ref="B10:F10"/>
    <mergeCell ref="B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843D"/>
    <pageSetUpPr fitToPage="false"/>
  </sheetPr>
  <dimension ref="B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22"/>
    <col collapsed="false" customWidth="true" hidden="false" outlineLevel="0" max="6" min="6" style="1" width="26"/>
  </cols>
  <sheetData>
    <row r="1" customFormat="false" ht="6" hidden="false" customHeight="true" outlineLevel="0" collapsed="false"/>
    <row r="2" customFormat="false" ht="30" hidden="false" customHeight="true" outlineLevel="0" collapsed="false">
      <c r="B2" s="9" t="s">
        <v>49</v>
      </c>
      <c r="C2" s="9"/>
      <c r="D2" s="9"/>
      <c r="E2" s="9"/>
      <c r="F2" s="9"/>
    </row>
    <row r="3" customFormat="false" ht="9.75" hidden="false" customHeight="true" outlineLevel="0" collapsed="false"/>
    <row r="4" customFormat="false" ht="21.75" hidden="false" customHeight="true" outlineLevel="0" collapsed="false">
      <c r="B4" s="10" t="s">
        <v>50</v>
      </c>
      <c r="C4" s="10"/>
      <c r="D4" s="10"/>
      <c r="E4" s="10"/>
      <c r="F4" s="10"/>
    </row>
    <row r="5" customFormat="false" ht="19.5" hidden="false" customHeight="true" outlineLevel="0" collapsed="false">
      <c r="B5" s="11" t="s">
        <v>51</v>
      </c>
      <c r="C5" s="11" t="s">
        <v>52</v>
      </c>
      <c r="D5" s="11" t="s">
        <v>53</v>
      </c>
      <c r="E5" s="11" t="s">
        <v>22</v>
      </c>
      <c r="F5" s="11" t="s">
        <v>54</v>
      </c>
    </row>
    <row r="6" customFormat="false" ht="21.75" hidden="false" customHeight="true" outlineLevel="0" collapsed="false">
      <c r="B6" s="12" t="n">
        <v>6</v>
      </c>
      <c r="C6" s="13"/>
      <c r="D6" s="13"/>
      <c r="E6" s="13"/>
      <c r="F6" s="19" t="n">
        <f aca="false">IFERROR(PV(D6/12,E6*12,C6,0),"")</f>
        <v>-0</v>
      </c>
    </row>
    <row r="7" customFormat="false" ht="21.75" hidden="false" customHeight="true" outlineLevel="0" collapsed="false">
      <c r="B7" s="12" t="n">
        <v>7</v>
      </c>
      <c r="C7" s="13"/>
      <c r="D7" s="13"/>
      <c r="E7" s="13"/>
      <c r="F7" s="19" t="n">
        <f aca="false">IFERROR(PV(D7/12,E7*12,C7,0),"")</f>
        <v>-0</v>
      </c>
    </row>
    <row r="8" customFormat="false" ht="21.75" hidden="false" customHeight="true" outlineLevel="0" collapsed="false">
      <c r="B8" s="12" t="n">
        <v>8</v>
      </c>
      <c r="C8" s="13"/>
      <c r="D8" s="13"/>
      <c r="E8" s="13"/>
      <c r="F8" s="19" t="n">
        <f aca="false">IFERROR(PV(D8/12,E8*12,C8,0),"")</f>
        <v>-0</v>
      </c>
    </row>
    <row r="9" customFormat="false" ht="9.75" hidden="false" customHeight="true" outlineLevel="0" collapsed="false"/>
    <row r="10" customFormat="false" ht="21.75" hidden="false" customHeight="true" outlineLevel="0" collapsed="false">
      <c r="B10" s="4" t="s">
        <v>55</v>
      </c>
      <c r="C10" s="4"/>
      <c r="D10" s="4"/>
      <c r="E10" s="4"/>
      <c r="F10" s="4"/>
    </row>
    <row r="11" customFormat="false" ht="19.5" hidden="false" customHeight="true" outlineLevel="0" collapsed="false">
      <c r="B11" s="11" t="s">
        <v>51</v>
      </c>
      <c r="C11" s="11" t="s">
        <v>56</v>
      </c>
      <c r="D11" s="11" t="s">
        <v>57</v>
      </c>
      <c r="E11" s="11" t="s">
        <v>58</v>
      </c>
      <c r="F11" s="11" t="s">
        <v>59</v>
      </c>
    </row>
    <row r="12" customFormat="false" ht="21.75" hidden="false" customHeight="true" outlineLevel="0" collapsed="false">
      <c r="B12" s="12" t="s">
        <v>60</v>
      </c>
      <c r="C12" s="16" t="n">
        <f aca="false">IFERROR(ABS(F6),"")</f>
        <v>0</v>
      </c>
      <c r="D12" s="13"/>
      <c r="E12" s="14" t="str">
        <f aca="false">IFERROR(IF(C12&gt;D12,"Worth More — Hold","Worth Less — Accept"),"")</f>
        <v>Worth Less — Accept</v>
      </c>
      <c r="F12" s="15" t="s">
        <v>61</v>
      </c>
    </row>
    <row r="13" customFormat="false" ht="21.75" hidden="false" customHeight="true" outlineLevel="0" collapsed="false">
      <c r="B13" s="12" t="s">
        <v>62</v>
      </c>
      <c r="C13" s="16" t="n">
        <f aca="false">IFERROR(ABS(F7),"")</f>
        <v>0</v>
      </c>
      <c r="D13" s="13"/>
      <c r="E13" s="14" t="str">
        <f aca="false">IFERROR(IF(C13&gt;D13,"Worth More — Hold","Worth Less — Accept"),"")</f>
        <v>Worth Less — Accept</v>
      </c>
      <c r="F13" s="15" t="s">
        <v>61</v>
      </c>
    </row>
    <row r="14" customFormat="false" ht="21.75" hidden="false" customHeight="true" outlineLevel="0" collapsed="false">
      <c r="B14" s="12" t="s">
        <v>63</v>
      </c>
      <c r="C14" s="16" t="n">
        <f aca="false">IFERROR(ABS(F8),"")</f>
        <v>0</v>
      </c>
      <c r="D14" s="13"/>
      <c r="E14" s="14" t="str">
        <f aca="false">IFERROR(IF(C14&gt;D14,"Worth More — Hold","Worth Less — Accept"),"")</f>
        <v>Worth Less — Accept</v>
      </c>
      <c r="F14" s="15" t="s">
        <v>61</v>
      </c>
    </row>
    <row r="15" customFormat="false" ht="7.5" hidden="false" customHeight="true" outlineLevel="0" collapsed="false"/>
    <row r="16" customFormat="false" ht="21.75" hidden="false" customHeight="true" outlineLevel="0" collapsed="false">
      <c r="B16" s="21" t="s">
        <v>64</v>
      </c>
      <c r="C16" s="21"/>
      <c r="D16" s="21"/>
      <c r="E16" s="21"/>
      <c r="F16" s="21"/>
    </row>
  </sheetData>
  <mergeCells count="4">
    <mergeCell ref="B2:F2"/>
    <mergeCell ref="B4:F4"/>
    <mergeCell ref="B10:F10"/>
    <mergeCell ref="B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88888"/>
    <pageSetUpPr fitToPage="fals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28"/>
    <col collapsed="false" customWidth="true" hidden="false" outlineLevel="0" max="4" min="4" style="1" width="30"/>
    <col collapsed="false" customWidth="true" hidden="false" outlineLevel="0" max="5" min="5" style="1" width="26"/>
  </cols>
  <sheetData>
    <row r="1" customFormat="false" ht="6" hidden="false" customHeight="true" outlineLevel="0" collapsed="false"/>
    <row r="2" customFormat="false" ht="30" hidden="false" customHeight="true" outlineLevel="0" collapsed="false">
      <c r="B2" s="9" t="s">
        <v>65</v>
      </c>
      <c r="C2" s="9"/>
      <c r="D2" s="9"/>
      <c r="E2" s="9"/>
    </row>
    <row r="3" customFormat="false" ht="19.5" hidden="false" customHeight="true" outlineLevel="0" collapsed="false">
      <c r="B3" s="22" t="s">
        <v>66</v>
      </c>
      <c r="C3" s="22"/>
      <c r="D3" s="22"/>
      <c r="E3" s="22"/>
    </row>
    <row r="4" customFormat="false" ht="9.75" hidden="false" customHeight="true" outlineLevel="0" collapsed="false"/>
    <row r="5" customFormat="false" ht="21.75" hidden="false" customHeight="true" outlineLevel="0" collapsed="false">
      <c r="B5" s="10" t="s">
        <v>67</v>
      </c>
      <c r="C5" s="10"/>
      <c r="D5" s="10"/>
      <c r="E5" s="10"/>
    </row>
    <row r="6" customFormat="false" ht="18" hidden="false" customHeight="true" outlineLevel="0" collapsed="false">
      <c r="B6" s="23" t="s">
        <v>68</v>
      </c>
      <c r="C6" s="23" t="s">
        <v>69</v>
      </c>
      <c r="D6" s="23" t="s">
        <v>70</v>
      </c>
      <c r="E6" s="23" t="s">
        <v>24</v>
      </c>
    </row>
    <row r="7" customFormat="false" ht="19.5" hidden="false" customHeight="true" outlineLevel="0" collapsed="false">
      <c r="B7" s="24" t="s">
        <v>71</v>
      </c>
      <c r="C7" s="25" t="s">
        <v>72</v>
      </c>
      <c r="D7" s="26" t="s">
        <v>73</v>
      </c>
      <c r="E7" s="15" t="s">
        <v>74</v>
      </c>
    </row>
    <row r="8" customFormat="false" ht="19.5" hidden="false" customHeight="true" outlineLevel="0" collapsed="false">
      <c r="B8" s="24" t="s">
        <v>75</v>
      </c>
      <c r="C8" s="25" t="s">
        <v>76</v>
      </c>
      <c r="D8" s="26" t="s">
        <v>77</v>
      </c>
      <c r="E8" s="15" t="s">
        <v>78</v>
      </c>
    </row>
    <row r="9" customFormat="false" ht="19.5" hidden="false" customHeight="true" outlineLevel="0" collapsed="false">
      <c r="B9" s="24" t="s">
        <v>79</v>
      </c>
      <c r="C9" s="25" t="s">
        <v>80</v>
      </c>
      <c r="D9" s="26" t="s">
        <v>81</v>
      </c>
      <c r="E9" s="15" t="s">
        <v>82</v>
      </c>
    </row>
    <row r="10" customFormat="false" ht="19.5" hidden="false" customHeight="true" outlineLevel="0" collapsed="false">
      <c r="B10" s="24" t="s">
        <v>83</v>
      </c>
      <c r="C10" s="25" t="s">
        <v>84</v>
      </c>
      <c r="D10" s="26" t="s">
        <v>85</v>
      </c>
      <c r="E10" s="15" t="s">
        <v>86</v>
      </c>
    </row>
    <row r="11" customFormat="false" ht="7.5" hidden="false" customHeight="true" outlineLevel="0" collapsed="false"/>
    <row r="12" customFormat="false" ht="21.75" hidden="false" customHeight="true" outlineLevel="0" collapsed="false">
      <c r="B12" s="4" t="s">
        <v>87</v>
      </c>
      <c r="C12" s="4"/>
      <c r="D12" s="4"/>
      <c r="E12" s="4"/>
    </row>
    <row r="13" customFormat="false" ht="18" hidden="false" customHeight="true" outlineLevel="0" collapsed="false">
      <c r="B13" s="27" t="s">
        <v>68</v>
      </c>
      <c r="C13" s="27" t="s">
        <v>69</v>
      </c>
      <c r="D13" s="27" t="s">
        <v>70</v>
      </c>
      <c r="E13" s="27" t="s">
        <v>24</v>
      </c>
    </row>
    <row r="14" customFormat="false" ht="19.5" hidden="false" customHeight="true" outlineLevel="0" collapsed="false">
      <c r="B14" s="24" t="s">
        <v>88</v>
      </c>
      <c r="C14" s="25" t="s">
        <v>89</v>
      </c>
      <c r="D14" s="26" t="s">
        <v>90</v>
      </c>
      <c r="E14" s="15" t="s">
        <v>91</v>
      </c>
    </row>
    <row r="15" customFormat="false" ht="19.5" hidden="false" customHeight="true" outlineLevel="0" collapsed="false">
      <c r="B15" s="24" t="s">
        <v>92</v>
      </c>
      <c r="C15" s="25" t="s">
        <v>93</v>
      </c>
      <c r="D15" s="26" t="s">
        <v>94</v>
      </c>
      <c r="E15" s="15" t="s">
        <v>95</v>
      </c>
    </row>
    <row r="16" customFormat="false" ht="19.5" hidden="false" customHeight="true" outlineLevel="0" collapsed="false">
      <c r="B16" s="24" t="s">
        <v>96</v>
      </c>
      <c r="C16" s="25" t="s">
        <v>97</v>
      </c>
      <c r="D16" s="26" t="s">
        <v>98</v>
      </c>
      <c r="E16" s="15" t="s">
        <v>99</v>
      </c>
    </row>
    <row r="17" customFormat="false" ht="7.5" hidden="false" customHeight="true" outlineLevel="0" collapsed="false"/>
    <row r="18" customFormat="false" ht="21.75" hidden="false" customHeight="true" outlineLevel="0" collapsed="false">
      <c r="B18" s="6" t="s">
        <v>100</v>
      </c>
      <c r="C18" s="6"/>
      <c r="D18" s="6"/>
      <c r="E18" s="6"/>
    </row>
    <row r="19" customFormat="false" ht="18" hidden="false" customHeight="true" outlineLevel="0" collapsed="false">
      <c r="B19" s="28" t="s">
        <v>68</v>
      </c>
      <c r="C19" s="28" t="s">
        <v>69</v>
      </c>
      <c r="D19" s="28" t="s">
        <v>70</v>
      </c>
      <c r="E19" s="28" t="s">
        <v>24</v>
      </c>
    </row>
    <row r="20" customFormat="false" ht="19.5" hidden="false" customHeight="true" outlineLevel="0" collapsed="false">
      <c r="B20" s="24" t="s">
        <v>101</v>
      </c>
      <c r="C20" s="25" t="s">
        <v>102</v>
      </c>
      <c r="D20" s="26" t="s">
        <v>103</v>
      </c>
      <c r="E20" s="15" t="s">
        <v>104</v>
      </c>
    </row>
    <row r="21" customFormat="false" ht="19.5" hidden="false" customHeight="true" outlineLevel="0" collapsed="false">
      <c r="B21" s="24" t="s">
        <v>105</v>
      </c>
      <c r="C21" s="25" t="s">
        <v>106</v>
      </c>
      <c r="D21" s="26" t="s">
        <v>107</v>
      </c>
      <c r="E21" s="15" t="s">
        <v>108</v>
      </c>
    </row>
    <row r="22" customFormat="false" ht="19.5" hidden="false" customHeight="true" outlineLevel="0" collapsed="false">
      <c r="B22" s="24" t="s">
        <v>109</v>
      </c>
      <c r="C22" s="25" t="s">
        <v>110</v>
      </c>
      <c r="D22" s="26" t="s">
        <v>111</v>
      </c>
      <c r="E22" s="15" t="s">
        <v>112</v>
      </c>
    </row>
    <row r="23" customFormat="false" ht="19.5" hidden="false" customHeight="true" outlineLevel="0" collapsed="false">
      <c r="B23" s="24" t="s">
        <v>113</v>
      </c>
      <c r="C23" s="25" t="s">
        <v>114</v>
      </c>
      <c r="D23" s="26"/>
      <c r="E23" s="15" t="s">
        <v>115</v>
      </c>
    </row>
    <row r="24" customFormat="false" ht="7.5" hidden="false" customHeight="true" outlineLevel="0" collapsed="false"/>
  </sheetData>
  <mergeCells count="5">
    <mergeCell ref="B2:E2"/>
    <mergeCell ref="B3:E3"/>
    <mergeCell ref="B5:E5"/>
    <mergeCell ref="B12:E12"/>
    <mergeCell ref="B18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2026-06-08T18:14:32Z</dcterms:created>
  <dc:creator>openpyxl</dc:creator>
  <dc:description/>
  <dc:language>en-US</dc:language>
  <cp:lastModifiedBy/>
  <dcterms:modified xsi:type="dcterms:W3CDTF">2026-06-08T18:14:47Z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