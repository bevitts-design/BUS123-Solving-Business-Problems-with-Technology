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bethanyevittsair2/Documents/ChatGPT/BUS123 Solving Business Problems with Technology/outputs/m09-approved-revision/"/>
    </mc:Choice>
  </mc:AlternateContent>
  <xr:revisionPtr revIDLastSave="0" documentId="13_ncr:1_{D7F752F8-7EC9-6746-9683-6232D759BA03}" xr6:coauthVersionLast="47" xr6:coauthVersionMax="47" xr10:uidLastSave="{00000000-0000-0000-0000-000000000000}"/>
  <bookViews>
    <workbookView xWindow="0" yWindow="580" windowWidth="38400" windowHeight="15300" activeTab="5" xr2:uid="{00000000-000D-0000-FFFF-FFFF00000000}"/>
  </bookViews>
  <sheets>
    <sheet name="START HERE" sheetId="1" r:id="rId1"/>
    <sheet name="Live You Try It" sheetId="2" r:id="rId2"/>
    <sheet name="Class Challenge" sheetId="3" r:id="rId3"/>
    <sheet name="FormulaReferenceCard" sheetId="4" r:id="rId4"/>
    <sheet name="Time Value Practice" sheetId="5" r:id="rId5"/>
    <sheet name="Growth char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5" l="1"/>
  <c r="F55" i="5"/>
  <c r="F54" i="5"/>
  <c r="F53" i="5"/>
  <c r="F52" i="5"/>
  <c r="F51" i="5"/>
  <c r="F50" i="5"/>
  <c r="F49" i="5"/>
  <c r="F48" i="5"/>
  <c r="F47" i="5"/>
  <c r="F33" i="5"/>
  <c r="F32" i="5"/>
  <c r="F31" i="5"/>
  <c r="F21" i="5"/>
  <c r="F20" i="5"/>
  <c r="F19" i="5"/>
  <c r="F11" i="5"/>
  <c r="F10" i="5"/>
  <c r="F9" i="5"/>
  <c r="B14" i="2"/>
  <c r="J12" i="2"/>
  <c r="J11" i="2"/>
  <c r="J10" i="2"/>
  <c r="J9" i="2"/>
  <c r="J8" i="2"/>
  <c r="J7" i="2"/>
  <c r="J6" i="2"/>
</calcChain>
</file>

<file path=xl/sharedStrings.xml><?xml version="1.0" encoding="utf-8"?>
<sst xmlns="http://schemas.openxmlformats.org/spreadsheetml/2006/main" count="171" uniqueCount="161">
  <si>
    <t>BUS123 - MATH-M09-L01</t>
  </si>
  <si>
    <t>Compound Interest, Future Value and Present Value</t>
  </si>
  <si>
    <t>How to Use This Workbook</t>
  </si>
  <si>
    <t>1</t>
  </si>
  <si>
    <t>Open the lesson deck. Use its activity handoffs to locate the matching workbook sheet and cells.</t>
  </si>
  <si>
    <t>2</t>
  </si>
  <si>
    <t>Cells labeled INPUT use yellow fill. Enter the scenario givens there before building a formula.</t>
  </si>
  <si>
    <t>3</t>
  </si>
  <si>
    <t>Cells labeled FORMULA / RESULT use blue fill. Build formulas with cell references; do not type the answer as a constant.</t>
  </si>
  <si>
    <t>4</t>
  </si>
  <si>
    <t>Use FORMULATEXT to inspect your own formulas. Explain what each result means before checking the reveal.</t>
  </si>
  <si>
    <t>5</t>
  </si>
  <si>
    <t>Complete the existing Account A/B challenge and the separate payment-timing decision in Time Value Practice.</t>
  </si>
  <si>
    <t>Required Public Tabs</t>
  </si>
  <si>
    <t>Live You Try It</t>
  </si>
  <si>
    <t>Self-graded practice with hints and feedback; not part of the private rubric.</t>
  </si>
  <si>
    <t>Class Challenge</t>
  </si>
  <si>
    <t>The only graded/next-level activity tab.</t>
  </si>
  <si>
    <t>FormulaReferenceCard</t>
  </si>
  <si>
    <t>Formula syntax reminders for this lesson.</t>
  </si>
  <si>
    <t>Accessibility cue</t>
  </si>
  <si>
    <t>INPUT, FORMULA / RESULT, and FEEDBACK labels carry the meaning even if color is unavailable.</t>
  </si>
  <si>
    <t>Model boundary</t>
  </si>
  <si>
    <t>Training models assume fixed positive rates, periodic compounding, and no taxes, fees, or inflation.</t>
  </si>
  <si>
    <t>Explain compound growth and reverse it with present value.</t>
  </si>
  <si>
    <t>Build FV and PV formulas and explain cash-flow signs.</t>
  </si>
  <si>
    <t>Adjust rate and nper for non-annual compounding.</t>
  </si>
  <si>
    <t>Use Rule of 72 as an estimate and verify with Excel.</t>
  </si>
  <si>
    <t>MATH-M09-L01 - Live You Try It</t>
  </si>
  <si>
    <t>Self-graded Excel pauses. Enter slide givens into yellow cells, then build formulas with cell references.</t>
  </si>
  <si>
    <t>Practice Rows</t>
  </si>
  <si>
    <t>Pause</t>
  </si>
  <si>
    <t>Slide</t>
  </si>
  <si>
    <t>Build This</t>
  </si>
  <si>
    <t>Principal / Whole Percent</t>
  </si>
  <si>
    <t>Annual Rate</t>
  </si>
  <si>
    <t>Years / Target</t>
  </si>
  <si>
    <t>Periods / Year</t>
  </si>
  <si>
    <t>FORMULA / RESULT</t>
  </si>
  <si>
    <t>Formula Hint</t>
  </si>
  <si>
    <t>FEEDBACK</t>
  </si>
  <si>
    <t>Annual FV</t>
  </si>
  <si>
    <t>Rebuild the instructor future-value model.</t>
  </si>
  <si>
    <t>Use FV with the rate and periods in this row.</t>
  </si>
  <si>
    <t>Audit</t>
  </si>
  <si>
    <t>Verify the same result with the manual compound formula.</t>
  </si>
  <si>
    <t>Use principal*(1+rate)^years.</t>
  </si>
  <si>
    <t>Quarterly</t>
  </si>
  <si>
    <t>Calculate the quarterly rate per period.</t>
  </si>
  <si>
    <t>Annual rate divided by periods per year.</t>
  </si>
  <si>
    <t>Calculate the total quarterly periods.</t>
  </si>
  <si>
    <t>Years times periods per year.</t>
  </si>
  <si>
    <t>Build the quarterly future-value formula.</t>
  </si>
  <si>
    <t>Adjust both rate and nper inside FV.</t>
  </si>
  <si>
    <t>Rule of 72</t>
  </si>
  <si>
    <t>Estimate years to double at 7%.</t>
  </si>
  <si>
    <t>Use 7 as a whole percent in 72/rate.</t>
  </si>
  <si>
    <t>Verify doubling: D12 is starting value, E12 is annual rate, F12 is target balance.</t>
  </si>
  <si>
    <t>Use NPER(rate,0,-starting value,target value).</t>
  </si>
  <si>
    <t>Self-check score</t>
  </si>
  <si>
    <t>MATH-M09-L01 - Class Challenge</t>
  </si>
  <si>
    <t>Complete the Account A/B comparison with formulas, then make a recommendation. Work in pairs for 10 minutes; submit both formulas, the difference, and two sentences of evidence.</t>
  </si>
  <si>
    <t>Graded / Next-Level Activity</t>
  </si>
  <si>
    <t>#</t>
  </si>
  <si>
    <t>Scenario</t>
  </si>
  <si>
    <t>Principal</t>
  </si>
  <si>
    <t>Years</t>
  </si>
  <si>
    <t>Decision Evidence / Hint</t>
  </si>
  <si>
    <t>Instructor use - leave blank</t>
  </si>
  <si>
    <t>Account A: calculate future value at 4% compounded annually for 10 years.</t>
  </si>
  <si>
    <t>Build FV from C6:F6; do not type constants inside the formula.</t>
  </si>
  <si>
    <t>Account B: calculate future value at 3.8% compounded monthly for 10 years.</t>
  </si>
  <si>
    <t>Adjust both rate and periods using C7:F7.</t>
  </si>
  <si>
    <t>Calculate Account A minus Account B.</t>
  </si>
  <si>
    <t>Reference the two result cells. A positive result means A finishes higher.</t>
  </si>
  <si>
    <t>Recommendation: which account should Meridian recommend? State both ending balances and the dollar difference.</t>
  </si>
  <si>
    <t>Write two complete sentences in the blue cell.</t>
  </si>
  <si>
    <t>MATH-M09-L01 - Formula Reference Card</t>
  </si>
  <si>
    <t>Syntax reminders. Decide which formula fits before using the card.</t>
  </si>
  <si>
    <t>Concept</t>
  </si>
  <si>
    <t>Excel Pattern</t>
  </si>
  <si>
    <t>Plain-English Meaning</t>
  </si>
  <si>
    <t>Watch Out For</t>
  </si>
  <si>
    <t>Compound FV</t>
  </si>
  <si>
    <t>=PV*(1+Rate)^Nper</t>
  </si>
  <si>
    <t>Repeats the growth factor each period.</t>
  </si>
  <si>
    <t>Use rate per period and matching periods.</t>
  </si>
  <si>
    <t>FV function</t>
  </si>
  <si>
    <t>=FV(Rate,Nper,0,-PV)</t>
  </si>
  <si>
    <t>Finds the ending balance of one initial deposit.</t>
  </si>
  <si>
    <t>An investor deposit is a cash outflow.</t>
  </si>
  <si>
    <t>Rate per period</t>
  </si>
  <si>
    <t>=AnnualRate/PeriodsPerYear</t>
  </si>
  <si>
    <t>Converts a nominal annual rate to a periodic rate.</t>
  </si>
  <si>
    <t>For an effective annual rate, use the appropriate equivalent rate.</t>
  </si>
  <si>
    <t>Total periods</t>
  </si>
  <si>
    <t>=Years*PeriodsPerYear</t>
  </si>
  <si>
    <t>Counts the compounding periods.</t>
  </si>
  <si>
    <t>Convert both rate and number of periods.</t>
  </si>
  <si>
    <t>=72/RatePercent</t>
  </si>
  <si>
    <t>Estimates years to double at a fixed annual rate.</t>
  </si>
  <si>
    <t>Use 7, not 0.07, for 7 percent.</t>
  </si>
  <si>
    <t>PV function</t>
  </si>
  <si>
    <t>=PV(Rate,Nper,0,FV)</t>
  </si>
  <si>
    <t>Positive future inflow returns a negative present outflow.</t>
  </si>
  <si>
    <t>Use -PV(...) for a positive comparison value.</t>
  </si>
  <si>
    <t>Exact doubling</t>
  </si>
  <si>
    <t>=NPER(Rate,0,-1,2)</t>
  </si>
  <si>
    <t>Finds the periods needed to double.</t>
  </si>
  <si>
    <t>Use rate per period.</t>
  </si>
  <si>
    <t>Compound PV</t>
  </si>
  <si>
    <t>=FV/(1+Rate)^Nper</t>
  </si>
  <si>
    <t>Reverses compound growth to value a future receipt.</t>
  </si>
  <si>
    <t>Use the same growth rule, rate and period count.</t>
  </si>
  <si>
    <t>Formula inspection</t>
  </si>
  <si>
    <t>=FORMULATEXT(ResultCell)</t>
  </si>
  <si>
    <t>Displays the formula you entered in a result cell.</t>
  </si>
  <si>
    <t>Blank result cells have no formula to show.</t>
  </si>
  <si>
    <t>M09: money on different dates</t>
  </si>
  <si>
    <t>Yellow = INPUT. Blue = FORMULA / RESULT. F shows your formula after you enter it.</t>
  </si>
  <si>
    <t>Before each calculation: What date is the money on? What date do we need? Larger or smaller?</t>
  </si>
  <si>
    <t>Connected example: grow forward, then discount back</t>
  </si>
  <si>
    <t>Starting investment</t>
  </si>
  <si>
    <t>Annual compound rate</t>
  </si>
  <si>
    <t>Future balance</t>
  </si>
  <si>
    <t>Positive value today of that balance</t>
  </si>
  <si>
    <t>Interest earned over three years</t>
  </si>
  <si>
    <t>Keep full precision in the formulas. Display cents. Explain why the round trip returns the starting value.</t>
  </si>
  <si>
    <t>Your turn: price a future receipt</t>
  </si>
  <si>
    <t>Receipt at the end of year 2</t>
  </si>
  <si>
    <t>Required annual compound return</t>
  </si>
  <si>
    <t>Years to receipt</t>
  </si>
  <si>
    <t>PV function: investor cash outflow</t>
  </si>
  <si>
    <t>Positive comparison value today</t>
  </si>
  <si>
    <t>FV check: recover the receipt</t>
  </si>
  <si>
    <t>Would paying $5,500 today earn the required return? Use the value you calculated and explain your choice.</t>
  </si>
  <si>
    <t>Decision: accept cash now or wait?</t>
  </si>
  <si>
    <t>Offer A: receive today</t>
  </si>
  <si>
    <t>Offer B: future receipt</t>
  </si>
  <si>
    <t>Annual opportunity cost</t>
  </si>
  <si>
    <t>Years until Offer B</t>
  </si>
  <si>
    <t>Offer B: positive value today</t>
  </si>
  <si>
    <t>Offer B minus Offer A today</t>
  </si>
  <si>
    <t>FV of Offer A as a second check</t>
  </si>
  <si>
    <t>Choose an offer. Cite the advantage on one date and an assumption that could change your choice.</t>
  </si>
  <si>
    <t>A later receipt has a smaller value today</t>
  </si>
  <si>
    <t>Future receipt</t>
  </si>
  <si>
    <t>Annual rate</t>
  </si>
  <si>
    <t>Value today</t>
  </si>
  <si>
    <t>Your formula</t>
  </si>
  <si>
    <t>Explain the pattern while holding the receipt and annual rate fixed. This is a value-today comparison, not an investment losing money.</t>
  </si>
  <si>
    <t>Growth at different annual rates</t>
  </si>
  <si>
    <t>Build the future values with references. Create a line chart with Years on the horizontal axis and Balance ($) on the vertical axis. Explain how the gap changes.</t>
  </si>
  <si>
    <t>Starting principal</t>
  </si>
  <si>
    <t>Annual rate 1</t>
  </si>
  <si>
    <t>Annual rate 2</t>
  </si>
  <si>
    <t>Annual rate 3</t>
  </si>
  <si>
    <t>5% balance</t>
  </si>
  <si>
    <t>10% balance</t>
  </si>
  <si>
    <t>15% balance</t>
  </si>
  <si>
    <t>Predict first: which line rises fastest? Then build the table and chart. These fixed rates are scenarios, not promised investment returns.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</si>
</sst>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6" formatCode="0.0000"/>
    <numFmt numFmtId="167" formatCode="&quot;$&quot;#,##0.00"/>
    <numFmt numFmtId="168" formatCode="&quot;$&quot;#,##0.00;[Red]\(&quot;$&quot;#,##0.00\)"/>
    <numFmt numFmtId="169" formatCode="&quot;$&quot;0.00"/>
  </numFmts>
  <fonts count="13" x14ac:knownFonts="1">
    <font>
      <sz val="11"/>
      <color theme="1"/>
      <name val="Calibri"/>
    </font>
    <font>
      <b/>
      <sz val="16"/>
      <color rgb="FFFFFFFF"/>
      <name val="DM Sans"/>
    </font>
    <font>
      <sz val="11"/>
      <color theme="1"/>
      <name val="Calibri"/>
      <family val="2"/>
    </font>
    <font>
      <sz val="10"/>
      <color rgb="FF4A5567"/>
      <name val="DM Sans"/>
    </font>
    <font>
      <b/>
      <sz val="11"/>
      <color rgb="FFFFFFFF"/>
      <name val="DM Sans"/>
    </font>
    <font>
      <sz val="10"/>
      <color rgb="FF355773"/>
      <name val="DM Sans"/>
    </font>
    <font>
      <sz val="11"/>
      <color rgb="FF1A1F2C"/>
      <name val="Calibri"/>
      <family val="2"/>
    </font>
    <font>
      <b/>
      <sz val="11"/>
      <color rgb="FF1A1F2C"/>
      <name val="DM Sans"/>
    </font>
    <font>
      <sz val="11"/>
      <color rgb="FF355773"/>
      <name val="Calibri"/>
      <family val="2"/>
    </font>
    <font>
      <b/>
      <sz val="11"/>
      <color rgb="FF1A1F2C"/>
      <name val="Calibri"/>
      <family val="2"/>
    </font>
    <font>
      <sz val="10"/>
      <color rgb="FF1A1F2C"/>
      <name val="DM Sans"/>
    </font>
    <font>
      <sz val="12"/>
      <color rgb="FF1A1F2C"/>
      <name val="Calibri"/>
      <family val="2"/>
    </font>
    <font>
      <b/>
      <sz val="14"/>
      <color rgb="FF355773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0E1116"/>
      </patternFill>
    </fill>
    <fill>
      <patternFill patternType="solid">
        <fgColor rgb="FFF2EEE5"/>
      </patternFill>
    </fill>
    <fill>
      <patternFill patternType="solid">
        <fgColor rgb="FF4A7C5E"/>
      </patternFill>
    </fill>
    <fill>
      <patternFill patternType="solid">
        <fgColor rgb="FFB8843D"/>
      </patternFill>
    </fill>
    <fill>
      <patternFill patternType="solid">
        <fgColor rgb="FF9C4A2B"/>
      </patternFill>
    </fill>
    <fill>
      <patternFill patternType="solid">
        <fgColor rgb="FFFFD966"/>
      </patternFill>
    </fill>
    <fill>
      <patternFill patternType="solid">
        <fgColor rgb="FFDDEBF7"/>
      </patternFill>
    </fill>
    <fill>
      <patternFill patternType="solid">
        <fgColor rgb="FFEAF3EC"/>
      </patternFill>
    </fill>
    <fill>
      <patternFill patternType="solid">
        <fgColor rgb="FFEAF3EC"/>
      </patternFill>
    </fill>
    <fill>
      <patternFill patternType="solid">
        <fgColor rgb="FFFFD966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EAF3EC"/>
      </patternFill>
    </fill>
    <fill>
      <patternFill patternType="solid">
        <fgColor rgb="FFE8F0FA"/>
      </patternFill>
    </fill>
    <fill>
      <patternFill patternType="solid">
        <fgColor rgb="FFEAF3EC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/>
      <right/>
      <top/>
      <bottom style="thin">
        <color rgb="FFD9E2D0"/>
      </bottom>
      <diagonal/>
    </border>
    <border>
      <left/>
      <right style="thin">
        <color rgb="FFE5E1D6"/>
      </right>
      <top/>
      <bottom style="thin">
        <color rgb="FFE5E1D6"/>
      </bottom>
      <diagonal/>
    </border>
    <border>
      <left style="thin">
        <color rgb="FFE5E1D6"/>
      </left>
      <right style="thin">
        <color rgb="FFE5E1D6"/>
      </right>
      <top/>
      <bottom style="thin">
        <color rgb="FFE5E1D6"/>
      </bottom>
      <diagonal/>
    </border>
    <border>
      <left/>
      <right style="thin">
        <color rgb="FFE5E1D6"/>
      </right>
      <top style="thin">
        <color rgb="FFE5E1D6"/>
      </top>
      <bottom style="thin">
        <color rgb="FFE5E1D6"/>
      </bottom>
      <diagonal/>
    </border>
    <border>
      <left style="thin">
        <color rgb="FFE5E1D6"/>
      </left>
      <right style="thin">
        <color rgb="FFE5E1D6"/>
      </right>
      <top style="thin">
        <color rgb="FFE5E1D6"/>
      </top>
      <bottom style="thin">
        <color rgb="FFE5E1D6"/>
      </bottom>
      <diagonal/>
    </border>
    <border>
      <left style="medium">
        <color rgb="FF355773"/>
      </left>
      <right style="medium">
        <color rgb="FF355773"/>
      </right>
      <top style="medium">
        <color rgb="FF355773"/>
      </top>
      <bottom style="thin">
        <color rgb="FFD9E2D0"/>
      </bottom>
      <diagonal/>
    </border>
    <border>
      <left style="medium">
        <color rgb="FF355773"/>
      </left>
      <right style="medium">
        <color rgb="FF355773"/>
      </right>
      <top/>
      <bottom style="thin">
        <color rgb="FFD9E2D0"/>
      </bottom>
      <diagonal/>
    </border>
    <border>
      <left style="medium">
        <color rgb="FF355773"/>
      </left>
      <right style="medium">
        <color rgb="FF355773"/>
      </right>
      <top/>
      <bottom style="medium">
        <color rgb="FF355773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5" fillId="9" borderId="1" xfId="0" applyNumberFormat="1" applyFont="1" applyFill="1" applyBorder="1" applyAlignment="1">
      <alignment vertical="top" wrapText="1"/>
    </xf>
    <xf numFmtId="166" fontId="8" fillId="8" borderId="7" xfId="0" applyNumberFormat="1" applyFont="1" applyFill="1" applyBorder="1" applyAlignment="1">
      <alignment vertical="top" wrapText="1"/>
    </xf>
    <xf numFmtId="166" fontId="8" fillId="8" borderId="8" xfId="0" applyNumberFormat="1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164" fontId="6" fillId="11" borderId="2" xfId="0" applyNumberFormat="1" applyFont="1" applyFill="1" applyBorder="1" applyAlignment="1">
      <alignment vertical="top" wrapText="1"/>
    </xf>
    <xf numFmtId="10" fontId="6" fillId="11" borderId="3" xfId="0" applyNumberFormat="1" applyFont="1" applyFill="1" applyBorder="1" applyAlignment="1">
      <alignment vertical="top" wrapText="1"/>
    </xf>
    <xf numFmtId="0" fontId="6" fillId="11" borderId="3" xfId="0" applyFont="1" applyFill="1" applyBorder="1" applyAlignment="1">
      <alignment vertical="top" wrapText="1"/>
    </xf>
    <xf numFmtId="164" fontId="6" fillId="11" borderId="4" xfId="0" applyNumberFormat="1" applyFont="1" applyFill="1" applyBorder="1" applyAlignment="1">
      <alignment vertical="top" wrapText="1"/>
    </xf>
    <xf numFmtId="10" fontId="6" fillId="11" borderId="5" xfId="0" applyNumberFormat="1" applyFont="1" applyFill="1" applyBorder="1" applyAlignment="1">
      <alignment vertical="top" wrapText="1"/>
    </xf>
    <xf numFmtId="0" fontId="6" fillId="11" borderId="5" xfId="0" applyFont="1" applyFill="1" applyBorder="1" applyAlignment="1">
      <alignment vertical="top" wrapText="1"/>
    </xf>
    <xf numFmtId="0" fontId="6" fillId="11" borderId="4" xfId="0" applyFont="1" applyFill="1" applyBorder="1" applyAlignment="1">
      <alignment vertical="top" wrapText="1"/>
    </xf>
    <xf numFmtId="164" fontId="8" fillId="12" borderId="6" xfId="0" applyNumberFormat="1" applyFont="1" applyFill="1" applyBorder="1" applyAlignment="1">
      <alignment vertical="top" wrapText="1"/>
    </xf>
    <xf numFmtId="164" fontId="8" fillId="12" borderId="7" xfId="0" applyNumberFormat="1" applyFont="1" applyFill="1" applyBorder="1" applyAlignment="1">
      <alignment vertical="top" wrapText="1"/>
    </xf>
    <xf numFmtId="166" fontId="8" fillId="12" borderId="7" xfId="0" applyNumberFormat="1" applyFont="1" applyFill="1" applyBorder="1" applyAlignment="1">
      <alignment vertical="top" wrapText="1"/>
    </xf>
    <xf numFmtId="0" fontId="9" fillId="10" borderId="1" xfId="0" applyFont="1" applyFill="1" applyBorder="1" applyAlignment="1">
      <alignment vertical="top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 wrapText="1"/>
    </xf>
    <xf numFmtId="164" fontId="6" fillId="13" borderId="1" xfId="0" applyNumberFormat="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vertical="top" wrapText="1"/>
    </xf>
    <xf numFmtId="10" fontId="6" fillId="13" borderId="1" xfId="0" applyNumberFormat="1" applyFont="1" applyFill="1" applyBorder="1" applyAlignment="1">
      <alignment horizontal="center" vertical="center" wrapText="1"/>
    </xf>
    <xf numFmtId="2" fontId="6" fillId="13" borderId="1" xfId="0" applyNumberFormat="1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center" vertical="center" wrapText="1"/>
    </xf>
    <xf numFmtId="10" fontId="6" fillId="11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8" fillId="12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vertical="top" wrapText="1"/>
    </xf>
    <xf numFmtId="0" fontId="8" fillId="10" borderId="1" xfId="0" applyFont="1" applyFill="1" applyBorder="1" applyAlignment="1">
      <alignment vertical="top" wrapText="1"/>
    </xf>
    <xf numFmtId="0" fontId="7" fillId="1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1" fontId="6" fillId="7" borderId="4" xfId="0" applyNumberFormat="1" applyFont="1" applyFill="1" applyBorder="1" applyAlignment="1">
      <alignment vertical="top" wrapText="1"/>
    </xf>
    <xf numFmtId="10" fontId="8" fillId="8" borderId="7" xfId="0" applyNumberFormat="1" applyFont="1" applyFill="1" applyBorder="1" applyAlignment="1">
      <alignment vertical="top" wrapText="1"/>
    </xf>
    <xf numFmtId="1" fontId="8" fillId="8" borderId="7" xfId="0" applyNumberFormat="1" applyFont="1" applyFill="1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11" fillId="0" borderId="0" xfId="0" applyFont="1"/>
    <xf numFmtId="167" fontId="11" fillId="17" borderId="0" xfId="0" applyNumberFormat="1" applyFont="1" applyFill="1"/>
    <xf numFmtId="10" fontId="11" fillId="17" borderId="0" xfId="0" applyNumberFormat="1" applyFont="1" applyFill="1"/>
    <xf numFmtId="1" fontId="11" fillId="17" borderId="0" xfId="0" applyNumberFormat="1" applyFont="1" applyFill="1"/>
    <xf numFmtId="168" fontId="11" fillId="15" borderId="0" xfId="0" applyNumberFormat="1" applyFont="1" applyFill="1"/>
    <xf numFmtId="0" fontId="8" fillId="0" borderId="0" xfId="0" applyFont="1"/>
    <xf numFmtId="169" fontId="11" fillId="17" borderId="0" xfId="0" applyNumberFormat="1" applyFont="1" applyFill="1"/>
    <xf numFmtId="169" fontId="11" fillId="15" borderId="0" xfId="0" applyNumberFormat="1" applyFont="1" applyFill="1"/>
    <xf numFmtId="9" fontId="11" fillId="17" borderId="0" xfId="0" applyNumberFormat="1" applyFont="1" applyFill="1"/>
    <xf numFmtId="167" fontId="11" fillId="15" borderId="0" xfId="0" applyNumberFormat="1" applyFont="1" applyFill="1"/>
    <xf numFmtId="0" fontId="3" fillId="3" borderId="1" xfId="0" applyFont="1" applyFill="1" applyBorder="1" applyAlignment="1">
      <alignment vertical="top" wrapText="1"/>
    </xf>
    <xf numFmtId="0" fontId="0" fillId="0" borderId="1" xfId="0" applyBorder="1"/>
    <xf numFmtId="0" fontId="4" fillId="5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6" fillId="14" borderId="1" xfId="0" applyFont="1" applyFill="1" applyBorder="1" applyAlignment="1">
      <alignment wrapText="1"/>
    </xf>
    <xf numFmtId="0" fontId="4" fillId="6" borderId="1" xfId="0" applyFont="1" applyFill="1" applyBorder="1" applyAlignment="1">
      <alignment vertical="top" wrapText="1"/>
    </xf>
    <xf numFmtId="164" fontId="8" fillId="15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164" fontId="6" fillId="15" borderId="1" xfId="0" applyNumberFormat="1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vertical="top" wrapText="1"/>
    </xf>
    <xf numFmtId="0" fontId="12" fillId="16" borderId="0" xfId="0" applyFont="1" applyFill="1"/>
    <xf numFmtId="0" fontId="11" fillId="0" borderId="0" xfId="0" applyFont="1" applyAlignment="1">
      <alignment wrapText="1"/>
    </xf>
    <xf numFmtId="0" fontId="11" fillId="15" borderId="0" xfId="0" applyFont="1" applyFill="1" applyAlignment="1">
      <alignment wrapText="1"/>
    </xf>
  </cellXfs>
  <cellStyles count="1">
    <cellStyle name="Normal" xfId="0" builtinId="0"/>
  </cellStyles>
  <dxfs count="2">
    <dxf>
      <font>
        <b/>
        <color rgb="FF9C4A2B"/>
      </font>
      <fill>
        <patternFill>
          <bgColor rgb="FFFCE4D6"/>
        </patternFill>
      </fill>
    </dxf>
    <dxf>
      <font>
        <b/>
        <color rgb="FF1A6B3C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workbookViewId="0">
      <selection sqref="A1:F1"/>
    </sheetView>
  </sheetViews>
  <sheetFormatPr baseColWidth="10" defaultColWidth="8.83203125" defaultRowHeight="15" x14ac:dyDescent="0.2"/>
  <cols>
    <col min="1" max="1" width="12" customWidth="1"/>
    <col min="2" max="2" width="70" customWidth="1"/>
    <col min="3" max="3" width="20" customWidth="1"/>
    <col min="4" max="6" width="16" customWidth="1"/>
  </cols>
  <sheetData>
    <row r="1" spans="1:6" ht="26" customHeight="1" x14ac:dyDescent="0.2">
      <c r="A1" s="54" t="s">
        <v>0</v>
      </c>
      <c r="B1" s="52"/>
      <c r="C1" s="52"/>
      <c r="D1" s="52"/>
      <c r="E1" s="52"/>
      <c r="F1" s="52"/>
    </row>
    <row r="2" spans="1:6" ht="32" customHeight="1" x14ac:dyDescent="0.2">
      <c r="A2" s="51" t="s">
        <v>1</v>
      </c>
      <c r="B2" s="52"/>
      <c r="C2" s="52"/>
      <c r="D2" s="52"/>
      <c r="E2" s="52"/>
      <c r="F2" s="52"/>
    </row>
    <row r="3" spans="1:6" x14ac:dyDescent="0.2">
      <c r="A3" s="1"/>
      <c r="B3" s="1"/>
      <c r="C3" s="1"/>
      <c r="D3" s="1"/>
      <c r="E3" s="1"/>
      <c r="F3" s="1"/>
    </row>
    <row r="4" spans="1:6" ht="22" customHeight="1" x14ac:dyDescent="0.2">
      <c r="A4" s="55" t="s">
        <v>2</v>
      </c>
      <c r="B4" s="52"/>
      <c r="C4" s="52"/>
      <c r="D4" s="52"/>
      <c r="E4" s="52"/>
      <c r="F4" s="52"/>
    </row>
    <row r="5" spans="1:6" ht="16" customHeight="1" x14ac:dyDescent="0.2">
      <c r="A5" s="1" t="s">
        <v>3</v>
      </c>
      <c r="B5" s="1" t="s">
        <v>4</v>
      </c>
      <c r="C5" s="1"/>
      <c r="D5" s="1"/>
      <c r="E5" s="1"/>
      <c r="F5" s="1"/>
    </row>
    <row r="6" spans="1:6" ht="16" customHeight="1" x14ac:dyDescent="0.2">
      <c r="A6" s="1" t="s">
        <v>5</v>
      </c>
      <c r="B6" s="1" t="s">
        <v>6</v>
      </c>
      <c r="C6" s="1"/>
      <c r="D6" s="1"/>
      <c r="E6" s="1"/>
      <c r="F6" s="1"/>
    </row>
    <row r="7" spans="1:6" ht="16" customHeight="1" x14ac:dyDescent="0.2">
      <c r="A7" s="1" t="s">
        <v>7</v>
      </c>
      <c r="B7" s="1" t="s">
        <v>8</v>
      </c>
      <c r="C7" s="1"/>
      <c r="D7" s="1"/>
      <c r="E7" s="1"/>
      <c r="F7" s="1"/>
    </row>
    <row r="8" spans="1:6" ht="16" customHeight="1" x14ac:dyDescent="0.2">
      <c r="A8" s="1" t="s">
        <v>9</v>
      </c>
      <c r="B8" s="1" t="s">
        <v>10</v>
      </c>
      <c r="C8" s="1"/>
      <c r="D8" s="1"/>
      <c r="E8" s="1"/>
      <c r="F8" s="1"/>
    </row>
    <row r="9" spans="1:6" ht="32" customHeight="1" x14ac:dyDescent="0.2">
      <c r="A9" s="1" t="s">
        <v>11</v>
      </c>
      <c r="B9" s="1" t="s">
        <v>12</v>
      </c>
      <c r="C9" s="1"/>
      <c r="D9" s="1"/>
      <c r="E9" s="1"/>
      <c r="F9" s="1"/>
    </row>
    <row r="10" spans="1:6" x14ac:dyDescent="0.2">
      <c r="A10" s="1"/>
      <c r="B10" s="1"/>
      <c r="C10" s="1"/>
      <c r="D10" s="1"/>
      <c r="E10" s="1"/>
      <c r="F10" s="1"/>
    </row>
    <row r="11" spans="1:6" ht="22" customHeight="1" x14ac:dyDescent="0.2">
      <c r="A11" s="53" t="s">
        <v>13</v>
      </c>
      <c r="B11" s="52"/>
      <c r="C11" s="52"/>
      <c r="D11" s="52"/>
      <c r="E11" s="52"/>
      <c r="F11" s="52"/>
    </row>
    <row r="12" spans="1:6" ht="16" customHeight="1" x14ac:dyDescent="0.2">
      <c r="A12" s="1" t="s">
        <v>14</v>
      </c>
      <c r="B12" s="1" t="s">
        <v>15</v>
      </c>
      <c r="C12" s="1"/>
      <c r="D12" s="1"/>
      <c r="E12" s="1"/>
      <c r="F12" s="1"/>
    </row>
    <row r="13" spans="1:6" ht="32" customHeight="1" x14ac:dyDescent="0.2">
      <c r="A13" s="1" t="s">
        <v>16</v>
      </c>
      <c r="B13" s="1" t="s">
        <v>17</v>
      </c>
      <c r="C13" s="1"/>
      <c r="D13" s="1"/>
      <c r="E13" s="1"/>
      <c r="F13" s="1"/>
    </row>
    <row r="14" spans="1:6" ht="32" customHeight="1" x14ac:dyDescent="0.2">
      <c r="A14" s="1" t="s">
        <v>18</v>
      </c>
      <c r="B14" s="1" t="s">
        <v>19</v>
      </c>
      <c r="C14" s="1"/>
      <c r="D14" s="1"/>
      <c r="E14" s="1"/>
      <c r="F14" s="1"/>
    </row>
    <row r="15" spans="1:6" x14ac:dyDescent="0.2">
      <c r="A15" s="1"/>
      <c r="B15" s="1"/>
      <c r="C15" s="1"/>
      <c r="D15" s="1"/>
      <c r="E15" s="1"/>
      <c r="F15" s="1"/>
    </row>
    <row r="16" spans="1:6" ht="32" x14ac:dyDescent="0.2">
      <c r="A16" s="10" t="s">
        <v>20</v>
      </c>
      <c r="B16" s="10" t="s">
        <v>21</v>
      </c>
      <c r="C16" s="1"/>
      <c r="D16" s="1"/>
      <c r="E16" s="1"/>
      <c r="F16" s="1"/>
    </row>
    <row r="17" spans="1:6" ht="32" customHeight="1" x14ac:dyDescent="0.2">
      <c r="A17" s="34" t="s">
        <v>22</v>
      </c>
      <c r="B17" s="56" t="s">
        <v>23</v>
      </c>
      <c r="C17" s="56"/>
      <c r="D17" s="56"/>
      <c r="E17" s="56"/>
      <c r="F17" s="56"/>
    </row>
    <row r="18" spans="1:6" ht="16" customHeight="1" x14ac:dyDescent="0.2">
      <c r="A18" s="1">
        <v>1</v>
      </c>
      <c r="B18" s="1" t="s">
        <v>24</v>
      </c>
      <c r="C18" s="1"/>
      <c r="D18" s="1"/>
      <c r="E18" s="1"/>
      <c r="F18" s="1"/>
    </row>
    <row r="19" spans="1:6" ht="16" customHeight="1" x14ac:dyDescent="0.2">
      <c r="A19" s="1">
        <v>2</v>
      </c>
      <c r="B19" s="1" t="s">
        <v>25</v>
      </c>
      <c r="C19" s="1"/>
      <c r="D19" s="1"/>
      <c r="E19" s="1"/>
      <c r="F19" s="1"/>
    </row>
    <row r="20" spans="1:6" ht="16" customHeight="1" x14ac:dyDescent="0.2">
      <c r="A20" s="1">
        <v>3</v>
      </c>
      <c r="B20" s="1" t="s">
        <v>26</v>
      </c>
      <c r="C20" s="1"/>
      <c r="D20" s="1"/>
      <c r="E20" s="1"/>
      <c r="F20" s="1"/>
    </row>
    <row r="21" spans="1:6" ht="16" customHeight="1" x14ac:dyDescent="0.2">
      <c r="A21" s="1">
        <v>4</v>
      </c>
      <c r="B21" s="1" t="s">
        <v>27</v>
      </c>
      <c r="C21" s="1"/>
      <c r="D21" s="1"/>
      <c r="E21" s="1"/>
      <c r="F21" s="1"/>
    </row>
    <row r="22" spans="1:6" x14ac:dyDescent="0.2">
      <c r="A22" s="1"/>
      <c r="B22" s="1"/>
      <c r="C22" s="1"/>
      <c r="D22" s="1"/>
      <c r="E22" s="1"/>
      <c r="F22" s="1"/>
    </row>
  </sheetData>
  <mergeCells count="5">
    <mergeCell ref="A2:F2"/>
    <mergeCell ref="A11:F11"/>
    <mergeCell ref="A1:F1"/>
    <mergeCell ref="A4:F4"/>
    <mergeCell ref="B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showGridLines="0" workbookViewId="0">
      <selection sqref="A1:J1"/>
    </sheetView>
  </sheetViews>
  <sheetFormatPr baseColWidth="10" defaultColWidth="8.83203125" defaultRowHeight="15" x14ac:dyDescent="0.2"/>
  <cols>
    <col min="1" max="1" width="13" customWidth="1"/>
    <col min="2" max="2" width="10" customWidth="1"/>
    <col min="3" max="3" width="38" customWidth="1"/>
    <col min="4" max="7" width="14" customWidth="1"/>
    <col min="8" max="8" width="20" customWidth="1"/>
    <col min="9" max="9" width="34" customWidth="1"/>
    <col min="10" max="10" width="28" customWidth="1"/>
  </cols>
  <sheetData>
    <row r="1" spans="1:10" ht="26" customHeight="1" x14ac:dyDescent="0.2">
      <c r="A1" s="54" t="s">
        <v>28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32" customHeight="1" x14ac:dyDescent="0.2">
      <c r="A2" s="51" t="s">
        <v>29</v>
      </c>
      <c r="B2" s="52"/>
      <c r="C2" s="52"/>
      <c r="D2" s="52"/>
      <c r="E2" s="52"/>
      <c r="F2" s="52"/>
      <c r="G2" s="52"/>
      <c r="H2" s="52"/>
      <c r="I2" s="52"/>
      <c r="J2" s="52"/>
    </row>
    <row r="3" spans="1:10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2" customHeight="1" x14ac:dyDescent="0.2">
      <c r="A4" s="55" t="s">
        <v>30</v>
      </c>
      <c r="B4" s="52"/>
      <c r="C4" s="52"/>
      <c r="D4" s="52"/>
      <c r="E4" s="52"/>
      <c r="F4" s="52"/>
      <c r="G4" s="52"/>
      <c r="H4" s="52"/>
      <c r="I4" s="52"/>
      <c r="J4" s="52"/>
    </row>
    <row r="5" spans="1:10" ht="32" customHeight="1" x14ac:dyDescent="0.2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 spans="1:10" ht="48" customHeight="1" x14ac:dyDescent="0.2">
      <c r="A6" s="1" t="s">
        <v>41</v>
      </c>
      <c r="B6" s="1">
        <v>8</v>
      </c>
      <c r="C6" s="35" t="s">
        <v>42</v>
      </c>
      <c r="D6" s="11">
        <v>40000</v>
      </c>
      <c r="E6" s="12">
        <v>0.04</v>
      </c>
      <c r="F6" s="13">
        <v>3</v>
      </c>
      <c r="G6" s="13">
        <v>1</v>
      </c>
      <c r="H6" s="18"/>
      <c r="I6" s="3" t="s">
        <v>43</v>
      </c>
      <c r="J6" s="36" t="str">
        <f ca="1">IF(H6="","Enter the FV formula.",IF(NOT(_xlfn.ISFORMULA(H6)),"Correct values must be built with a formula.",IF(AND(ABS(H6-(44994.56))&lt;0.02,ISNUMBER(SEARCH("D6",_xlfn.FORMULATEXT(H6))),ISNUMBER(SEARCH("E6",_xlfn.FORMULATEXT(H6))),ISNUMBER(SEARCH("F6",_xlfn.FORMULATEXT(H6))),ISNUMBER(SEARCH("G6",_xlfn.FORMULATEXT(H6)))),"Correct formula, references, and value.","Check D6:G6, period timing, and the present-value sign.")))</f>
        <v>Enter the FV formula.</v>
      </c>
    </row>
    <row r="7" spans="1:10" ht="48" customHeight="1" x14ac:dyDescent="0.2">
      <c r="A7" s="1" t="s">
        <v>44</v>
      </c>
      <c r="B7" s="1">
        <v>8</v>
      </c>
      <c r="C7" s="35" t="s">
        <v>45</v>
      </c>
      <c r="D7" s="14">
        <v>40000</v>
      </c>
      <c r="E7" s="15">
        <v>0.04</v>
      </c>
      <c r="F7" s="16">
        <v>3</v>
      </c>
      <c r="G7" s="16">
        <v>1</v>
      </c>
      <c r="H7" s="19"/>
      <c r="I7" s="3" t="s">
        <v>46</v>
      </c>
      <c r="J7" s="36" t="str">
        <f ca="1">IF(H7="","Enter the manual verification formula.",IF(NOT(_xlfn.ISFORMULA(H7)),"Correct values must be built with a formula.",IF(AND(ABS(H7-(44994.56))&lt;0.02,ISNUMBER(SEARCH("D7",_xlfn.FORMULATEXT(H7))),ISNUMBER(SEARCH("E7",_xlfn.FORMULATEXT(H7))),ISNUMBER(SEARCH("F7",_xlfn.FORMULATEXT(H7)))),"Correct formula, references, and value.","Check the principal, growth factor, and exponent references.")))</f>
        <v>Enter the manual verification formula.</v>
      </c>
    </row>
    <row r="8" spans="1:10" ht="48" customHeight="1" x14ac:dyDescent="0.2">
      <c r="A8" s="1" t="s">
        <v>47</v>
      </c>
      <c r="B8" s="1">
        <v>19</v>
      </c>
      <c r="C8" s="35" t="s">
        <v>48</v>
      </c>
      <c r="D8" s="14">
        <v>25000</v>
      </c>
      <c r="E8" s="15">
        <v>0.06</v>
      </c>
      <c r="F8" s="16">
        <v>5</v>
      </c>
      <c r="G8" s="16">
        <v>4</v>
      </c>
      <c r="H8" s="38"/>
      <c r="I8" s="3" t="s">
        <v>49</v>
      </c>
      <c r="J8" s="36" t="str">
        <f ca="1">IF(H8="","Enter the rate-per-period formula.",IF(NOT(_xlfn.ISFORMULA(H8)),"Correct values must be built with a formula.",IF(AND(ABS(H8-(0.015))&lt;0.000001,ISNUMBER(SEARCH("E8",_xlfn.FORMULATEXT(H8))),ISNUMBER(SEARCH("G8",_xlfn.FORMULATEXT(H8)))),"Correct formula, references, and value.","Divide E8 by G8 using references.")))</f>
        <v>Enter the rate-per-period formula.</v>
      </c>
    </row>
    <row r="9" spans="1:10" ht="48" customHeight="1" x14ac:dyDescent="0.2">
      <c r="A9" s="1" t="s">
        <v>47</v>
      </c>
      <c r="B9" s="1">
        <v>19</v>
      </c>
      <c r="C9" s="35" t="s">
        <v>50</v>
      </c>
      <c r="D9" s="14">
        <v>25000</v>
      </c>
      <c r="E9" s="15">
        <v>0.06</v>
      </c>
      <c r="F9" s="16">
        <v>5</v>
      </c>
      <c r="G9" s="16">
        <v>4</v>
      </c>
      <c r="H9" s="39"/>
      <c r="I9" s="3" t="s">
        <v>51</v>
      </c>
      <c r="J9" s="36" t="str">
        <f ca="1">IF(H9="","Enter the total-periods formula.",IF(NOT(_xlfn.ISFORMULA(H9)),"Correct values must be built with a formula.",IF(AND(ABS(H9-(20))&lt;0.000001,ISNUMBER(SEARCH("F9",_xlfn.FORMULATEXT(H9))),ISNUMBER(SEARCH("G9",_xlfn.FORMULATEXT(H9)))),"Correct formula, references, and value.","Multiply F9 by G9 using references.")))</f>
        <v>Enter the total-periods formula.</v>
      </c>
    </row>
    <row r="10" spans="1:10" ht="48" customHeight="1" x14ac:dyDescent="0.2">
      <c r="A10" s="1" t="s">
        <v>47</v>
      </c>
      <c r="B10" s="1">
        <v>19</v>
      </c>
      <c r="C10" s="35" t="s">
        <v>52</v>
      </c>
      <c r="D10" s="14">
        <v>25000</v>
      </c>
      <c r="E10" s="15">
        <v>0.06</v>
      </c>
      <c r="F10" s="16">
        <v>5</v>
      </c>
      <c r="G10" s="16">
        <v>4</v>
      </c>
      <c r="H10" s="20"/>
      <c r="I10" s="3" t="s">
        <v>53</v>
      </c>
      <c r="J10" s="36" t="str">
        <f ca="1">IF(H10="","Enter the quarterly FV formula.",IF(NOT(_xlfn.ISFORMULA(H10)),"Correct values must be built with a formula.",IF(AND(ABS(H10-(33671.38))&lt;0.02,ISNUMBER(SEARCH("D10",_xlfn.FORMULATEXT(H10))),ISNUMBER(SEARCH("E10",_xlfn.FORMULATEXT(H10))),ISNUMBER(SEARCH("F10",_xlfn.FORMULATEXT(H10))),ISNUMBER(SEARCH("G10",_xlfn.FORMULATEXT(H10)))),"Correct formula, references, and value.","Use D10:G10 and adjust both rate and periods.")))</f>
        <v>Enter the quarterly FV formula.</v>
      </c>
    </row>
    <row r="11" spans="1:10" ht="48" customHeight="1" x14ac:dyDescent="0.2">
      <c r="A11" s="1" t="s">
        <v>54</v>
      </c>
      <c r="B11" s="1">
        <v>23</v>
      </c>
      <c r="C11" s="35" t="s">
        <v>55</v>
      </c>
      <c r="D11" s="37">
        <v>7</v>
      </c>
      <c r="E11" s="16"/>
      <c r="F11" s="16"/>
      <c r="G11" s="16"/>
      <c r="H11" s="8"/>
      <c r="I11" s="3" t="s">
        <v>56</v>
      </c>
      <c r="J11" s="36" t="str">
        <f ca="1">IF(H11="","Enter the Rule of 72 formula.",IF(NOT(_xlfn.ISFORMULA(H11)),"Correct values must be built with a formula.",IF(AND(ABS(H11-(10.2857142857142))&lt;0.0001,ISNUMBER(SEARCH("D11",_xlfn.FORMULATEXT(H11)))),"Correct formula, references, and value.","Use 72 divided by the whole-percent rate in D11.")))</f>
        <v>Enter the Rule of 72 formula.</v>
      </c>
    </row>
    <row r="12" spans="1:10" ht="48" customHeight="1" x14ac:dyDescent="0.2">
      <c r="A12" s="1" t="s">
        <v>54</v>
      </c>
      <c r="B12" s="1">
        <v>23</v>
      </c>
      <c r="C12" s="35" t="s">
        <v>57</v>
      </c>
      <c r="D12" s="17">
        <v>1</v>
      </c>
      <c r="E12" s="16">
        <v>7.0000000000000007E-2</v>
      </c>
      <c r="F12" s="16">
        <v>2</v>
      </c>
      <c r="G12" s="16"/>
      <c r="H12" s="9"/>
      <c r="I12" s="3" t="s">
        <v>58</v>
      </c>
      <c r="J12" s="36" t="str">
        <f ca="1">IF(H12="","Enter the exact NPER formula.",IF(NOT(_xlfn.ISFORMULA(H12)),"Correct values must be built with a formula.",IF(AND(ABS(H12-(10.2447683510587))&lt;0.0001,ISNUMBER(SEARCH("D12",_xlfn.FORMULATEXT(H12))),ISNUMBER(SEARCH("E12",_xlfn.FORMULATEXT(H12))),ISNUMBER(SEARCH("F12",_xlfn.FORMULATEXT(H12)))),"Correct formula, references, and value.","Use E12 as rate, negative D12 as pv, and F12 as fv.")))</f>
        <v>Enter the exact NPER formula.</v>
      </c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6" customHeight="1" x14ac:dyDescent="0.2">
      <c r="A14" s="21" t="s">
        <v>59</v>
      </c>
      <c r="B14" s="21" t="str">
        <f ca="1">COUNTIF(J6:J12,"Correct formula*")&amp;" of 7 complete"</f>
        <v>0 of 7 complete</v>
      </c>
      <c r="C14" s="1"/>
      <c r="D14" s="1"/>
      <c r="E14" s="1"/>
      <c r="F14" s="1"/>
      <c r="G14" s="1"/>
      <c r="H14" s="1"/>
      <c r="I14" s="1"/>
      <c r="J14" s="1"/>
    </row>
  </sheetData>
  <mergeCells count="3">
    <mergeCell ref="A1:J1"/>
    <mergeCell ref="A4:J4"/>
    <mergeCell ref="A2:J2"/>
  </mergeCells>
  <conditionalFormatting sqref="J6:J12">
    <cfRule type="containsText" dxfId="1" priority="1" operator="containsText" text="Correct formula"/>
    <cfRule type="containsText" dxfId="0" priority="2" operator="containsText" text="Check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showGridLines="0" workbookViewId="0">
      <selection sqref="A1:I1"/>
    </sheetView>
  </sheetViews>
  <sheetFormatPr baseColWidth="10" defaultColWidth="8.83203125" defaultRowHeight="15" x14ac:dyDescent="0.2"/>
  <cols>
    <col min="1" max="1" width="7" customWidth="1"/>
    <col min="2" max="2" width="58" customWidth="1"/>
    <col min="3" max="6" width="12" customWidth="1"/>
    <col min="7" max="7" width="18" customWidth="1"/>
    <col min="8" max="8" width="34" customWidth="1"/>
    <col min="9" max="9" width="34" hidden="1" customWidth="1"/>
  </cols>
  <sheetData>
    <row r="1" spans="1:9" ht="26" customHeight="1" x14ac:dyDescent="0.2">
      <c r="A1" s="54" t="s">
        <v>60</v>
      </c>
      <c r="B1" s="52"/>
      <c r="C1" s="52"/>
      <c r="D1" s="52"/>
      <c r="E1" s="52"/>
      <c r="F1" s="52"/>
      <c r="G1" s="52"/>
      <c r="H1" s="52"/>
      <c r="I1" s="52"/>
    </row>
    <row r="2" spans="1:9" ht="42" customHeight="1" x14ac:dyDescent="0.2">
      <c r="A2" s="51" t="s">
        <v>61</v>
      </c>
      <c r="B2" s="52"/>
      <c r="C2" s="52"/>
      <c r="D2" s="52"/>
      <c r="E2" s="52"/>
      <c r="F2" s="52"/>
      <c r="G2" s="52"/>
      <c r="H2" s="52"/>
      <c r="I2" s="52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ht="22" customHeight="1" x14ac:dyDescent="0.2">
      <c r="A4" s="57" t="s">
        <v>62</v>
      </c>
      <c r="B4" s="52"/>
      <c r="C4" s="52"/>
      <c r="D4" s="52"/>
      <c r="E4" s="52"/>
      <c r="F4" s="52"/>
      <c r="G4" s="52"/>
      <c r="H4" s="52"/>
      <c r="I4" s="52"/>
    </row>
    <row r="5" spans="1:9" ht="32" customHeight="1" x14ac:dyDescent="0.2">
      <c r="A5" s="2" t="s">
        <v>63</v>
      </c>
      <c r="B5" s="2" t="s">
        <v>64</v>
      </c>
      <c r="C5" s="2" t="s">
        <v>65</v>
      </c>
      <c r="D5" s="2" t="s">
        <v>35</v>
      </c>
      <c r="E5" s="2" t="s">
        <v>66</v>
      </c>
      <c r="F5" s="2" t="s">
        <v>37</v>
      </c>
      <c r="G5" s="2" t="s">
        <v>38</v>
      </c>
      <c r="H5" s="2" t="s">
        <v>67</v>
      </c>
      <c r="I5" s="2" t="s">
        <v>68</v>
      </c>
    </row>
    <row r="6" spans="1:9" ht="52" customHeight="1" x14ac:dyDescent="0.2">
      <c r="A6" s="5">
        <v>1</v>
      </c>
      <c r="B6" s="40" t="s">
        <v>69</v>
      </c>
      <c r="C6" s="28">
        <v>100000</v>
      </c>
      <c r="D6" s="29">
        <v>0.04</v>
      </c>
      <c r="E6" s="30">
        <v>10</v>
      </c>
      <c r="F6" s="30">
        <v>1</v>
      </c>
      <c r="G6" s="31"/>
      <c r="H6" s="3" t="s">
        <v>70</v>
      </c>
      <c r="I6" s="4"/>
    </row>
    <row r="7" spans="1:9" ht="52" customHeight="1" x14ac:dyDescent="0.2">
      <c r="A7" s="5">
        <v>2</v>
      </c>
      <c r="B7" s="40" t="s">
        <v>71</v>
      </c>
      <c r="C7" s="28">
        <v>100000</v>
      </c>
      <c r="D7" s="29">
        <v>3.7999999999999999E-2</v>
      </c>
      <c r="E7" s="30">
        <v>10</v>
      </c>
      <c r="F7" s="30">
        <v>12</v>
      </c>
      <c r="G7" s="31"/>
      <c r="H7" s="3" t="s">
        <v>72</v>
      </c>
      <c r="I7" s="4"/>
    </row>
    <row r="8" spans="1:9" ht="48" customHeight="1" x14ac:dyDescent="0.2">
      <c r="A8" s="5">
        <v>3</v>
      </c>
      <c r="B8" s="40" t="s">
        <v>73</v>
      </c>
      <c r="C8" s="5"/>
      <c r="D8" s="5"/>
      <c r="E8" s="5"/>
      <c r="F8" s="5"/>
      <c r="G8" s="31"/>
      <c r="H8" s="3" t="s">
        <v>74</v>
      </c>
      <c r="I8" s="4"/>
    </row>
    <row r="9" spans="1:9" ht="62" customHeight="1" x14ac:dyDescent="0.2">
      <c r="A9" s="5">
        <v>4</v>
      </c>
      <c r="B9" s="40" t="s">
        <v>75</v>
      </c>
      <c r="C9" s="6"/>
      <c r="D9" s="6"/>
      <c r="E9" s="6"/>
      <c r="F9" s="6"/>
      <c r="G9" s="58"/>
      <c r="H9" s="59" t="s">
        <v>76</v>
      </c>
      <c r="I9" s="60"/>
    </row>
    <row r="10" spans="1:9" ht="48" customHeight="1" x14ac:dyDescent="0.2">
      <c r="A10" s="22"/>
      <c r="B10" s="23"/>
      <c r="C10" s="22"/>
      <c r="D10" s="22"/>
      <c r="E10" s="22"/>
      <c r="F10" s="22"/>
      <c r="G10" s="61"/>
      <c r="H10" s="62"/>
      <c r="I10" s="62"/>
    </row>
    <row r="11" spans="1:9" ht="48" customHeight="1" x14ac:dyDescent="0.2">
      <c r="A11" s="22"/>
      <c r="B11" s="23"/>
      <c r="C11" s="22"/>
      <c r="D11" s="22"/>
      <c r="E11" s="22"/>
      <c r="F11" s="22"/>
      <c r="G11" s="61"/>
      <c r="H11" s="62"/>
      <c r="I11" s="62"/>
    </row>
    <row r="12" spans="1:9" ht="48" customHeight="1" x14ac:dyDescent="0.2">
      <c r="A12" s="22"/>
      <c r="B12" s="23"/>
      <c r="C12" s="22"/>
      <c r="D12" s="22"/>
      <c r="E12" s="22"/>
      <c r="F12" s="22"/>
      <c r="G12" s="24"/>
      <c r="H12" s="25"/>
      <c r="I12" s="25"/>
    </row>
    <row r="13" spans="1:9" ht="48" customHeight="1" x14ac:dyDescent="0.2">
      <c r="A13" s="22"/>
      <c r="B13" s="23"/>
      <c r="C13" s="22"/>
      <c r="D13" s="22"/>
      <c r="E13" s="22"/>
      <c r="F13" s="22"/>
      <c r="G13" s="24"/>
      <c r="H13" s="25"/>
      <c r="I13" s="25"/>
    </row>
    <row r="14" spans="1:9" ht="34" customHeight="1" x14ac:dyDescent="0.2">
      <c r="A14" s="22"/>
      <c r="B14" s="23"/>
      <c r="C14" s="22"/>
      <c r="D14" s="22"/>
      <c r="E14" s="22"/>
      <c r="F14" s="22"/>
      <c r="G14" s="26"/>
      <c r="H14" s="25"/>
      <c r="I14" s="25"/>
    </row>
    <row r="15" spans="1:9" ht="34" customHeight="1" x14ac:dyDescent="0.2">
      <c r="A15" s="22"/>
      <c r="B15" s="23"/>
      <c r="C15" s="22"/>
      <c r="D15" s="22"/>
      <c r="E15" s="22"/>
      <c r="F15" s="22"/>
      <c r="G15" s="27"/>
      <c r="H15" s="25"/>
      <c r="I15" s="25"/>
    </row>
    <row r="16" spans="1:9" ht="48" customHeight="1" x14ac:dyDescent="0.2">
      <c r="A16" s="22"/>
      <c r="B16" s="23"/>
      <c r="C16" s="22"/>
      <c r="D16" s="22"/>
      <c r="E16" s="22"/>
      <c r="F16" s="22"/>
      <c r="G16" s="24"/>
      <c r="H16" s="25"/>
      <c r="I16" s="25"/>
    </row>
    <row r="17" spans="1:9" ht="34" customHeight="1" x14ac:dyDescent="0.2">
      <c r="A17" s="22"/>
      <c r="B17" s="23"/>
      <c r="C17" s="22"/>
      <c r="D17" s="22"/>
      <c r="E17" s="22"/>
      <c r="F17" s="22"/>
      <c r="G17" s="27"/>
      <c r="H17" s="25"/>
      <c r="I17" s="25"/>
    </row>
    <row r="18" spans="1:9" ht="34" customHeight="1" x14ac:dyDescent="0.2">
      <c r="A18" s="22"/>
      <c r="B18" s="23"/>
      <c r="C18" s="22"/>
      <c r="D18" s="22"/>
      <c r="E18" s="22"/>
      <c r="F18" s="22"/>
      <c r="G18" s="24"/>
      <c r="H18" s="25"/>
      <c r="I18" s="25"/>
    </row>
    <row r="19" spans="1:9" ht="34" customHeight="1" x14ac:dyDescent="0.2">
      <c r="A19" s="22"/>
      <c r="B19" s="23"/>
      <c r="C19" s="22"/>
      <c r="D19" s="22"/>
      <c r="E19" s="22"/>
      <c r="F19" s="22"/>
      <c r="G19" s="24"/>
      <c r="H19" s="25"/>
      <c r="I19" s="25"/>
    </row>
    <row r="20" spans="1:9" ht="62" customHeight="1" x14ac:dyDescent="0.2">
      <c r="A20" s="22"/>
      <c r="B20" s="23"/>
      <c r="C20" s="22"/>
      <c r="D20" s="22"/>
      <c r="E20" s="22"/>
      <c r="F20" s="22"/>
      <c r="G20" s="24"/>
      <c r="H20" s="25"/>
      <c r="I20" s="25"/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</sheetData>
  <mergeCells count="4">
    <mergeCell ref="A1:I1"/>
    <mergeCell ref="A4:I4"/>
    <mergeCell ref="A2:I2"/>
    <mergeCell ref="G9:I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24" customWidth="1"/>
    <col min="2" max="2" width="35" customWidth="1"/>
    <col min="3" max="3" width="42" customWidth="1"/>
    <col min="4" max="4" width="38" customWidth="1"/>
  </cols>
  <sheetData>
    <row r="1" spans="1:4" ht="26" customHeight="1" x14ac:dyDescent="0.2">
      <c r="A1" s="54" t="s">
        <v>77</v>
      </c>
      <c r="B1" s="52"/>
      <c r="C1" s="52"/>
      <c r="D1" s="52"/>
    </row>
    <row r="2" spans="1:4" ht="32" customHeight="1" x14ac:dyDescent="0.2">
      <c r="A2" s="51" t="s">
        <v>78</v>
      </c>
      <c r="B2" s="52"/>
      <c r="C2" s="52"/>
      <c r="D2" s="52"/>
    </row>
    <row r="3" spans="1:4" x14ac:dyDescent="0.2">
      <c r="A3" s="1"/>
      <c r="B3" s="1"/>
      <c r="C3" s="1"/>
      <c r="D3" s="1"/>
    </row>
    <row r="4" spans="1:4" ht="32" customHeight="1" x14ac:dyDescent="0.2">
      <c r="A4" s="2" t="s">
        <v>79</v>
      </c>
      <c r="B4" s="2" t="s">
        <v>80</v>
      </c>
      <c r="C4" s="2" t="s">
        <v>81</v>
      </c>
      <c r="D4" s="2" t="s">
        <v>82</v>
      </c>
    </row>
    <row r="5" spans="1:4" ht="16" customHeight="1" x14ac:dyDescent="0.2">
      <c r="A5" s="1" t="s">
        <v>83</v>
      </c>
      <c r="B5" s="7" t="s">
        <v>84</v>
      </c>
      <c r="C5" s="1" t="s">
        <v>85</v>
      </c>
      <c r="D5" s="1" t="s">
        <v>86</v>
      </c>
    </row>
    <row r="6" spans="1:4" ht="16" customHeight="1" x14ac:dyDescent="0.2">
      <c r="A6" s="1" t="s">
        <v>87</v>
      </c>
      <c r="B6" s="7" t="s">
        <v>88</v>
      </c>
      <c r="C6" s="1" t="s">
        <v>89</v>
      </c>
      <c r="D6" s="1" t="s">
        <v>90</v>
      </c>
    </row>
    <row r="7" spans="1:4" ht="32" customHeight="1" x14ac:dyDescent="0.2">
      <c r="A7" s="1" t="s">
        <v>91</v>
      </c>
      <c r="B7" s="7" t="s">
        <v>92</v>
      </c>
      <c r="C7" s="1" t="s">
        <v>93</v>
      </c>
      <c r="D7" s="1" t="s">
        <v>94</v>
      </c>
    </row>
    <row r="8" spans="1:4" ht="16" customHeight="1" x14ac:dyDescent="0.2">
      <c r="A8" s="1" t="s">
        <v>95</v>
      </c>
      <c r="B8" s="7" t="s">
        <v>96</v>
      </c>
      <c r="C8" s="1" t="s">
        <v>97</v>
      </c>
      <c r="D8" s="1" t="s">
        <v>98</v>
      </c>
    </row>
    <row r="9" spans="1:4" ht="16" customHeight="1" x14ac:dyDescent="0.2">
      <c r="A9" s="1" t="s">
        <v>54</v>
      </c>
      <c r="B9" s="7" t="s">
        <v>99</v>
      </c>
      <c r="C9" s="1" t="s">
        <v>100</v>
      </c>
      <c r="D9" s="1" t="s">
        <v>101</v>
      </c>
    </row>
    <row r="10" spans="1:4" ht="32" customHeight="1" x14ac:dyDescent="0.2">
      <c r="A10" s="1" t="s">
        <v>102</v>
      </c>
      <c r="B10" s="7" t="s">
        <v>103</v>
      </c>
      <c r="C10" s="1" t="s">
        <v>104</v>
      </c>
      <c r="D10" s="1" t="s">
        <v>105</v>
      </c>
    </row>
    <row r="11" spans="1:4" ht="16" x14ac:dyDescent="0.2">
      <c r="A11" s="32" t="s">
        <v>106</v>
      </c>
      <c r="B11" s="33" t="s">
        <v>107</v>
      </c>
      <c r="C11" s="32" t="s">
        <v>108</v>
      </c>
      <c r="D11" s="32" t="s">
        <v>109</v>
      </c>
    </row>
    <row r="12" spans="1:4" x14ac:dyDescent="0.2">
      <c r="A12" t="s">
        <v>110</v>
      </c>
      <c r="B12" t="s">
        <v>111</v>
      </c>
      <c r="C12" t="s">
        <v>112</v>
      </c>
      <c r="D12" t="s">
        <v>113</v>
      </c>
    </row>
    <row r="13" spans="1:4" x14ac:dyDescent="0.2">
      <c r="A13" t="s">
        <v>114</v>
      </c>
      <c r="B13" t="s">
        <v>115</v>
      </c>
      <c r="C13" t="s">
        <v>116</v>
      </c>
      <c r="D13" t="s">
        <v>117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9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" customWidth="1"/>
    <col min="2" max="2" width="43" customWidth="1"/>
    <col min="3" max="3" width="18" customWidth="1"/>
    <col min="4" max="4" width="3" customWidth="1"/>
    <col min="5" max="5" width="20" customWidth="1"/>
    <col min="6" max="6" width="45" customWidth="1"/>
  </cols>
  <sheetData>
    <row r="1" spans="1:6" ht="30" customHeight="1" x14ac:dyDescent="0.25">
      <c r="A1" s="41"/>
      <c r="B1" s="63" t="s">
        <v>118</v>
      </c>
      <c r="C1" s="63"/>
      <c r="D1" s="63"/>
      <c r="E1" s="63"/>
      <c r="F1" s="63"/>
    </row>
    <row r="2" spans="1:6" ht="38" customHeight="1" x14ac:dyDescent="0.2">
      <c r="A2" s="41"/>
      <c r="B2" s="64" t="s">
        <v>119</v>
      </c>
      <c r="C2" s="64"/>
      <c r="D2" s="64"/>
      <c r="E2" s="64"/>
      <c r="F2" s="64"/>
    </row>
    <row r="3" spans="1:6" ht="38" customHeight="1" x14ac:dyDescent="0.2">
      <c r="A3" s="41"/>
      <c r="B3" s="64" t="s">
        <v>120</v>
      </c>
      <c r="C3" s="64"/>
      <c r="D3" s="64"/>
      <c r="E3" s="64"/>
      <c r="F3" s="64"/>
    </row>
    <row r="4" spans="1:6" ht="25" customHeight="1" x14ac:dyDescent="0.2">
      <c r="A4" s="41"/>
      <c r="B4" s="41"/>
      <c r="C4" s="41"/>
      <c r="D4" s="41"/>
      <c r="E4" s="41"/>
      <c r="F4" s="41"/>
    </row>
    <row r="5" spans="1:6" ht="30" customHeight="1" x14ac:dyDescent="0.25">
      <c r="A5" s="41"/>
      <c r="B5" s="63" t="s">
        <v>121</v>
      </c>
      <c r="C5" s="63"/>
      <c r="D5" s="63"/>
      <c r="E5" s="63"/>
      <c r="F5" s="63"/>
    </row>
    <row r="6" spans="1:6" ht="25" customHeight="1" x14ac:dyDescent="0.2">
      <c r="A6" s="41"/>
      <c r="B6" s="41" t="s">
        <v>122</v>
      </c>
      <c r="C6" s="42">
        <v>100</v>
      </c>
      <c r="D6" s="41"/>
      <c r="E6" s="41"/>
      <c r="F6" s="41"/>
    </row>
    <row r="7" spans="1:6" ht="25" customHeight="1" x14ac:dyDescent="0.2">
      <c r="A7" s="41"/>
      <c r="B7" s="41" t="s">
        <v>123</v>
      </c>
      <c r="C7" s="43">
        <v>0.05</v>
      </c>
      <c r="D7" s="41"/>
      <c r="E7" s="41"/>
      <c r="F7" s="41"/>
    </row>
    <row r="8" spans="1:6" ht="25" customHeight="1" x14ac:dyDescent="0.2">
      <c r="A8" s="41"/>
      <c r="B8" s="41" t="s">
        <v>66</v>
      </c>
      <c r="C8" s="44">
        <v>3</v>
      </c>
      <c r="D8" s="41"/>
      <c r="E8" s="41"/>
      <c r="F8" s="41"/>
    </row>
    <row r="9" spans="1:6" ht="25" customHeight="1" x14ac:dyDescent="0.2">
      <c r="A9" s="41"/>
      <c r="B9" s="41" t="s">
        <v>124</v>
      </c>
      <c r="C9" s="41"/>
      <c r="D9" s="41"/>
      <c r="E9" s="45"/>
      <c r="F9" s="46" t="str">
        <f ca="1">IFERROR(_xlfn.FORMULATEXT(E9),"")</f>
        <v/>
      </c>
    </row>
    <row r="10" spans="1:6" ht="25" customHeight="1" x14ac:dyDescent="0.2">
      <c r="A10" s="41"/>
      <c r="B10" s="41" t="s">
        <v>125</v>
      </c>
      <c r="C10" s="41"/>
      <c r="D10" s="41"/>
      <c r="E10" s="45"/>
      <c r="F10" s="46" t="str">
        <f ca="1">IFERROR(_xlfn.FORMULATEXT(E10),"")</f>
        <v/>
      </c>
    </row>
    <row r="11" spans="1:6" ht="25" customHeight="1" x14ac:dyDescent="0.2">
      <c r="A11" s="41"/>
      <c r="B11" s="41" t="s">
        <v>126</v>
      </c>
      <c r="C11" s="41"/>
      <c r="D11" s="41"/>
      <c r="E11" s="45"/>
      <c r="F11" s="46" t="str">
        <f ca="1">IFERROR(_xlfn.FORMULATEXT(E11),"")</f>
        <v/>
      </c>
    </row>
    <row r="12" spans="1:6" ht="38" customHeight="1" x14ac:dyDescent="0.2">
      <c r="A12" s="41"/>
      <c r="B12" s="64" t="s">
        <v>127</v>
      </c>
      <c r="C12" s="64"/>
      <c r="D12" s="64"/>
      <c r="E12" s="64"/>
      <c r="F12" s="64"/>
    </row>
    <row r="13" spans="1:6" ht="25" customHeight="1" x14ac:dyDescent="0.2">
      <c r="A13" s="41"/>
      <c r="B13" s="41"/>
      <c r="C13" s="41"/>
      <c r="D13" s="41"/>
      <c r="E13" s="41"/>
      <c r="F13" s="41"/>
    </row>
    <row r="14" spans="1:6" ht="25" customHeight="1" x14ac:dyDescent="0.2">
      <c r="A14" s="41"/>
      <c r="B14" s="41"/>
      <c r="C14" s="41"/>
      <c r="D14" s="41"/>
      <c r="E14" s="41"/>
      <c r="F14" s="41"/>
    </row>
    <row r="15" spans="1:6" ht="30" customHeight="1" x14ac:dyDescent="0.25">
      <c r="A15" s="41"/>
      <c r="B15" s="63" t="s">
        <v>128</v>
      </c>
      <c r="C15" s="63"/>
      <c r="D15" s="63"/>
      <c r="E15" s="63"/>
      <c r="F15" s="63"/>
    </row>
    <row r="16" spans="1:6" ht="25" customHeight="1" x14ac:dyDescent="0.2">
      <c r="A16" s="41"/>
      <c r="B16" s="41" t="s">
        <v>129</v>
      </c>
      <c r="C16" s="42">
        <v>6000</v>
      </c>
      <c r="D16" s="41"/>
      <c r="E16" s="41"/>
      <c r="F16" s="41"/>
    </row>
    <row r="17" spans="1:6" ht="25" customHeight="1" x14ac:dyDescent="0.2">
      <c r="A17" s="41"/>
      <c r="B17" s="41" t="s">
        <v>130</v>
      </c>
      <c r="C17" s="43">
        <v>0.05</v>
      </c>
      <c r="D17" s="41"/>
      <c r="E17" s="41"/>
      <c r="F17" s="41"/>
    </row>
    <row r="18" spans="1:6" ht="25" customHeight="1" x14ac:dyDescent="0.2">
      <c r="A18" s="41"/>
      <c r="B18" s="41" t="s">
        <v>131</v>
      </c>
      <c r="C18" s="44">
        <v>2</v>
      </c>
      <c r="D18" s="41"/>
      <c r="E18" s="41"/>
      <c r="F18" s="41"/>
    </row>
    <row r="19" spans="1:6" ht="25" customHeight="1" x14ac:dyDescent="0.2">
      <c r="A19" s="41"/>
      <c r="B19" s="41" t="s">
        <v>132</v>
      </c>
      <c r="C19" s="41"/>
      <c r="D19" s="41"/>
      <c r="E19" s="45"/>
      <c r="F19" s="46" t="str">
        <f ca="1">IFERROR(_xlfn.FORMULATEXT(E19),"")</f>
        <v/>
      </c>
    </row>
    <row r="20" spans="1:6" ht="25" customHeight="1" x14ac:dyDescent="0.2">
      <c r="A20" s="41"/>
      <c r="B20" s="41" t="s">
        <v>133</v>
      </c>
      <c r="C20" s="41"/>
      <c r="D20" s="41"/>
      <c r="E20" s="45"/>
      <c r="F20" s="46" t="str">
        <f ca="1">IFERROR(_xlfn.FORMULATEXT(E20),"")</f>
        <v/>
      </c>
    </row>
    <row r="21" spans="1:6" ht="25" customHeight="1" x14ac:dyDescent="0.2">
      <c r="A21" s="41"/>
      <c r="B21" s="41" t="s">
        <v>134</v>
      </c>
      <c r="C21" s="41"/>
      <c r="D21" s="41"/>
      <c r="E21" s="45"/>
      <c r="F21" s="46" t="str">
        <f ca="1">IFERROR(_xlfn.FORMULATEXT(E21),"")</f>
        <v/>
      </c>
    </row>
    <row r="22" spans="1:6" ht="25" customHeight="1" x14ac:dyDescent="0.2">
      <c r="A22" s="41"/>
      <c r="B22" s="41"/>
      <c r="C22" s="41"/>
      <c r="D22" s="41"/>
      <c r="E22" s="41"/>
      <c r="F22" s="41"/>
    </row>
    <row r="23" spans="1:6" ht="27" customHeight="1" x14ac:dyDescent="0.2">
      <c r="A23" s="41"/>
      <c r="B23" s="64" t="s">
        <v>135</v>
      </c>
      <c r="C23" s="64"/>
      <c r="D23" s="64"/>
      <c r="E23" s="64"/>
      <c r="F23" s="64"/>
    </row>
    <row r="24" spans="1:6" ht="27" customHeight="1" x14ac:dyDescent="0.2">
      <c r="A24" s="41"/>
      <c r="B24" s="64"/>
      <c r="C24" s="64"/>
      <c r="D24" s="64"/>
      <c r="E24" s="64"/>
      <c r="F24" s="64"/>
    </row>
    <row r="25" spans="1:6" ht="25" customHeight="1" x14ac:dyDescent="0.2">
      <c r="A25" s="41"/>
      <c r="B25" s="41"/>
      <c r="C25" s="41"/>
      <c r="D25" s="41"/>
      <c r="E25" s="41"/>
      <c r="F25" s="41"/>
    </row>
    <row r="26" spans="1:6" ht="30" customHeight="1" x14ac:dyDescent="0.25">
      <c r="A26" s="41"/>
      <c r="B26" s="63" t="s">
        <v>136</v>
      </c>
      <c r="C26" s="63"/>
      <c r="D26" s="63"/>
      <c r="E26" s="63"/>
      <c r="F26" s="63"/>
    </row>
    <row r="27" spans="1:6" ht="25" customHeight="1" x14ac:dyDescent="0.2">
      <c r="A27" s="41"/>
      <c r="B27" s="41" t="s">
        <v>137</v>
      </c>
      <c r="C27" s="42">
        <v>10000</v>
      </c>
      <c r="D27" s="41"/>
      <c r="E27" s="41"/>
      <c r="F27" s="41"/>
    </row>
    <row r="28" spans="1:6" ht="25" customHeight="1" x14ac:dyDescent="0.2">
      <c r="A28" s="41"/>
      <c r="B28" s="41" t="s">
        <v>138</v>
      </c>
      <c r="C28" s="42">
        <v>12000</v>
      </c>
      <c r="D28" s="41"/>
      <c r="E28" s="41"/>
      <c r="F28" s="41"/>
    </row>
    <row r="29" spans="1:6" ht="25" customHeight="1" x14ac:dyDescent="0.2">
      <c r="A29" s="41"/>
      <c r="B29" s="41" t="s">
        <v>139</v>
      </c>
      <c r="C29" s="43">
        <v>0.06</v>
      </c>
      <c r="D29" s="41"/>
      <c r="E29" s="41"/>
      <c r="F29" s="41"/>
    </row>
    <row r="30" spans="1:6" ht="25" customHeight="1" x14ac:dyDescent="0.2">
      <c r="A30" s="41"/>
      <c r="B30" s="41" t="s">
        <v>140</v>
      </c>
      <c r="C30" s="44">
        <v>3</v>
      </c>
      <c r="D30" s="41"/>
      <c r="E30" s="41"/>
      <c r="F30" s="41"/>
    </row>
    <row r="31" spans="1:6" ht="25" customHeight="1" x14ac:dyDescent="0.2">
      <c r="A31" s="41"/>
      <c r="B31" s="41" t="s">
        <v>141</v>
      </c>
      <c r="C31" s="41"/>
      <c r="D31" s="41"/>
      <c r="E31" s="45"/>
      <c r="F31" s="46" t="str">
        <f ca="1">IFERROR(_xlfn.FORMULATEXT(E31),"")</f>
        <v/>
      </c>
    </row>
    <row r="32" spans="1:6" ht="25" customHeight="1" x14ac:dyDescent="0.2">
      <c r="A32" s="41"/>
      <c r="B32" s="41" t="s">
        <v>142</v>
      </c>
      <c r="C32" s="41"/>
      <c r="D32" s="41"/>
      <c r="E32" s="45"/>
      <c r="F32" s="46" t="str">
        <f ca="1">IFERROR(_xlfn.FORMULATEXT(E32),"")</f>
        <v/>
      </c>
    </row>
    <row r="33" spans="1:6" ht="25" customHeight="1" x14ac:dyDescent="0.2">
      <c r="A33" s="41"/>
      <c r="B33" s="41" t="s">
        <v>143</v>
      </c>
      <c r="C33" s="41"/>
      <c r="D33" s="41"/>
      <c r="E33" s="45"/>
      <c r="F33" s="46" t="str">
        <f ca="1">IFERROR(_xlfn.FORMULATEXT(E33),"")</f>
        <v/>
      </c>
    </row>
    <row r="34" spans="1:6" ht="25" customHeight="1" x14ac:dyDescent="0.2">
      <c r="A34" s="41"/>
      <c r="B34" s="41"/>
      <c r="C34" s="41"/>
      <c r="D34" s="41"/>
      <c r="E34" s="41"/>
      <c r="F34" s="41"/>
    </row>
    <row r="35" spans="1:6" ht="38" customHeight="1" x14ac:dyDescent="0.2">
      <c r="A35" s="41"/>
      <c r="B35" s="64" t="s">
        <v>144</v>
      </c>
      <c r="C35" s="64"/>
      <c r="D35" s="64"/>
      <c r="E35" s="64"/>
      <c r="F35" s="64"/>
    </row>
    <row r="36" spans="1:6" ht="27" customHeight="1" x14ac:dyDescent="0.2">
      <c r="A36" s="41"/>
      <c r="B36" s="65"/>
      <c r="C36" s="65"/>
      <c r="D36" s="65"/>
      <c r="E36" s="65"/>
      <c r="F36" s="65"/>
    </row>
    <row r="37" spans="1:6" ht="27" customHeight="1" x14ac:dyDescent="0.2">
      <c r="A37" s="41"/>
      <c r="B37" s="65"/>
      <c r="C37" s="65"/>
      <c r="D37" s="65"/>
      <c r="E37" s="65"/>
      <c r="F37" s="65"/>
    </row>
    <row r="38" spans="1:6" ht="27" customHeight="1" x14ac:dyDescent="0.2">
      <c r="A38" s="41"/>
      <c r="B38" s="65"/>
      <c r="C38" s="65"/>
      <c r="D38" s="65"/>
      <c r="E38" s="65"/>
      <c r="F38" s="65"/>
    </row>
    <row r="39" spans="1:6" ht="25" customHeight="1" x14ac:dyDescent="0.2">
      <c r="A39" s="41"/>
      <c r="B39" s="41"/>
      <c r="C39" s="41"/>
      <c r="D39" s="41"/>
      <c r="E39" s="41"/>
      <c r="F39" s="41"/>
    </row>
    <row r="40" spans="1:6" ht="25" customHeight="1" x14ac:dyDescent="0.2">
      <c r="A40" s="41"/>
      <c r="B40" s="41"/>
      <c r="C40" s="41"/>
      <c r="D40" s="41"/>
      <c r="E40" s="41"/>
      <c r="F40" s="41"/>
    </row>
    <row r="41" spans="1:6" ht="25" customHeight="1" x14ac:dyDescent="0.2">
      <c r="A41" s="41"/>
      <c r="B41" s="41"/>
      <c r="C41" s="41"/>
      <c r="D41" s="41"/>
      <c r="E41" s="41"/>
      <c r="F41" s="41"/>
    </row>
    <row r="42" spans="1:6" ht="30" customHeight="1" x14ac:dyDescent="0.25">
      <c r="A42" s="41"/>
      <c r="B42" s="63" t="s">
        <v>145</v>
      </c>
      <c r="C42" s="63"/>
      <c r="D42" s="63"/>
      <c r="E42" s="63"/>
      <c r="F42" s="63"/>
    </row>
    <row r="43" spans="1:6" ht="25" customHeight="1" x14ac:dyDescent="0.2">
      <c r="A43" s="41"/>
      <c r="B43" s="41" t="s">
        <v>146</v>
      </c>
      <c r="C43" s="41" t="s">
        <v>147</v>
      </c>
      <c r="D43" s="41"/>
      <c r="E43" s="41"/>
      <c r="F43" s="41"/>
    </row>
    <row r="44" spans="1:6" ht="25" customHeight="1" x14ac:dyDescent="0.2">
      <c r="A44" s="41"/>
      <c r="B44" s="47">
        <v>100</v>
      </c>
      <c r="C44" s="43">
        <v>0.05</v>
      </c>
      <c r="D44" s="41"/>
      <c r="E44" s="41"/>
      <c r="F44" s="41"/>
    </row>
    <row r="45" spans="1:6" ht="25" customHeight="1" x14ac:dyDescent="0.2">
      <c r="A45" s="41"/>
      <c r="B45" s="41"/>
      <c r="C45" s="41"/>
      <c r="D45" s="41"/>
      <c r="E45" s="41"/>
      <c r="F45" s="41"/>
    </row>
    <row r="46" spans="1:6" ht="25" customHeight="1" x14ac:dyDescent="0.2">
      <c r="A46" s="41"/>
      <c r="B46" s="41" t="s">
        <v>131</v>
      </c>
      <c r="C46" s="41"/>
      <c r="D46" s="41"/>
      <c r="E46" s="41" t="s">
        <v>148</v>
      </c>
      <c r="F46" s="41" t="s">
        <v>149</v>
      </c>
    </row>
    <row r="47" spans="1:6" ht="25" customHeight="1" x14ac:dyDescent="0.2">
      <c r="A47" s="41"/>
      <c r="B47" s="41">
        <v>1</v>
      </c>
      <c r="C47" s="41"/>
      <c r="D47" s="41"/>
      <c r="E47" s="48"/>
      <c r="F47" s="41" t="str">
        <f t="shared" ref="F47:F56" ca="1" si="0">IFERROR(_xlfn.FORMULATEXT(E47),"")</f>
        <v/>
      </c>
    </row>
    <row r="48" spans="1:6" ht="25" customHeight="1" x14ac:dyDescent="0.2">
      <c r="A48" s="41"/>
      <c r="B48" s="41">
        <v>2</v>
      </c>
      <c r="C48" s="41"/>
      <c r="D48" s="41"/>
      <c r="E48" s="48"/>
      <c r="F48" s="41" t="str">
        <f t="shared" ca="1" si="0"/>
        <v/>
      </c>
    </row>
    <row r="49" spans="1:6" ht="25" customHeight="1" x14ac:dyDescent="0.2">
      <c r="A49" s="41"/>
      <c r="B49" s="41">
        <v>3</v>
      </c>
      <c r="C49" s="41"/>
      <c r="D49" s="41"/>
      <c r="E49" s="48"/>
      <c r="F49" s="41" t="str">
        <f t="shared" ca="1" si="0"/>
        <v/>
      </c>
    </row>
    <row r="50" spans="1:6" ht="25" customHeight="1" x14ac:dyDescent="0.2">
      <c r="A50" s="41"/>
      <c r="B50" s="41">
        <v>4</v>
      </c>
      <c r="C50" s="41"/>
      <c r="D50" s="41"/>
      <c r="E50" s="48"/>
      <c r="F50" s="41" t="str">
        <f t="shared" ca="1" si="0"/>
        <v/>
      </c>
    </row>
    <row r="51" spans="1:6" ht="25" customHeight="1" x14ac:dyDescent="0.2">
      <c r="A51" s="41"/>
      <c r="B51" s="41">
        <v>5</v>
      </c>
      <c r="C51" s="41"/>
      <c r="D51" s="41"/>
      <c r="E51" s="48"/>
      <c r="F51" s="41" t="str">
        <f t="shared" ca="1" si="0"/>
        <v/>
      </c>
    </row>
    <row r="52" spans="1:6" ht="25" customHeight="1" x14ac:dyDescent="0.2">
      <c r="A52" s="41"/>
      <c r="B52" s="41">
        <v>6</v>
      </c>
      <c r="C52" s="41"/>
      <c r="D52" s="41"/>
      <c r="E52" s="48"/>
      <c r="F52" s="41" t="str">
        <f t="shared" ca="1" si="0"/>
        <v/>
      </c>
    </row>
    <row r="53" spans="1:6" ht="25" customHeight="1" x14ac:dyDescent="0.2">
      <c r="A53" s="41"/>
      <c r="B53" s="41">
        <v>7</v>
      </c>
      <c r="C53" s="41"/>
      <c r="D53" s="41"/>
      <c r="E53" s="48"/>
      <c r="F53" s="41" t="str">
        <f t="shared" ca="1" si="0"/>
        <v/>
      </c>
    </row>
    <row r="54" spans="1:6" ht="25" customHeight="1" x14ac:dyDescent="0.2">
      <c r="A54" s="41"/>
      <c r="B54" s="41">
        <v>8</v>
      </c>
      <c r="C54" s="41"/>
      <c r="D54" s="41"/>
      <c r="E54" s="48"/>
      <c r="F54" s="41" t="str">
        <f t="shared" ca="1" si="0"/>
        <v/>
      </c>
    </row>
    <row r="55" spans="1:6" ht="25" customHeight="1" x14ac:dyDescent="0.2">
      <c r="A55" s="41"/>
      <c r="B55" s="41">
        <v>9</v>
      </c>
      <c r="C55" s="41"/>
      <c r="D55" s="41"/>
      <c r="E55" s="48"/>
      <c r="F55" s="41" t="str">
        <f t="shared" ca="1" si="0"/>
        <v/>
      </c>
    </row>
    <row r="56" spans="1:6" ht="25" customHeight="1" x14ac:dyDescent="0.2">
      <c r="A56" s="41"/>
      <c r="B56" s="41">
        <v>10</v>
      </c>
      <c r="C56" s="41"/>
      <c r="D56" s="41"/>
      <c r="E56" s="48"/>
      <c r="F56" s="41" t="str">
        <f t="shared" ca="1" si="0"/>
        <v/>
      </c>
    </row>
    <row r="57" spans="1:6" ht="25" customHeight="1" x14ac:dyDescent="0.2">
      <c r="A57" s="41"/>
      <c r="B57" s="41"/>
      <c r="C57" s="41"/>
      <c r="D57" s="41"/>
      <c r="E57" s="41"/>
      <c r="F57" s="41"/>
    </row>
    <row r="58" spans="1:6" ht="26" customHeight="1" x14ac:dyDescent="0.2">
      <c r="A58" s="41"/>
      <c r="B58" s="64" t="s">
        <v>150</v>
      </c>
      <c r="C58" s="64"/>
      <c r="D58" s="64"/>
      <c r="E58" s="64"/>
      <c r="F58" s="64"/>
    </row>
    <row r="59" spans="1:6" ht="26" customHeight="1" x14ac:dyDescent="0.2">
      <c r="A59" s="41"/>
      <c r="B59" s="64"/>
      <c r="C59" s="64"/>
      <c r="D59" s="64"/>
      <c r="E59" s="64"/>
      <c r="F59" s="64"/>
    </row>
  </sheetData>
  <mergeCells count="12">
    <mergeCell ref="B42:F42"/>
    <mergeCell ref="B58:F59"/>
    <mergeCell ref="B15:F15"/>
    <mergeCell ref="B23:F24"/>
    <mergeCell ref="B26:F26"/>
    <mergeCell ref="B35:F35"/>
    <mergeCell ref="B36:F38"/>
    <mergeCell ref="B1:F1"/>
    <mergeCell ref="B2:F2"/>
    <mergeCell ref="B3:F3"/>
    <mergeCell ref="B5:F5"/>
    <mergeCell ref="B12:F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showGridLines="0"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" customWidth="1"/>
    <col min="2" max="2" width="43" customWidth="1"/>
    <col min="3" max="5" width="19" customWidth="1"/>
    <col min="6" max="6" width="45" customWidth="1"/>
  </cols>
  <sheetData>
    <row r="1" spans="1:6" ht="30" customHeight="1" x14ac:dyDescent="0.25">
      <c r="A1" s="41"/>
      <c r="B1" s="63" t="s">
        <v>151</v>
      </c>
      <c r="C1" s="63"/>
      <c r="D1" s="63"/>
      <c r="E1" s="63"/>
      <c r="F1" s="63"/>
    </row>
    <row r="2" spans="1:6" ht="28" customHeight="1" x14ac:dyDescent="0.2">
      <c r="A2" s="41"/>
      <c r="B2" s="64" t="s">
        <v>152</v>
      </c>
      <c r="C2" s="64"/>
      <c r="D2" s="64"/>
      <c r="E2" s="64"/>
      <c r="F2" s="64"/>
    </row>
    <row r="3" spans="1:6" ht="28" customHeight="1" x14ac:dyDescent="0.2">
      <c r="A3" s="41"/>
      <c r="B3" s="64"/>
      <c r="C3" s="64"/>
      <c r="D3" s="64"/>
      <c r="E3" s="64"/>
      <c r="F3" s="64"/>
    </row>
    <row r="4" spans="1:6" ht="25" customHeight="1" x14ac:dyDescent="0.2">
      <c r="A4" s="41"/>
      <c r="B4" s="41" t="s">
        <v>153</v>
      </c>
      <c r="C4" s="41" t="s">
        <v>154</v>
      </c>
      <c r="D4" s="41" t="s">
        <v>155</v>
      </c>
      <c r="E4" s="41" t="s">
        <v>156</v>
      </c>
      <c r="F4" s="41"/>
    </row>
    <row r="5" spans="1:6" ht="25" customHeight="1" x14ac:dyDescent="0.2">
      <c r="A5" s="41"/>
      <c r="B5" s="42">
        <v>1000</v>
      </c>
      <c r="C5" s="49">
        <v>0.05</v>
      </c>
      <c r="D5" s="49">
        <v>0.1</v>
      </c>
      <c r="E5" s="49">
        <v>0.15</v>
      </c>
      <c r="F5" s="41"/>
    </row>
    <row r="6" spans="1:6" ht="25" customHeight="1" x14ac:dyDescent="0.2">
      <c r="A6" s="41"/>
      <c r="B6" s="41"/>
      <c r="C6" s="41"/>
      <c r="D6" s="41"/>
      <c r="E6" s="41"/>
      <c r="F6" s="41"/>
    </row>
    <row r="7" spans="1:6" ht="25" customHeight="1" x14ac:dyDescent="0.2">
      <c r="A7" s="41"/>
      <c r="B7" s="41" t="s">
        <v>66</v>
      </c>
      <c r="C7" s="41" t="s">
        <v>157</v>
      </c>
      <c r="D7" s="41" t="s">
        <v>158</v>
      </c>
      <c r="E7" s="41" t="s">
        <v>159</v>
      </c>
      <c r="F7" s="41"/>
    </row>
    <row r="8" spans="1:6" ht="25" customHeight="1" x14ac:dyDescent="0.2">
      <c r="A8" s="41"/>
      <c r="B8" s="41">
        <v>1</v>
      </c>
      <c r="C8" s="50"/>
      <c r="D8" s="50"/>
      <c r="E8" s="50"/>
      <c r="F8" s="41"/>
    </row>
    <row r="9" spans="1:6" ht="25" customHeight="1" x14ac:dyDescent="0.2">
      <c r="A9" s="41"/>
      <c r="B9" s="41">
        <v>2</v>
      </c>
      <c r="C9" s="50"/>
      <c r="D9" s="50"/>
      <c r="E9" s="50"/>
      <c r="F9" s="41"/>
    </row>
    <row r="10" spans="1:6" ht="25" customHeight="1" x14ac:dyDescent="0.2">
      <c r="A10" s="41"/>
      <c r="B10" s="41">
        <v>3</v>
      </c>
      <c r="C10" s="50"/>
      <c r="D10" s="50"/>
      <c r="E10" s="50"/>
      <c r="F10" s="41"/>
    </row>
    <row r="11" spans="1:6" ht="25" customHeight="1" x14ac:dyDescent="0.2">
      <c r="A11" s="41"/>
      <c r="B11" s="41">
        <v>4</v>
      </c>
      <c r="C11" s="50"/>
      <c r="D11" s="50"/>
      <c r="E11" s="50"/>
      <c r="F11" s="41"/>
    </row>
    <row r="12" spans="1:6" ht="25" customHeight="1" x14ac:dyDescent="0.2">
      <c r="A12" s="41"/>
      <c r="B12" s="41">
        <v>5</v>
      </c>
      <c r="C12" s="50"/>
      <c r="D12" s="50"/>
      <c r="E12" s="50"/>
      <c r="F12" s="41"/>
    </row>
    <row r="13" spans="1:6" ht="25" customHeight="1" x14ac:dyDescent="0.2">
      <c r="A13" s="41"/>
      <c r="B13" s="41">
        <v>6</v>
      </c>
      <c r="C13" s="50"/>
      <c r="D13" s="50"/>
      <c r="E13" s="50"/>
      <c r="F13" s="41"/>
    </row>
    <row r="14" spans="1:6" ht="25" customHeight="1" x14ac:dyDescent="0.2">
      <c r="A14" s="41"/>
      <c r="B14" s="41">
        <v>7</v>
      </c>
      <c r="C14" s="50"/>
      <c r="D14" s="50"/>
      <c r="E14" s="50"/>
      <c r="F14" s="41"/>
    </row>
    <row r="15" spans="1:6" ht="25" customHeight="1" x14ac:dyDescent="0.2">
      <c r="A15" s="41"/>
      <c r="B15" s="41">
        <v>8</v>
      </c>
      <c r="C15" s="50"/>
      <c r="D15" s="50"/>
      <c r="E15" s="50"/>
      <c r="F15" s="41"/>
    </row>
    <row r="16" spans="1:6" ht="25" customHeight="1" x14ac:dyDescent="0.2">
      <c r="A16" s="41"/>
      <c r="B16" s="41">
        <v>9</v>
      </c>
      <c r="C16" s="50"/>
      <c r="D16" s="50"/>
      <c r="E16" s="50"/>
      <c r="F16" s="41"/>
    </row>
    <row r="17" spans="1:6" ht="25" customHeight="1" x14ac:dyDescent="0.2">
      <c r="A17" s="41"/>
      <c r="B17" s="41">
        <v>10</v>
      </c>
      <c r="C17" s="50"/>
      <c r="D17" s="50"/>
      <c r="E17" s="50"/>
      <c r="F17" s="41"/>
    </row>
    <row r="18" spans="1:6" ht="25" customHeight="1" x14ac:dyDescent="0.2">
      <c r="A18" s="41"/>
      <c r="B18" s="41"/>
      <c r="C18" s="41"/>
      <c r="D18" s="41"/>
      <c r="E18" s="41"/>
      <c r="F18" s="41"/>
    </row>
    <row r="19" spans="1:6" ht="28" customHeight="1" x14ac:dyDescent="0.2">
      <c r="A19" s="41"/>
      <c r="B19" s="64" t="s">
        <v>160</v>
      </c>
      <c r="C19" s="64"/>
      <c r="D19" s="64"/>
      <c r="E19" s="64"/>
      <c r="F19" s="64"/>
    </row>
    <row r="20" spans="1:6" ht="28" customHeight="1" x14ac:dyDescent="0.2">
      <c r="A20" s="41"/>
      <c r="B20" s="64"/>
      <c r="C20" s="64"/>
      <c r="D20" s="64"/>
      <c r="E20" s="64"/>
      <c r="F20" s="64"/>
    </row>
    <row r="21" spans="1:6" ht="25" customHeight="1" x14ac:dyDescent="0.2">
      <c r="A21" s="41"/>
      <c r="B21" s="41"/>
      <c r="C21" s="41"/>
      <c r="D21" s="41"/>
      <c r="E21" s="41"/>
      <c r="F21" s="41"/>
    </row>
    <row r="22" spans="1:6" ht="25" customHeight="1" x14ac:dyDescent="0.2">
      <c r="A22" s="41"/>
      <c r="B22" s="41"/>
      <c r="C22" s="41"/>
      <c r="D22" s="41"/>
      <c r="E22" s="41"/>
      <c r="F22" s="41"/>
    </row>
    <row r="23" spans="1:6" ht="25" customHeight="1" x14ac:dyDescent="0.2">
      <c r="A23" s="41"/>
      <c r="B23" s="41"/>
      <c r="C23" s="41"/>
      <c r="D23" s="41"/>
      <c r="E23" s="41"/>
      <c r="F23" s="41"/>
    </row>
    <row r="24" spans="1:6" ht="25" customHeight="1" x14ac:dyDescent="0.2">
      <c r="A24" s="41"/>
      <c r="B24" s="41"/>
      <c r="C24" s="41"/>
      <c r="D24" s="41"/>
      <c r="E24" s="41"/>
      <c r="F24" s="41"/>
    </row>
    <row r="25" spans="1:6" ht="25" customHeight="1" x14ac:dyDescent="0.2">
      <c r="A25" s="41"/>
      <c r="B25" s="41"/>
      <c r="C25" s="41"/>
      <c r="D25" s="41"/>
      <c r="E25" s="41"/>
      <c r="F25" s="41"/>
    </row>
    <row r="26" spans="1:6" ht="25" customHeight="1" x14ac:dyDescent="0.2">
      <c r="A26" s="41"/>
      <c r="B26" s="41"/>
      <c r="C26" s="41"/>
      <c r="D26" s="41"/>
      <c r="E26" s="41"/>
      <c r="F26" s="41"/>
    </row>
    <row r="27" spans="1:6" ht="25" customHeight="1" x14ac:dyDescent="0.2">
      <c r="A27" s="41"/>
      <c r="B27" s="41"/>
      <c r="C27" s="41"/>
      <c r="D27" s="41"/>
      <c r="E27" s="41"/>
      <c r="F27" s="41"/>
    </row>
    <row r="28" spans="1:6" ht="25" customHeight="1" x14ac:dyDescent="0.2">
      <c r="A28" s="41"/>
      <c r="B28" s="41"/>
      <c r="C28" s="41"/>
      <c r="D28" s="41"/>
      <c r="E28" s="41"/>
      <c r="F28" s="41"/>
    </row>
    <row r="29" spans="1:6" ht="25" customHeight="1" x14ac:dyDescent="0.2">
      <c r="A29" s="41"/>
      <c r="B29" s="41"/>
      <c r="C29" s="41"/>
      <c r="D29" s="41"/>
      <c r="E29" s="41"/>
      <c r="F29" s="41"/>
    </row>
    <row r="30" spans="1:6" ht="25" customHeight="1" x14ac:dyDescent="0.2">
      <c r="A30" s="41"/>
      <c r="B30" s="41"/>
      <c r="C30" s="41"/>
      <c r="D30" s="41"/>
      <c r="E30" s="41"/>
      <c r="F30" s="41"/>
    </row>
    <row r="31" spans="1:6" ht="25" customHeight="1" x14ac:dyDescent="0.2">
      <c r="A31" s="41"/>
      <c r="B31" s="41"/>
      <c r="C31" s="41"/>
      <c r="D31" s="41"/>
      <c r="E31" s="41"/>
      <c r="F31" s="41"/>
    </row>
    <row r="32" spans="1:6" ht="25" customHeight="1" x14ac:dyDescent="0.2">
      <c r="A32" s="41"/>
      <c r="B32" s="41"/>
      <c r="C32" s="41"/>
      <c r="D32" s="41"/>
      <c r="E32" s="41"/>
      <c r="F32" s="41"/>
    </row>
    <row r="33" spans="1:6" ht="25" customHeight="1" x14ac:dyDescent="0.2">
      <c r="A33" s="41"/>
      <c r="B33" s="41"/>
      <c r="C33" s="41"/>
      <c r="D33" s="41"/>
      <c r="E33" s="41"/>
      <c r="F33" s="41"/>
    </row>
    <row r="34" spans="1:6" ht="25" customHeight="1" x14ac:dyDescent="0.2">
      <c r="A34" s="41"/>
      <c r="B34" s="41"/>
      <c r="C34" s="41"/>
      <c r="D34" s="41"/>
      <c r="E34" s="41"/>
      <c r="F34" s="41"/>
    </row>
    <row r="35" spans="1:6" ht="25" customHeight="1" x14ac:dyDescent="0.2">
      <c r="A35" s="41"/>
      <c r="B35" s="41"/>
      <c r="C35" s="41"/>
      <c r="D35" s="41"/>
      <c r="E35" s="41"/>
      <c r="F35" s="41"/>
    </row>
  </sheetData>
  <mergeCells count="3">
    <mergeCell ref="B1:F1"/>
    <mergeCell ref="B2:F3"/>
    <mergeCell ref="B19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Live You Try It</vt:lpstr>
      <vt:lpstr>Class Challenge</vt:lpstr>
      <vt:lpstr>FormulaReferenceCard</vt:lpstr>
      <vt:lpstr>Time Value Practice</vt:lpstr>
      <vt:lpstr>Growth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Bethany Evitts</cp:lastModifiedBy>
  <dcterms:modified xsi:type="dcterms:W3CDTF">2026-10-26T19:20:35Z</dcterms:modified>
</cp:coreProperties>
</file>