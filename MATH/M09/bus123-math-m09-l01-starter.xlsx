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9/"/>
    </mc:Choice>
  </mc:AlternateContent>
  <xr:revisionPtr revIDLastSave="0" documentId="13_ncr:1_{98F519BF-B3D2-C347-ACB2-68D0BF06FD36}" xr6:coauthVersionLast="47" xr6:coauthVersionMax="47" xr10:uidLastSave="{00000000-0000-0000-0000-000000000000}"/>
  <bookViews>
    <workbookView xWindow="0" yWindow="580" windowWidth="25600" windowHeight="16060" tabRatio="500" activeTab="3" xr2:uid="{00000000-000D-0000-FFFF-FFFF00000000}"/>
  </bookViews>
  <sheets>
    <sheet name="START HERE" sheetId="1" r:id="rId1"/>
    <sheet name="Part A · FV Annual" sheetId="2" r:id="rId2"/>
    <sheet name="Part B · Compounding Freq" sheetId="3" r:id="rId3"/>
    <sheet name="Part C · Rule of 72" sheetId="4" r:id="rId4"/>
    <sheet name="FormulaReferenceC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" i="2" l="1"/>
  <c r="H13" i="2"/>
  <c r="C8" i="4"/>
  <c r="D8" i="4" s="1"/>
  <c r="C7" i="4"/>
  <c r="D7" i="4" s="1"/>
  <c r="C6" i="4"/>
  <c r="D6" i="4" s="1"/>
  <c r="F13" i="3"/>
  <c r="F12" i="3"/>
  <c r="F11" i="3"/>
  <c r="F10" i="3"/>
  <c r="G8" i="2"/>
  <c r="F8" i="2"/>
  <c r="G7" i="2"/>
  <c r="F7" i="2"/>
  <c r="G6" i="2"/>
  <c r="F6" i="2"/>
  <c r="G11" i="3" l="1"/>
  <c r="G12" i="3"/>
  <c r="G13" i="3"/>
</calcChain>
</file>

<file path=xl/sharedStrings.xml><?xml version="1.0" encoding="utf-8"?>
<sst xmlns="http://schemas.openxmlformats.org/spreadsheetml/2006/main" count="144" uniqueCount="124">
  <si>
    <t>BUS123 · MATH-M09 · L01</t>
  </si>
  <si>
    <t>Compound Interest &amp; Future Value</t>
  </si>
  <si>
    <t>Color Key</t>
  </si>
  <si>
    <t>Yellow cell</t>
  </si>
  <si>
    <t>Your input — every yellow cell must be filled</t>
  </si>
  <si>
    <t>Green / italic text</t>
  </si>
  <si>
    <t>Formula result — do not edit</t>
  </si>
  <si>
    <t>Cream row</t>
  </si>
  <si>
    <t>Read-only reference</t>
  </si>
  <si>
    <t>Learning Objectives — I Can…</t>
  </si>
  <si>
    <t xml:space="preserve">  1. Explain the difference between simple and compound interest</t>
  </si>
  <si>
    <t xml:space="preserve">  2. Calculate FV using FV = PV × (1+i)^n manually and with =FV()</t>
  </si>
  <si>
    <t xml:space="preserve">  3. Use =FV() with correct sign convention (pv negative, pmt=0)</t>
  </si>
  <si>
    <t xml:space="preserve">  4. Adjust rate and nper for non-annual compounding (quarterly, monthly)</t>
  </si>
  <si>
    <t xml:space="preserve">  5. Estimate doubling time using the Rule of 72 and verify with =FV()</t>
  </si>
  <si>
    <t>Tabs in This Workbook</t>
  </si>
  <si>
    <t>Part A · FV Annual</t>
  </si>
  <si>
    <t>Three Meridian investments — annual compounding. Build =FV() and manual verify.</t>
  </si>
  <si>
    <t>Part B · Compounding Freq</t>
  </si>
  <si>
    <t>Same investment, four frequencies. Adjust rate and nper for each.</t>
  </si>
  <si>
    <t>Part C · Rule of 72</t>
  </si>
  <si>
    <t>Estimate doubling time, then verify with =FV().</t>
  </si>
  <si>
    <t>FormulaReferenceCard</t>
  </si>
  <si>
    <t>All compound interest formulas for this lesson.</t>
  </si>
  <si>
    <t>Meridian Advisory Group · Compound Interest — Annual Compounding</t>
  </si>
  <si>
    <t>Section 1 — Annual Compounding   FV = PV × (1 + i)ⁿ   and   =FV(rate, nper, 0, pv)</t>
  </si>
  <si>
    <t>Investment</t>
  </si>
  <si>
    <t>PV (enter negative)</t>
  </si>
  <si>
    <t>Annual Rate (i)</t>
  </si>
  <si>
    <t>Years (n)</t>
  </si>
  <si>
    <t>=FV() Result</t>
  </si>
  <si>
    <t>Manual Verify</t>
  </si>
  <si>
    <t>Notes</t>
  </si>
  <si>
    <t>Client Inv. A</t>
  </si>
  <si>
    <t>Retirement account</t>
  </si>
  <si>
    <t>Client Inv. B</t>
  </si>
  <si>
    <t>Education fund</t>
  </si>
  <si>
    <t>Client Inv. C</t>
  </si>
  <si>
    <t>Business reserve</t>
  </si>
  <si>
    <t xml:space="preserve">  ✓  Rows F and G must match. If they don't, check that pv in column C is entered as a negative number.</t>
  </si>
  <si>
    <t>Section 2 — Solve for the Unknown (Rearrange the Formula)</t>
  </si>
  <si>
    <t>Problem</t>
  </si>
  <si>
    <t>PV</t>
  </si>
  <si>
    <t>Rate (i)</t>
  </si>
  <si>
    <t>FV (given)</t>
  </si>
  <si>
    <t>Solve For</t>
  </si>
  <si>
    <t>Answer</t>
  </si>
  <si>
    <t>Find PV</t>
  </si>
  <si>
    <t>$33,455.64</t>
  </si>
  <si>
    <t>Find n</t>
  </si>
  <si>
    <t>Years</t>
  </si>
  <si>
    <t>Meridian Advisory Group · Compounding Frequency Comparison</t>
  </si>
  <si>
    <t>Shared Assumptions — Enter Once</t>
  </si>
  <si>
    <t>Present Value (PV)</t>
  </si>
  <si>
    <t>Annual Rate</t>
  </si>
  <si>
    <t xml:space="preserve">  Enter PV as negative. Enter rate as decimal (e.g. 0.06). Then fill in rate per period and nper for each row below.</t>
  </si>
  <si>
    <t>Frequency Comparison — Adjust Rate and Nper for Each Row</t>
  </si>
  <si>
    <t>Frequency</t>
  </si>
  <si>
    <t>Periods/Year</t>
  </si>
  <si>
    <t>Rate per Period</t>
  </si>
  <si>
    <t>Nper</t>
  </si>
  <si>
    <t>Difference vs Annual</t>
  </si>
  <si>
    <t>Annually</t>
  </si>
  <si>
    <t>—</t>
  </si>
  <si>
    <t>Semiannually</t>
  </si>
  <si>
    <t>Quarterly</t>
  </si>
  <si>
    <t>Monthly</t>
  </si>
  <si>
    <t xml:space="preserve">  Hint for Rate per Period: =$E$5/C10  ·  Hint for Nper: =$G$5*C10  ·  Use cell references — not hardcoded numbers.</t>
  </si>
  <si>
    <t>Meridian Advisory Group · Rule of 72</t>
  </si>
  <si>
    <t>Rule of 72 — Estimate, Then Verify</t>
  </si>
  <si>
    <t>Investment / Rate</t>
  </si>
  <si>
    <t>R72 Estimate (years)</t>
  </si>
  <si>
    <t>=FV() Verify</t>
  </si>
  <si>
    <t>5% annual — estimate years to double</t>
  </si>
  <si>
    <t>Is result close to $2,000?</t>
  </si>
  <si>
    <t>8% annual — estimate years to double</t>
  </si>
  <si>
    <t>3% annual — estimate years to double</t>
  </si>
  <si>
    <t>Reflection</t>
  </si>
  <si>
    <t>The Rule of 72 is an estimate. How close was your estimate to the exact answer from =FV()? What does the error tell you about the accuracy of the rule at different rates?</t>
  </si>
  <si>
    <t>Formula Reference Card · MATH-M09-L01</t>
  </si>
  <si>
    <t>Compound Interest &amp; Future Value  ·  Meridian Advisory Group</t>
  </si>
  <si>
    <t>COMPOUND INTEREST</t>
  </si>
  <si>
    <t>Formula Name</t>
  </si>
  <si>
    <t>Algebraic / Description</t>
  </si>
  <si>
    <t>Excel Formula</t>
  </si>
  <si>
    <t>Compound FV (manual)</t>
  </si>
  <si>
    <t>FV = PV × (1 + i)ⁿ</t>
  </si>
  <si>
    <t xml:space="preserve"> =B2*(1+C2)^D2</t>
  </si>
  <si>
    <t>i = rate per period, n = total periods</t>
  </si>
  <si>
    <t xml:space="preserve"> =FV() function</t>
  </si>
  <si>
    <t xml:space="preserve"> =FV(C2,D2,0,B2)</t>
  </si>
  <si>
    <t>pv negative, pmt=0 for lump sum</t>
  </si>
  <si>
    <t>Manual verify</t>
  </si>
  <si>
    <t xml:space="preserve"> =ABS(B2)*(1+C2)^D2</t>
  </si>
  <si>
    <t>Must match =FV() result</t>
  </si>
  <si>
    <t>NON-ANNUAL COMPOUNDING</t>
  </si>
  <si>
    <t>Rate per period</t>
  </si>
  <si>
    <t>Annual rate ÷ periods/year</t>
  </si>
  <si>
    <t xml:space="preserve"> =B3/B5</t>
  </si>
  <si>
    <t>e.g. 6%/4 = 1.5% quarterly</t>
  </si>
  <si>
    <t>Total periods</t>
  </si>
  <si>
    <t>Years × periods/year</t>
  </si>
  <si>
    <t xml:space="preserve"> =B4*B5</t>
  </si>
  <si>
    <t>e.g. 5×4 = 20 quarters</t>
  </si>
  <si>
    <t>Monthly FV</t>
  </si>
  <si>
    <t xml:space="preserve"> =$E$5/C10</t>
  </si>
  <si>
    <t xml:space="preserve"> =FV(B3/12,B4*12,0,B2)</t>
  </si>
  <si>
    <t>Adjust both args</t>
  </si>
  <si>
    <t>Quarterly FV</t>
  </si>
  <si>
    <t xml:space="preserve"> =$G$5*C10</t>
  </si>
  <si>
    <t xml:space="preserve"> =FV(B3/4,B4*4,0,B2)</t>
  </si>
  <si>
    <t>RULE OF 72 &amp; SIGN CONVENTION</t>
  </si>
  <si>
    <t>Rule of 72</t>
  </si>
  <si>
    <t>Years ≈ 72 ÷ Annual Rate (%)</t>
  </si>
  <si>
    <t xml:space="preserve"> =72/rate_pct</t>
  </si>
  <si>
    <t>Estimate only — verify with =FV()</t>
  </si>
  <si>
    <t>Sign convention — pv</t>
  </si>
  <si>
    <t>Enter PV as negative for investments</t>
  </si>
  <si>
    <t xml:space="preserve"> −25000</t>
  </si>
  <si>
    <t>Money leaving pocket = negative</t>
  </si>
  <si>
    <t>Sanity check</t>
  </si>
  <si>
    <t>FV should be larger than |PV|</t>
  </si>
  <si>
    <t>Always verify</t>
  </si>
  <si>
    <t>If FV &lt; PV, sign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</si>
</sst>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;[Red]\-[$$-409]#,##0.00"/>
    <numFmt numFmtId="165" formatCode="0.0"/>
  </numFmts>
  <fonts count="20" x14ac:knownFonts="1">
    <font>
      <sz val="11"/>
      <color theme="1"/>
      <name val="Calibri"/>
      <family val="2"/>
      <charset val="1"/>
    </font>
    <font>
      <b/>
      <sz val="18"/>
      <color rgb="FFFFFFFF"/>
      <name val="Calibri"/>
      <family val="2"/>
    </font>
    <font>
      <sz val="13"/>
      <color rgb="FFC9A84C"/>
      <name val="Calibri"/>
      <family val="2"/>
    </font>
    <font>
      <b/>
      <sz val="12"/>
      <color rgb="FFFFFFFF"/>
      <name val="Calibri"/>
      <family val="2"/>
    </font>
    <font>
      <b/>
      <sz val="11"/>
      <color rgb="FF0E1116"/>
      <name val="Calibri"/>
      <family val="2"/>
    </font>
    <font>
      <sz val="11"/>
      <color rgb="FF4A5567"/>
      <name val="Calibri"/>
      <family val="2"/>
    </font>
    <font>
      <sz val="11"/>
      <color rgb="FF0E1116"/>
      <name val="Calibri"/>
      <family val="2"/>
    </font>
    <font>
      <b/>
      <sz val="11"/>
      <color rgb="FF4A7C5E"/>
      <name val="Calibri"/>
      <family val="2"/>
    </font>
    <font>
      <b/>
      <sz val="15"/>
      <color rgb="FFFFFFFF"/>
      <name val="Calibri"/>
      <family val="2"/>
    </font>
    <font>
      <b/>
      <sz val="10"/>
      <color rgb="FFFFFFFF"/>
      <name val="Calibri"/>
      <family val="2"/>
    </font>
    <font>
      <sz val="11"/>
      <color rgb="FF0A3D6B"/>
      <name val="Calibri"/>
      <family val="2"/>
    </font>
    <font>
      <b/>
      <sz val="11"/>
      <color rgb="FF1A6B3C"/>
      <name val="Calibri"/>
      <family val="2"/>
    </font>
    <font>
      <i/>
      <sz val="11"/>
      <color rgb="FF1A6B3C"/>
      <name val="Calibri"/>
      <family val="2"/>
    </font>
    <font>
      <i/>
      <sz val="10"/>
      <color rgb="FF7A8290"/>
      <name val="Calibri"/>
      <family val="2"/>
    </font>
    <font>
      <i/>
      <sz val="10"/>
      <color rgb="FF4A7C5E"/>
      <name val="Calibri"/>
      <family val="2"/>
    </font>
    <font>
      <sz val="11"/>
      <color rgb="FF4A7C5E"/>
      <name val="Calibri"/>
      <family val="2"/>
    </font>
    <font>
      <sz val="11"/>
      <color rgb="FF7A8290"/>
      <name val="Calibri"/>
      <family val="2"/>
    </font>
    <font>
      <i/>
      <sz val="10"/>
      <color rgb="FF9C4A2B"/>
      <name val="Calibri"/>
      <family val="2"/>
    </font>
    <font>
      <sz val="11"/>
      <color rgb="FFC9A84C"/>
      <name val="Calibri"/>
      <family val="2"/>
    </font>
    <font>
      <sz val="11"/>
      <color rgb="FF1A6B3C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0E1116"/>
        <bgColor rgb="FF1A1A2E"/>
      </patternFill>
    </fill>
    <fill>
      <patternFill patternType="solid">
        <fgColor rgb="FF4A7C5E"/>
        <bgColor rgb="FF4A5567"/>
      </patternFill>
    </fill>
    <fill>
      <patternFill patternType="solid">
        <fgColor rgb="FFF2EEE5"/>
        <bgColor rgb="FFFFF5F0"/>
      </patternFill>
    </fill>
    <fill>
      <patternFill patternType="solid">
        <fgColor rgb="FFB8843D"/>
        <bgColor rgb="FFC9A84C"/>
      </patternFill>
    </fill>
    <fill>
      <patternFill patternType="solid">
        <fgColor rgb="FF9C4A2B"/>
        <bgColor rgb="FF993366"/>
      </patternFill>
    </fill>
    <fill>
      <patternFill patternType="solid">
        <fgColor rgb="FF1A1A2E"/>
        <bgColor rgb="FF0E1116"/>
      </patternFill>
    </fill>
    <fill>
      <patternFill patternType="solid">
        <fgColor rgb="FFFFD966"/>
        <bgColor rgb="FFFFFF99"/>
      </patternFill>
    </fill>
    <fill>
      <patternFill patternType="solid">
        <fgColor rgb="FFFFFBF0"/>
        <bgColor rgb="FFFFF5F0"/>
      </patternFill>
    </fill>
    <fill>
      <patternFill patternType="solid">
        <fgColor rgb="FFF0FAF4"/>
        <bgColor rgb="FFFFFBF0"/>
      </patternFill>
    </fill>
    <fill>
      <patternFill patternType="solid">
        <fgColor rgb="FFFFF5F0"/>
        <bgColor rgb="FFFFFBF0"/>
      </patternFill>
    </fill>
  </fills>
  <borders count="3">
    <border>
      <left/>
      <right/>
      <top/>
      <bottom/>
      <diagonal/>
    </border>
    <border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8" fillId="2" borderId="0" xfId="0" applyFont="1" applyFill="1" applyAlignment="1">
      <alignment horizontal="center" vertical="center"/>
    </xf>
    <xf numFmtId="0" fontId="6" fillId="0" borderId="0" xfId="0" applyFont="1" applyAlignment="1">
      <alignment vertical="center" wrapText="1" indent="1"/>
    </xf>
    <xf numFmtId="0" fontId="17" fillId="11" borderId="0" xfId="0" applyFont="1" applyFill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4" fillId="10" borderId="0" xfId="0" applyFont="1" applyFill="1" applyAlignment="1">
      <alignment vertical="center" wrapText="1" indent="1"/>
    </xf>
    <xf numFmtId="0" fontId="8" fillId="2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/>
    </xf>
    <xf numFmtId="0" fontId="3" fillId="5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 wrapText="1"/>
    </xf>
    <xf numFmtId="0" fontId="7" fillId="0" borderId="0" xfId="0" applyFont="1" applyAlignment="1">
      <alignment vertical="center" indent="1"/>
    </xf>
    <xf numFmtId="0" fontId="5" fillId="0" borderId="0" xfId="0" applyFont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0" fillId="8" borderId="2" xfId="0" applyFont="1" applyFill="1" applyBorder="1" applyAlignment="1">
      <alignment horizontal="center" vertical="center"/>
    </xf>
    <xf numFmtId="164" fontId="11" fillId="9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1" fillId="9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64" fontId="12" fillId="0" borderId="2" xfId="0" applyNumberFormat="1" applyFont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9" fillId="0" borderId="0" xfId="0" applyFont="1" applyAlignment="1">
      <alignment vertical="center" indent="1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4" fontId="1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F0FAF4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5F0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C9A84C"/>
      <rgbColor rgb="FFFF6600"/>
      <rgbColor rgb="FF4A5567"/>
      <rgbColor rgb="FF888888"/>
      <rgbColor rgb="FF0A3D6B"/>
      <rgbColor rgb="FF4A7C5E"/>
      <rgbColor rgb="FF0E1116"/>
      <rgbColor rgb="FF333300"/>
      <rgbColor rgb="FF9C4A2B"/>
      <rgbColor rgb="FF993366"/>
      <rgbColor rgb="FF33339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8D8386-6F27-8C41-A557-10AC64257FDB}">
  <we:reference id="wa200010215" version="2.0.0.0" store="en-U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1116"/>
  </sheetPr>
  <dimension ref="B1:C21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28" customWidth="1"/>
    <col min="3" max="3" width="52" customWidth="1"/>
    <col min="4" max="4" width="2" customWidth="1"/>
  </cols>
  <sheetData>
    <row r="1" spans="2:3" ht="6" customHeight="1" x14ac:dyDescent="0.2"/>
    <row r="2" spans="2:3" ht="36" customHeight="1" x14ac:dyDescent="0.2">
      <c r="B2" s="12" t="s">
        <v>0</v>
      </c>
      <c r="C2" s="12"/>
    </row>
    <row r="3" spans="2:3" ht="24" customHeight="1" x14ac:dyDescent="0.2">
      <c r="B3" s="11" t="s">
        <v>1</v>
      </c>
      <c r="C3" s="11"/>
    </row>
    <row r="4" spans="2:3" ht="7.5" customHeight="1" x14ac:dyDescent="0.2"/>
    <row r="5" spans="2:3" ht="21.75" customHeight="1" x14ac:dyDescent="0.2">
      <c r="B5" s="10" t="s">
        <v>2</v>
      </c>
      <c r="C5" s="10"/>
    </row>
    <row r="6" spans="2:3" ht="19.5" customHeight="1" x14ac:dyDescent="0.2">
      <c r="B6" s="13" t="s">
        <v>3</v>
      </c>
      <c r="C6" s="14" t="s">
        <v>4</v>
      </c>
    </row>
    <row r="7" spans="2:3" ht="19.5" customHeight="1" x14ac:dyDescent="0.2">
      <c r="B7" s="13" t="s">
        <v>5</v>
      </c>
      <c r="C7" s="14" t="s">
        <v>6</v>
      </c>
    </row>
    <row r="8" spans="2:3" ht="19.5" customHeight="1" x14ac:dyDescent="0.2">
      <c r="B8" s="13" t="s">
        <v>7</v>
      </c>
      <c r="C8" s="14" t="s">
        <v>8</v>
      </c>
    </row>
    <row r="9" spans="2:3" ht="7.5" customHeight="1" x14ac:dyDescent="0.2"/>
    <row r="10" spans="2:3" ht="21.75" customHeight="1" x14ac:dyDescent="0.2">
      <c r="B10" s="9" t="s">
        <v>9</v>
      </c>
      <c r="C10" s="9"/>
    </row>
    <row r="11" spans="2:3" ht="19.5" customHeight="1" x14ac:dyDescent="0.2">
      <c r="B11" s="8" t="s">
        <v>10</v>
      </c>
      <c r="C11" s="8"/>
    </row>
    <row r="12" spans="2:3" ht="19.5" customHeight="1" x14ac:dyDescent="0.2">
      <c r="B12" s="8" t="s">
        <v>11</v>
      </c>
      <c r="C12" s="8"/>
    </row>
    <row r="13" spans="2:3" ht="19.5" customHeight="1" x14ac:dyDescent="0.2">
      <c r="B13" s="8" t="s">
        <v>12</v>
      </c>
      <c r="C13" s="8"/>
    </row>
    <row r="14" spans="2:3" ht="19.5" customHeight="1" x14ac:dyDescent="0.2">
      <c r="B14" s="8" t="s">
        <v>13</v>
      </c>
      <c r="C14" s="8"/>
    </row>
    <row r="15" spans="2:3" ht="19.5" customHeight="1" x14ac:dyDescent="0.2">
      <c r="B15" s="8" t="s">
        <v>14</v>
      </c>
      <c r="C15" s="8"/>
    </row>
    <row r="16" spans="2:3" ht="7.5" customHeight="1" x14ac:dyDescent="0.2"/>
    <row r="17" spans="2:3" ht="21.75" customHeight="1" x14ac:dyDescent="0.2">
      <c r="B17" s="7" t="s">
        <v>15</v>
      </c>
      <c r="C17" s="7"/>
    </row>
    <row r="18" spans="2:3" ht="21.75" customHeight="1" x14ac:dyDescent="0.2">
      <c r="B18" s="15" t="s">
        <v>16</v>
      </c>
      <c r="C18" s="16" t="s">
        <v>17</v>
      </c>
    </row>
    <row r="19" spans="2:3" ht="21.75" customHeight="1" x14ac:dyDescent="0.2">
      <c r="B19" s="15" t="s">
        <v>18</v>
      </c>
      <c r="C19" s="16" t="s">
        <v>19</v>
      </c>
    </row>
    <row r="20" spans="2:3" ht="21.75" customHeight="1" x14ac:dyDescent="0.2">
      <c r="B20" s="15" t="s">
        <v>20</v>
      </c>
      <c r="C20" s="16" t="s">
        <v>21</v>
      </c>
    </row>
    <row r="21" spans="2:3" ht="21.75" customHeight="1" x14ac:dyDescent="0.2">
      <c r="B21" s="15" t="s">
        <v>22</v>
      </c>
      <c r="C21" s="16" t="s">
        <v>23</v>
      </c>
    </row>
  </sheetData>
  <mergeCells count="10">
    <mergeCell ref="B12:C12"/>
    <mergeCell ref="B13:C13"/>
    <mergeCell ref="B14:C14"/>
    <mergeCell ref="B15:C15"/>
    <mergeCell ref="B17:C17"/>
    <mergeCell ref="B2:C2"/>
    <mergeCell ref="B3:C3"/>
    <mergeCell ref="B5:C5"/>
    <mergeCell ref="B10:C10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7C5E"/>
  </sheetPr>
  <dimension ref="B1:H1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22" customWidth="1"/>
    <col min="3" max="3" width="16" customWidth="1"/>
    <col min="4" max="4" width="14" customWidth="1"/>
    <col min="5" max="5" width="12" customWidth="1"/>
    <col min="6" max="6" width="18" customWidth="1"/>
    <col min="7" max="7" width="20" customWidth="1"/>
    <col min="8" max="8" width="24" customWidth="1"/>
  </cols>
  <sheetData>
    <row r="1" spans="2:8" ht="6" customHeight="1" x14ac:dyDescent="0.2"/>
    <row r="2" spans="2:8" ht="30" customHeight="1" x14ac:dyDescent="0.2">
      <c r="B2" s="6" t="s">
        <v>24</v>
      </c>
      <c r="C2" s="6"/>
      <c r="D2" s="6"/>
      <c r="E2" s="6"/>
      <c r="F2" s="6"/>
      <c r="G2" s="6"/>
      <c r="H2" s="6"/>
    </row>
    <row r="3" spans="2:8" ht="9.75" customHeight="1" x14ac:dyDescent="0.2"/>
    <row r="4" spans="2:8" ht="21.75" customHeight="1" x14ac:dyDescent="0.2">
      <c r="B4" s="10" t="s">
        <v>25</v>
      </c>
      <c r="C4" s="10"/>
      <c r="D4" s="10"/>
      <c r="E4" s="10"/>
      <c r="F4" s="10"/>
      <c r="G4" s="10"/>
      <c r="H4" s="10"/>
    </row>
    <row r="5" spans="2:8" ht="19.5" customHeight="1" x14ac:dyDescent="0.2">
      <c r="B5" s="17" t="s">
        <v>26</v>
      </c>
      <c r="C5" s="17" t="s">
        <v>27</v>
      </c>
      <c r="D5" s="17" t="s">
        <v>28</v>
      </c>
      <c r="E5" s="17" t="s">
        <v>29</v>
      </c>
      <c r="F5" s="17" t="s">
        <v>30</v>
      </c>
      <c r="G5" s="17" t="s">
        <v>31</v>
      </c>
      <c r="H5" s="17" t="s">
        <v>32</v>
      </c>
    </row>
    <row r="6" spans="2:8" ht="21.75" customHeight="1" x14ac:dyDescent="0.2">
      <c r="B6" s="18" t="s">
        <v>33</v>
      </c>
      <c r="C6" s="19"/>
      <c r="D6" s="19"/>
      <c r="E6" s="19"/>
      <c r="F6" s="20">
        <f>IFERROR(FV(D6,E6,0,C6),"")</f>
        <v>0</v>
      </c>
      <c r="G6" s="21">
        <f>IFERROR(ABS(C6)*(1+D6)^E6,"")</f>
        <v>0</v>
      </c>
      <c r="H6" s="22" t="s">
        <v>34</v>
      </c>
    </row>
    <row r="7" spans="2:8" ht="21.75" customHeight="1" x14ac:dyDescent="0.2">
      <c r="B7" s="18" t="s">
        <v>35</v>
      </c>
      <c r="C7" s="19"/>
      <c r="D7" s="19"/>
      <c r="E7" s="19"/>
      <c r="F7" s="20">
        <f>IFERROR(FV(D7,E7,0,C7),"")</f>
        <v>0</v>
      </c>
      <c r="G7" s="21">
        <f>IFERROR(ABS(C7)*(1+D7)^E7,"")</f>
        <v>0</v>
      </c>
      <c r="H7" s="22" t="s">
        <v>36</v>
      </c>
    </row>
    <row r="8" spans="2:8" ht="21.75" customHeight="1" x14ac:dyDescent="0.2">
      <c r="B8" s="18" t="s">
        <v>37</v>
      </c>
      <c r="C8" s="19"/>
      <c r="D8" s="19"/>
      <c r="E8" s="19"/>
      <c r="F8" s="20">
        <f>IFERROR(FV(D8,E8,0,C8),"")</f>
        <v>0</v>
      </c>
      <c r="G8" s="21">
        <f>IFERROR(ABS(C8)*(1+D8)^E8,"")</f>
        <v>0</v>
      </c>
      <c r="H8" s="22" t="s">
        <v>38</v>
      </c>
    </row>
    <row r="9" spans="2:8" ht="7.5" customHeight="1" x14ac:dyDescent="0.2"/>
    <row r="10" spans="2:8" ht="21.75" customHeight="1" x14ac:dyDescent="0.2">
      <c r="B10" s="5" t="s">
        <v>39</v>
      </c>
      <c r="C10" s="5"/>
      <c r="D10" s="5"/>
      <c r="E10" s="5"/>
      <c r="F10" s="5"/>
      <c r="G10" s="5"/>
      <c r="H10" s="5"/>
    </row>
    <row r="11" spans="2:8" ht="21.75" customHeight="1" x14ac:dyDescent="0.2">
      <c r="B11" s="9" t="s">
        <v>40</v>
      </c>
      <c r="C11" s="9"/>
      <c r="D11" s="9"/>
      <c r="E11" s="9"/>
      <c r="F11" s="9"/>
      <c r="G11" s="9"/>
      <c r="H11" s="9"/>
    </row>
    <row r="12" spans="2:8" ht="19.5" customHeight="1" x14ac:dyDescent="0.2">
      <c r="B12" s="17" t="s">
        <v>41</v>
      </c>
      <c r="C12" s="17" t="s">
        <v>42</v>
      </c>
      <c r="D12" s="17" t="s">
        <v>43</v>
      </c>
      <c r="E12" s="17" t="s">
        <v>29</v>
      </c>
      <c r="F12" s="17" t="s">
        <v>44</v>
      </c>
      <c r="G12" s="17" t="s">
        <v>45</v>
      </c>
      <c r="H12" s="17" t="s">
        <v>46</v>
      </c>
    </row>
    <row r="13" spans="2:8" ht="21.75" customHeight="1" x14ac:dyDescent="0.2">
      <c r="B13" s="18" t="s">
        <v>47</v>
      </c>
      <c r="C13" s="19"/>
      <c r="D13" s="23">
        <v>0.06</v>
      </c>
      <c r="E13" s="23">
        <v>5</v>
      </c>
      <c r="F13" s="23" t="s">
        <v>48</v>
      </c>
      <c r="G13" s="24" t="s">
        <v>42</v>
      </c>
      <c r="H13" s="20">
        <f>IFERROR(PV(D13,E13,0,F13),"")</f>
        <v>-25000.000418464566</v>
      </c>
    </row>
    <row r="14" spans="2:8" ht="21.75" customHeight="1" x14ac:dyDescent="0.2">
      <c r="B14" s="18" t="s">
        <v>49</v>
      </c>
      <c r="C14" s="33">
        <v>-25000</v>
      </c>
      <c r="D14" s="23">
        <v>0.06</v>
      </c>
      <c r="E14" s="19"/>
      <c r="F14" s="23" t="s">
        <v>48</v>
      </c>
      <c r="G14" s="24" t="s">
        <v>50</v>
      </c>
      <c r="H14" s="34">
        <f>IFERROR(LOG(F14/ABS(C14))/LOG(1+D14),"")</f>
        <v>5.0000002872643954</v>
      </c>
    </row>
  </sheetData>
  <mergeCells count="4">
    <mergeCell ref="B2:H2"/>
    <mergeCell ref="B4:H4"/>
    <mergeCell ref="B10:H10"/>
    <mergeCell ref="B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C4A2B"/>
  </sheetPr>
  <dimension ref="B1:G15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22" customWidth="1"/>
    <col min="3" max="3" width="18" customWidth="1"/>
    <col min="4" max="5" width="16" customWidth="1"/>
    <col min="6" max="6" width="20" customWidth="1"/>
    <col min="7" max="7" width="24" customWidth="1"/>
  </cols>
  <sheetData>
    <row r="1" spans="2:7" ht="6" customHeight="1" x14ac:dyDescent="0.2"/>
    <row r="2" spans="2:7" ht="30" customHeight="1" x14ac:dyDescent="0.2">
      <c r="B2" s="6" t="s">
        <v>51</v>
      </c>
      <c r="C2" s="6"/>
      <c r="D2" s="6"/>
      <c r="E2" s="6"/>
      <c r="F2" s="6"/>
      <c r="G2" s="6"/>
    </row>
    <row r="3" spans="2:7" ht="9.75" customHeight="1" x14ac:dyDescent="0.2"/>
    <row r="4" spans="2:7" ht="21.75" customHeight="1" x14ac:dyDescent="0.2">
      <c r="B4" s="7" t="s">
        <v>52</v>
      </c>
      <c r="C4" s="7"/>
      <c r="D4" s="7"/>
      <c r="E4" s="7"/>
      <c r="F4" s="7"/>
      <c r="G4" s="7"/>
    </row>
    <row r="5" spans="2:7" ht="21.75" customHeight="1" x14ac:dyDescent="0.2">
      <c r="B5" s="18" t="s">
        <v>53</v>
      </c>
      <c r="C5" s="19"/>
      <c r="D5" s="18" t="s">
        <v>54</v>
      </c>
      <c r="E5" s="19"/>
      <c r="F5" s="18" t="s">
        <v>50</v>
      </c>
      <c r="G5" s="19"/>
    </row>
    <row r="6" spans="2:7" ht="21.75" customHeight="1" x14ac:dyDescent="0.2">
      <c r="B6" s="4" t="s">
        <v>55</v>
      </c>
      <c r="C6" s="4"/>
      <c r="D6" s="4"/>
      <c r="E6" s="4"/>
      <c r="F6" s="4"/>
      <c r="G6" s="4"/>
    </row>
    <row r="7" spans="2:7" ht="9.75" customHeight="1" x14ac:dyDescent="0.2"/>
    <row r="8" spans="2:7" ht="21.75" customHeight="1" x14ac:dyDescent="0.2">
      <c r="B8" s="9" t="s">
        <v>56</v>
      </c>
      <c r="C8" s="9"/>
      <c r="D8" s="9"/>
      <c r="E8" s="9"/>
      <c r="F8" s="9"/>
      <c r="G8" s="9"/>
    </row>
    <row r="9" spans="2:7" ht="19.5" customHeight="1" x14ac:dyDescent="0.2">
      <c r="B9" s="17" t="s">
        <v>57</v>
      </c>
      <c r="C9" s="17" t="s">
        <v>58</v>
      </c>
      <c r="D9" s="17" t="s">
        <v>59</v>
      </c>
      <c r="E9" s="17" t="s">
        <v>60</v>
      </c>
      <c r="F9" s="17" t="s">
        <v>30</v>
      </c>
      <c r="G9" s="17" t="s">
        <v>61</v>
      </c>
    </row>
    <row r="10" spans="2:7" ht="21.75" customHeight="1" x14ac:dyDescent="0.2">
      <c r="B10" s="18" t="s">
        <v>62</v>
      </c>
      <c r="C10" s="23">
        <v>1</v>
      </c>
      <c r="D10" s="19"/>
      <c r="E10" s="19"/>
      <c r="F10" s="20">
        <f>IFERROR(FV(D10,E10,0,$C$5),"")</f>
        <v>0</v>
      </c>
      <c r="G10" s="26" t="s">
        <v>63</v>
      </c>
    </row>
    <row r="11" spans="2:7" ht="21.75" customHeight="1" x14ac:dyDescent="0.2">
      <c r="B11" s="18" t="s">
        <v>64</v>
      </c>
      <c r="C11" s="23">
        <v>2</v>
      </c>
      <c r="D11" s="19"/>
      <c r="E11" s="19"/>
      <c r="F11" s="20">
        <f>IFERROR(FV(D11,E11,0,$C$5),"")</f>
        <v>0</v>
      </c>
      <c r="G11" s="27">
        <f>IFERROR(F11-F10,"")</f>
        <v>0</v>
      </c>
    </row>
    <row r="12" spans="2:7" ht="21.75" customHeight="1" x14ac:dyDescent="0.2">
      <c r="B12" s="18" t="s">
        <v>65</v>
      </c>
      <c r="C12" s="23">
        <v>4</v>
      </c>
      <c r="D12" s="19"/>
      <c r="E12" s="19"/>
      <c r="F12" s="20">
        <f>IFERROR(FV(D12,E12,0,$C$5),"")</f>
        <v>0</v>
      </c>
      <c r="G12" s="27">
        <f>IFERROR(F12-F10,"")</f>
        <v>0</v>
      </c>
    </row>
    <row r="13" spans="2:7" ht="21.75" customHeight="1" x14ac:dyDescent="0.2">
      <c r="B13" s="18" t="s">
        <v>66</v>
      </c>
      <c r="C13" s="23">
        <v>12</v>
      </c>
      <c r="D13" s="19"/>
      <c r="E13" s="19"/>
      <c r="F13" s="20">
        <f>IFERROR(FV(D13,E13,0,$C$5),"")</f>
        <v>0</v>
      </c>
      <c r="G13" s="27">
        <f>IFERROR(F13-F10,"")</f>
        <v>0</v>
      </c>
    </row>
    <row r="14" spans="2:7" ht="7.5" customHeight="1" x14ac:dyDescent="0.2"/>
    <row r="15" spans="2:7" ht="21.75" customHeight="1" x14ac:dyDescent="0.2">
      <c r="B15" s="3" t="s">
        <v>67</v>
      </c>
      <c r="C15" s="3"/>
      <c r="D15" s="3"/>
      <c r="E15" s="3"/>
      <c r="F15" s="3"/>
      <c r="G15" s="3"/>
    </row>
  </sheetData>
  <mergeCells count="5">
    <mergeCell ref="B2:G2"/>
    <mergeCell ref="B4:G4"/>
    <mergeCell ref="B6:G6"/>
    <mergeCell ref="B8:G8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8843D"/>
  </sheetPr>
  <dimension ref="B1:E11"/>
  <sheetViews>
    <sheetView showGridLines="0" tabSelected="1" zoomScaleNormal="100" workbookViewId="0">
      <selection activeCell="D6" sqref="D6"/>
    </sheetView>
  </sheetViews>
  <sheetFormatPr baseColWidth="10" defaultColWidth="8.6640625" defaultRowHeight="15" x14ac:dyDescent="0.2"/>
  <cols>
    <col min="1" max="1" width="2" customWidth="1"/>
    <col min="2" max="2" width="28" customWidth="1"/>
    <col min="3" max="4" width="20" customWidth="1"/>
    <col min="5" max="5" width="28" customWidth="1"/>
  </cols>
  <sheetData>
    <row r="1" spans="2:5" ht="6" customHeight="1" x14ac:dyDescent="0.2"/>
    <row r="2" spans="2:5" ht="30" customHeight="1" x14ac:dyDescent="0.2">
      <c r="B2" s="6" t="s">
        <v>68</v>
      </c>
      <c r="C2" s="6"/>
      <c r="D2" s="6"/>
      <c r="E2" s="6"/>
    </row>
    <row r="3" spans="2:5" ht="9.75" customHeight="1" x14ac:dyDescent="0.2"/>
    <row r="4" spans="2:5" ht="21.75" customHeight="1" x14ac:dyDescent="0.2">
      <c r="B4" s="10" t="s">
        <v>69</v>
      </c>
      <c r="C4" s="10"/>
      <c r="D4" s="10"/>
      <c r="E4" s="10"/>
    </row>
    <row r="5" spans="2:5" ht="19.5" customHeight="1" x14ac:dyDescent="0.2">
      <c r="B5" s="17" t="s">
        <v>70</v>
      </c>
      <c r="C5" s="17" t="s">
        <v>71</v>
      </c>
      <c r="D5" s="17" t="s">
        <v>72</v>
      </c>
      <c r="E5" s="17" t="s">
        <v>32</v>
      </c>
    </row>
    <row r="6" spans="2:5" ht="24" customHeight="1" x14ac:dyDescent="0.2">
      <c r="B6" s="13" t="s">
        <v>73</v>
      </c>
      <c r="C6" s="25">
        <f>IFERROR(72/5,"")</f>
        <v>14.4</v>
      </c>
      <c r="D6" s="35">
        <f>IFERROR(FV(5%,C6,0,-1000),"")</f>
        <v>2018.9515944679863</v>
      </c>
      <c r="E6" s="22" t="s">
        <v>74</v>
      </c>
    </row>
    <row r="7" spans="2:5" ht="24" customHeight="1" x14ac:dyDescent="0.2">
      <c r="B7" s="13" t="s">
        <v>75</v>
      </c>
      <c r="C7" s="25">
        <f>IFERROR(72/8,"")</f>
        <v>9</v>
      </c>
      <c r="D7" s="35">
        <f>IFERROR(FV(8%,C7,0,-1000),"")</f>
        <v>1999.004627104433</v>
      </c>
      <c r="E7" s="22" t="s">
        <v>74</v>
      </c>
    </row>
    <row r="8" spans="2:5" ht="24" customHeight="1" x14ac:dyDescent="0.2">
      <c r="B8" s="13" t="s">
        <v>76</v>
      </c>
      <c r="C8" s="25">
        <f>IFERROR(72/3,"")</f>
        <v>24</v>
      </c>
      <c r="D8" s="35">
        <f>IFERROR(FV(3%,C8,0,-1000),"")</f>
        <v>2032.7941064604017</v>
      </c>
      <c r="E8" s="22" t="s">
        <v>74</v>
      </c>
    </row>
    <row r="9" spans="2:5" ht="9.75" customHeight="1" x14ac:dyDescent="0.2"/>
    <row r="10" spans="2:5" ht="21.75" customHeight="1" x14ac:dyDescent="0.2">
      <c r="B10" s="9" t="s">
        <v>77</v>
      </c>
      <c r="C10" s="9"/>
      <c r="D10" s="9"/>
      <c r="E10" s="9"/>
    </row>
    <row r="11" spans="2:5" ht="39.75" customHeight="1" x14ac:dyDescent="0.2">
      <c r="B11" s="2" t="s">
        <v>78</v>
      </c>
      <c r="C11" s="2"/>
      <c r="D11" s="2"/>
      <c r="E11" s="2"/>
    </row>
  </sheetData>
  <mergeCells count="4">
    <mergeCell ref="B2:E2"/>
    <mergeCell ref="B4:E4"/>
    <mergeCell ref="B10:E10"/>
    <mergeCell ref="B11:E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88888"/>
  </sheetPr>
  <dimension ref="B1:E23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30" customWidth="1"/>
    <col min="3" max="3" width="28" customWidth="1"/>
    <col min="4" max="4" width="30" customWidth="1"/>
    <col min="5" max="5" width="26" customWidth="1"/>
  </cols>
  <sheetData>
    <row r="1" spans="2:5" ht="6" customHeight="1" x14ac:dyDescent="0.2"/>
    <row r="2" spans="2:5" ht="30" customHeight="1" x14ac:dyDescent="0.2">
      <c r="B2" s="6" t="s">
        <v>79</v>
      </c>
      <c r="C2" s="6"/>
      <c r="D2" s="6"/>
      <c r="E2" s="6"/>
    </row>
    <row r="3" spans="2:5" ht="19.5" customHeight="1" x14ac:dyDescent="0.2">
      <c r="B3" s="1" t="s">
        <v>80</v>
      </c>
      <c r="C3" s="1"/>
      <c r="D3" s="1"/>
      <c r="E3" s="1"/>
    </row>
    <row r="4" spans="2:5" ht="9.75" customHeight="1" x14ac:dyDescent="0.2"/>
    <row r="5" spans="2:5" ht="21.75" customHeight="1" x14ac:dyDescent="0.2">
      <c r="B5" s="10" t="s">
        <v>81</v>
      </c>
      <c r="C5" s="10"/>
      <c r="D5" s="10"/>
      <c r="E5" s="10"/>
    </row>
    <row r="6" spans="2:5" ht="18" customHeight="1" x14ac:dyDescent="0.2">
      <c r="B6" s="28" t="s">
        <v>82</v>
      </c>
      <c r="C6" s="28" t="s">
        <v>83</v>
      </c>
      <c r="D6" s="28" t="s">
        <v>84</v>
      </c>
      <c r="E6" s="28" t="s">
        <v>32</v>
      </c>
    </row>
    <row r="7" spans="2:5" ht="19.5" customHeight="1" x14ac:dyDescent="0.2">
      <c r="B7" s="13" t="s">
        <v>85</v>
      </c>
      <c r="C7" s="29" t="s">
        <v>86</v>
      </c>
      <c r="D7" s="30" t="s">
        <v>87</v>
      </c>
      <c r="E7" s="22" t="s">
        <v>88</v>
      </c>
    </row>
    <row r="8" spans="2:5" ht="19.5" customHeight="1" x14ac:dyDescent="0.2">
      <c r="B8" s="13" t="s">
        <v>89</v>
      </c>
      <c r="C8" s="30" t="s">
        <v>87</v>
      </c>
      <c r="D8" s="30" t="s">
        <v>90</v>
      </c>
      <c r="E8" s="22" t="s">
        <v>91</v>
      </c>
    </row>
    <row r="9" spans="2:5" ht="19.5" customHeight="1" x14ac:dyDescent="0.2">
      <c r="B9" s="13" t="s">
        <v>92</v>
      </c>
      <c r="C9" s="30" t="s">
        <v>90</v>
      </c>
      <c r="D9" s="30" t="s">
        <v>93</v>
      </c>
      <c r="E9" s="22" t="s">
        <v>94</v>
      </c>
    </row>
    <row r="10" spans="2:5" ht="7.5" customHeight="1" x14ac:dyDescent="0.2"/>
    <row r="11" spans="2:5" ht="21.75" customHeight="1" x14ac:dyDescent="0.2">
      <c r="B11" s="9" t="s">
        <v>95</v>
      </c>
      <c r="C11" s="9"/>
      <c r="D11" s="9"/>
      <c r="E11" s="9"/>
    </row>
    <row r="12" spans="2:5" ht="18" customHeight="1" x14ac:dyDescent="0.2">
      <c r="B12" s="31" t="s">
        <v>82</v>
      </c>
      <c r="C12" s="31" t="s">
        <v>83</v>
      </c>
      <c r="D12" s="31" t="s">
        <v>84</v>
      </c>
      <c r="E12" s="31" t="s">
        <v>32</v>
      </c>
    </row>
    <row r="13" spans="2:5" ht="19.5" customHeight="1" x14ac:dyDescent="0.2">
      <c r="B13" s="13" t="s">
        <v>96</v>
      </c>
      <c r="C13" s="29" t="s">
        <v>97</v>
      </c>
      <c r="D13" s="30" t="s">
        <v>98</v>
      </c>
      <c r="E13" s="22" t="s">
        <v>99</v>
      </c>
    </row>
    <row r="14" spans="2:5" ht="19.5" customHeight="1" x14ac:dyDescent="0.2">
      <c r="B14" s="13" t="s">
        <v>100</v>
      </c>
      <c r="C14" s="29" t="s">
        <v>101</v>
      </c>
      <c r="D14" s="30" t="s">
        <v>102</v>
      </c>
      <c r="E14" s="22" t="s">
        <v>103</v>
      </c>
    </row>
    <row r="15" spans="2:5" ht="19.5" customHeight="1" x14ac:dyDescent="0.2">
      <c r="B15" s="13" t="s">
        <v>104</v>
      </c>
      <c r="C15" s="30" t="s">
        <v>105</v>
      </c>
      <c r="D15" s="30" t="s">
        <v>106</v>
      </c>
      <c r="E15" s="22" t="s">
        <v>107</v>
      </c>
    </row>
    <row r="16" spans="2:5" ht="19.5" customHeight="1" x14ac:dyDescent="0.2">
      <c r="B16" s="13" t="s">
        <v>108</v>
      </c>
      <c r="C16" s="30" t="s">
        <v>109</v>
      </c>
      <c r="D16" s="30" t="s">
        <v>110</v>
      </c>
      <c r="E16" s="22" t="s">
        <v>107</v>
      </c>
    </row>
    <row r="17" spans="2:5" ht="7.5" customHeight="1" x14ac:dyDescent="0.2"/>
    <row r="18" spans="2:5" ht="21.75" customHeight="1" x14ac:dyDescent="0.2">
      <c r="B18" s="7" t="s">
        <v>111</v>
      </c>
      <c r="C18" s="7"/>
      <c r="D18" s="7"/>
      <c r="E18" s="7"/>
    </row>
    <row r="19" spans="2:5" ht="18" customHeight="1" x14ac:dyDescent="0.2">
      <c r="B19" s="32" t="s">
        <v>82</v>
      </c>
      <c r="C19" s="32" t="s">
        <v>83</v>
      </c>
      <c r="D19" s="32" t="s">
        <v>84</v>
      </c>
      <c r="E19" s="32" t="s">
        <v>32</v>
      </c>
    </row>
    <row r="20" spans="2:5" ht="19.5" customHeight="1" x14ac:dyDescent="0.2">
      <c r="B20" s="13" t="s">
        <v>112</v>
      </c>
      <c r="C20" s="29" t="s">
        <v>113</v>
      </c>
      <c r="D20" s="30" t="s">
        <v>114</v>
      </c>
      <c r="E20" s="22" t="s">
        <v>115</v>
      </c>
    </row>
    <row r="21" spans="2:5" ht="19.5" customHeight="1" x14ac:dyDescent="0.2">
      <c r="B21" s="13" t="s">
        <v>116</v>
      </c>
      <c r="C21" s="29" t="s">
        <v>117</v>
      </c>
      <c r="D21" s="30" t="s">
        <v>118</v>
      </c>
      <c r="E21" s="22" t="s">
        <v>119</v>
      </c>
    </row>
    <row r="22" spans="2:5" ht="19.5" customHeight="1" x14ac:dyDescent="0.2">
      <c r="B22" s="13" t="s">
        <v>120</v>
      </c>
      <c r="C22" s="29" t="s">
        <v>121</v>
      </c>
      <c r="D22" s="30" t="s">
        <v>122</v>
      </c>
      <c r="E22" s="22" t="s">
        <v>123</v>
      </c>
    </row>
    <row r="23" spans="2:5" ht="7.5" customHeight="1" x14ac:dyDescent="0.2"/>
  </sheetData>
  <mergeCells count="5">
    <mergeCell ref="B2:E2"/>
    <mergeCell ref="B3:E3"/>
    <mergeCell ref="B5:E5"/>
    <mergeCell ref="B11:E11"/>
    <mergeCell ref="B18:E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Part A · FV Annual</vt:lpstr>
      <vt:lpstr>Part B · Compounding Freq</vt:lpstr>
      <vt:lpstr>Part C · Rule of 72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2026-06-08T18:08:20Z</dcterms:created>
  <dcterms:modified xsi:type="dcterms:W3CDTF">2026-06-09T01:26:40Z</dcterms:modified>
  <dc:language>en-US</dc:language>
</cp:coreProperties>
</file>