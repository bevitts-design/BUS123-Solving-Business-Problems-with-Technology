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03d9b0525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Draft Notes" sheetId="1" r:id="R75bcc0d942184d42"/>
    <x:sheet xmlns:r="http://schemas.openxmlformats.org/officeDocument/2006/relationships" name="Stock Snapshot" sheetId="2" r:id="R13f282b906c34b68"/>
    <x:sheet xmlns:r="http://schemas.openxmlformats.org/officeDocument/2006/relationships" name="Investment Return" sheetId="3" r:id="Rd3c5f8aa0e804daa"/>
    <x:sheet xmlns:r="http://schemas.openxmlformats.org/officeDocument/2006/relationships" name="Bond Check" sheetId="4" r:id="Rc6b2716b2dbb4f5b"/>
    <x:sheet xmlns:r="http://schemas.openxmlformats.org/officeDocument/2006/relationships" name="Fund NAV" sheetId="5" r:id="R7a29950f4ace4d50"/>
    <x:sheet xmlns:r="http://schemas.openxmlformats.org/officeDocument/2006/relationships" name="Financial Statements" sheetId="6" r:id="R8dc88a009e1f4ca7"/>
    <x:sheet xmlns:r="http://schemas.openxmlformats.org/officeDocument/2006/relationships" name="Dashboard" sheetId="7" r:id="Re4a3c4de6c594044"/>
    <x:sheet xmlns:r="http://schemas.openxmlformats.org/officeDocument/2006/relationships" name="Prompt Log" sheetId="8" r:id="Rec9b6e3be286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General"/>
    <x:numFmt numFmtId="201" formatCode="$#,##0.00;[Red]($#,##0.00);-"/>
    <x:numFmt numFmtId="202" formatCode="0.0%;[Red](0.0%);-"/>
    <x:numFmt numFmtId="203" formatCode="0.00"/>
    <x:numFmt numFmtId="204" formatCode="$#,##0;[Red]($#,##0);-"/>
    <x:numFmt numFmtId="205" formatCode="#,##0;[Red](#,##0);-"/>
    <x:numFmt numFmtId="206" formatCode="0.00x"/>
    <x:numFmt numFmtId="207" formatCode="0.0x;[Red](0.0x);-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sz val="10"/>
      <x:color rgb="FF1F2A33"/>
      <x:name val="Carlito"/>
    </x:font>
    <x:font>
      <x:sz val="10"/>
      <x:color rgb="FF0000FF"/>
      <x:name val="Carlito"/>
    </x:font>
    <x:font>
      <x:sz val="10"/>
      <x:color rgb="FF008000"/>
      <x:name val="Carlito"/>
    </x:font>
    <x:font>
      <x:b/>
      <x:sz val="10"/>
      <x:color rgb="FFFFFFFF"/>
      <x:name val="Carlito"/>
    </x:font>
    <x:font>
      <x:b/>
      <x:sz val="14"/>
      <x:color rgb="FF9C4A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2A33"/>
      </x:patternFill>
    </x:fill>
    <x:fill>
      <x:patternFill patternType="solid">
        <x:fgColor rgb="FFF7F4ED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FFF4D8"/>
      </x:patternFill>
    </x:fill>
    <x:fill>
      <x:patternFill patternType="solid">
        <x:fgColor rgb="FFF9ECE8"/>
      </x:patternFill>
    </x:fill>
  </x:fills>
  <x:borders count="2">
    <x:border/>
    <x:border>
      <x:left style="thin">
        <x:color rgb="FFD8D0C2"/>
      </x:left>
      <x:right style="thin">
        <x:color rgb="FFD8D0C2"/>
      </x:right>
      <x:top style="thin">
        <x:color rgb="FFD8D0C2"/>
      </x:top>
      <x:bottom style="thin">
        <x:color rgb="FFD8D0C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vertical="center" wrapText="1"/>
    </x:xf>
    <x:xf numFmtId="202" fontId="6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205" fontId="4" fillId="5" borderId="1" xfId="0" applyNumberFormat="1" applyFont="1" applyFill="1" applyBorder="1" applyAlignment="1">
      <x:alignment vertical="center" wrapText="1"/>
    </x:xf>
    <x:xf numFmtId="206" fontId="4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207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b148285824c57" /><Relationship Type="http://schemas.openxmlformats.org/officeDocument/2006/relationships/theme" Target="/xl/theme/theme1.xml" Id="Rcdc134101e284d00" /><Relationship Type="http://schemas.openxmlformats.org/officeDocument/2006/relationships/sharedStrings" Target="/xl/sharedStrings.xml" Id="Rf2d3b51a270e4b21" /><Relationship Type="http://schemas.openxmlformats.org/officeDocument/2006/relationships/worksheet" Target="/xl/worksheets/sheet1.xml" Id="R75bcc0d942184d42" /><Relationship Type="http://schemas.openxmlformats.org/officeDocument/2006/relationships/worksheet" Target="/xl/worksheets/sheet2.xml" Id="R13f282b906c34b68" /><Relationship Type="http://schemas.openxmlformats.org/officeDocument/2006/relationships/worksheet" Target="/xl/worksheets/sheet3.xml" Id="Rd3c5f8aa0e804daa" /><Relationship Type="http://schemas.openxmlformats.org/officeDocument/2006/relationships/worksheet" Target="/xl/worksheets/sheet4.xml" Id="Rc6b2716b2dbb4f5b" /><Relationship Type="http://schemas.openxmlformats.org/officeDocument/2006/relationships/worksheet" Target="/xl/worksheets/sheet5.xml" Id="R7a29950f4ace4d50" /><Relationship Type="http://schemas.openxmlformats.org/officeDocument/2006/relationships/worksheet" Target="/xl/worksheets/sheet6.xml" Id="R8dc88a009e1f4ca7" /><Relationship Type="http://schemas.openxmlformats.org/officeDocument/2006/relationships/worksheet" Target="/xl/worksheets/sheet7.xml" Id="Re4a3c4de6c594044" /><Relationship Type="http://schemas.openxmlformats.org/officeDocument/2006/relationships/worksheet" Target="/xl/worksheets/sheet8.xml" Id="Rec9b6e3be2864c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aa7c5e812545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 Draft Mixed Metrics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Draft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3"/>
              <c:pt idx="0">
                <c:v>ROI</c:v>
              </c:pt>
              <c:pt idx="1">
                <c:v>Dividend Yield</c:v>
              </c:pt>
              <c:pt idx="2">
                <c:v>Profit Margin</c:v>
              </c:pt>
            </c:strLit>
          </c:cat>
          <c:val>
            <c:numLit>
              <c:formatCode>General</c:formatCode>
              <c:ptCount val="3"/>
              <c:pt idx="0">
                <c:v>0.231</c:v>
              </c:pt>
              <c:pt idx="1">
                <c:v>1.8</c:v>
              </c:pt>
              <c:pt idx="2">
                <c:v>14.2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15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aa7c5e8125456e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686fe4662fc4db1" /></Relationships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255" hidden="0" customWidth="1"/>
  </x:cols>
  <x:sheetData>
    <x:row r="1">
      <x:c r="A1" s="4" t="str">
        <x:v>AI Draft Notes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These notes were generated by AI for a junior analyst. Treat them as claims to verify.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AI Claim</x:v>
      </x:c>
      <x:c r="B4" s="13" t="str">
        <x:v>Status / Student Review</x:v>
      </x:c>
    </x:row>
    <x:row r="5">
      <x:c r="A5" s="19" t="str">
        <x:v>EFT looks like a strong buy because the current price is below the 52-week high.</x:v>
      </x:c>
      <x:c r="B5" s="18" t="str"/>
    </x:row>
    <x:row r="6">
      <x:c r="A6" s="19" t="str">
        <x:v>The bond quote of 98.75 means the bond costs $98.75.</x:v>
      </x:c>
      <x:c r="B6" s="18" t="str"/>
    </x:row>
    <x:row r="7">
      <x:c r="A7" s="19" t="str">
        <x:v>ROI can be estimated from sale price minus purchase price, divided by purchase price.</x:v>
      </x:c>
      <x:c r="B7" s="18" t="str"/>
    </x:row>
    <x:row r="8">
      <x:c r="A8" s="19" t="str">
        <x:v>The fund NAV is total holdings divided by shares outstanding.</x:v>
      </x:c>
      <x:c r="B8" s="18" t="str"/>
    </x:row>
    <x:row r="9">
      <x:c r="A9" s="19" t="str">
        <x:v>A high P/E ratio always means the stock is overpriced.</x:v>
      </x:c>
      <x:c r="B9" s="18" t="str"/>
    </x:row>
    <x:row r="10">
      <x:c r="A10" s="19" t="str">
        <x:v>The dashboard chart is polished, so it should be enough for the client.</x:v>
      </x:c>
      <x:c r="B10" s="1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150" hidden="0" customWidth="1"/>
    <x:col min="3" max="3" width="255" hidden="0" customWidth="1"/>
  </x:cols>
  <x:sheetData>
    <x:row r="1">
      <x:c r="A1" s="4" t="str">
        <x:v>Stock Snapshot</x:v>
      </x:c>
      <x:c r="B1" s="4"/>
      <x:c r="C1" s="4"/>
      <x:c r="D1" s="4"/>
      <x:c r="E1" s="4"/>
      <x:c r="F1" s="4"/>
      <x:c r="G1" s="4"/>
      <x:c r="H1" s="4"/>
    </x:row>
    <x:row r="2">
      <x:c r="A2" s="7" t="str">
        <x:v>Source data for Evergreen Fitness Technologies (EFT). Check formulas, units, and formats before using this data.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Input</x:v>
      </x:c>
      <x:c r="B4" s="13" t="str">
        <x:v>Value</x:v>
      </x:c>
      <x:c r="C4" s="13" t="str">
        <x:v>Student / Analyst Notes</x:v>
      </x:c>
    </x:row>
    <x:row r="5">
      <x:c r="A5" s="18" t="str">
        <x:v>Ticker</x:v>
      </x:c>
      <x:c r="B5" s="20" t="str">
        <x:v>EFT</x:v>
      </x:c>
      <x:c r="C5" s="18" t="str"/>
    </x:row>
    <x:row r="6">
      <x:c r="A6" s="18" t="str">
        <x:v>Company</x:v>
      </x:c>
      <x:c r="B6" s="20" t="str">
        <x:v>Evergreen Fitness Technologies</x:v>
      </x:c>
      <x:c r="C6" s="18" t="str"/>
    </x:row>
    <x:row r="7">
      <x:c r="A7" s="18" t="str">
        <x:v>Current market price</x:v>
      </x:c>
      <x:c r="B7" s="20" t="n">
        <x:v>46.2</x:v>
      </x:c>
      <x:c r="C7" s="18" t="str"/>
    </x:row>
    <x:row r="8">
      <x:c r="A8" s="18" t="str">
        <x:v>Bid price</x:v>
      </x:c>
      <x:c r="B8" s="20" t="n">
        <x:v>46.12</x:v>
      </x:c>
      <x:c r="C8" s="18" t="str"/>
    </x:row>
    <x:row r="9">
      <x:c r="A9" s="18" t="str">
        <x:v>Ask price</x:v>
      </x:c>
      <x:c r="B9" s="20" t="n">
        <x:v>46.38</x:v>
      </x:c>
      <x:c r="C9" s="18" t="str"/>
    </x:row>
    <x:row r="10">
      <x:c r="A10" s="18" t="str">
        <x:v>52-week low</x:v>
      </x:c>
      <x:c r="B10" s="20" t="n">
        <x:v>34.5</x:v>
      </x:c>
      <x:c r="C10" s="18" t="str"/>
    </x:row>
    <x:row r="11">
      <x:c r="A11" s="18" t="str">
        <x:v>52-week high</x:v>
      </x:c>
      <x:c r="B11" s="20" t="n">
        <x:v>64.8</x:v>
      </x:c>
      <x:c r="C11" s="18" t="str"/>
    </x:row>
    <x:row r="12">
      <x:c r="A12" s="18" t="str">
        <x:v>Annual dividend per share</x:v>
      </x:c>
      <x:c r="B12" s="20" t="n">
        <x:v>0.8</x:v>
      </x:c>
      <x:c r="C12" s="18" t="str"/>
    </x:row>
    <x:row r="13">
      <x:c r="A13" s="18" t="str">
        <x:v>Earnings per share</x:v>
      </x:c>
      <x:c r="B13" s="20" t="n">
        <x:v>2.1</x:v>
      </x:c>
      <x:c r="C13" s="18" t="str"/>
    </x:row>
    <x:row r="14">
      <x:c r="A14" s="18" t="str">
        <x:v>Shares purchased</x:v>
      </x:c>
      <x:c r="B14" s="20" t="n">
        <x:v>150</x:v>
      </x:c>
      <x:c r="C14" s="18" t="str"/>
    </x:row>
    <x:row r="15">
      <x:c r="A15" s="18" t="str">
        <x:v>Purchase price per share</x:v>
      </x:c>
      <x:c r="B15" s="20" t="n">
        <x:v>39.6</x:v>
      </x:c>
      <x:c r="C15" s="18" t="str"/>
    </x:row>
    <x:row r="16">
      <x:c r="A16" s="18" t="str">
        <x:v>Expected sale price per share</x:v>
      </x:c>
      <x:c r="B16" s="20" t="n">
        <x:v>48.75</x:v>
      </x:c>
      <x:c r="C16" s="18" t="str"/>
    </x:row>
    <x:row r="17">
      <x:c r="A17" s="18" t="str">
        <x:v>Commission rate</x:v>
      </x:c>
      <x:c r="B17" s="20" t="n">
        <x:v>0.01</x:v>
      </x:c>
      <x:c r="C17" s="18" t="str"/>
    </x:row>
    <x:row r="20">
      <x:c r="A20" s="13" t="str">
        <x:v>Metric</x:v>
      </x:c>
      <x:c r="B20" s="13" t="str">
        <x:v>Draft Result</x:v>
      </x:c>
      <x:c r="C20" s="13" t="str">
        <x:v>Notes</x:v>
      </x:c>
    </x:row>
    <x:row r="21">
      <x:c r="A21" s="18" t="str">
        <x:v>Dividend Yield</x:v>
      </x:c>
      <x:c r="B21" s="22" t="n">
        <x:v>1.8</x:v>
      </x:c>
      <x:c r="C21" s="18" t="str">
        <x:v>Looks like 1.8%; verify before using</x:v>
      </x:c>
    </x:row>
    <x:row r="22">
      <x:c r="A22" s="18" t="str">
        <x:v>P/E Ratio</x:v>
      </x:c>
      <x:c r="B22" s="22" t="n">
        <x:v>22</x:v>
      </x:c>
      <x:c r="C22" s="18" t="str">
        <x:v>Typed result from AI draft</x:v>
      </x:c>
    </x:row>
    <x:row r="23">
      <x:c r="A23" s="18" t="str">
        <x:v>Bid-Ask Spread</x:v>
      </x:c>
      <x:c r="B23" s="22" t="n">
        <x:v>0.26</x:v>
      </x:c>
      <x:c r="C23" s="18" t="str">
        <x:v>Appears reasonable</x:v>
      </x:c>
    </x:row>
    <x:row r="24">
      <x:c r="A24" s="18" t="str">
        <x:v>Price Above 52-Week Low</x:v>
      </x:c>
      <x:c r="B24" s="22" t="n">
        <x:v>11.7</x:v>
      </x:c>
      <x:c r="C24" s="18" t="str">
        <x:v>Check whether this should be dollars or percent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180" hidden="0" customWidth="1"/>
    <x:col min="3" max="3" width="255" hidden="0" customWidth="1"/>
  </x:cols>
  <x:sheetData>
    <x:row r="1">
      <x:c r="A1" s="4" t="str">
        <x:v>Investment Return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Audit the stock ROI model. Check whether transaction costs and dividends are handled correctly.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Input</x:v>
      </x:c>
      <x:c r="B4" s="13" t="str">
        <x:v>Value</x:v>
      </x:c>
    </x:row>
    <x:row r="5">
      <x:c r="A5" s="18" t="str">
        <x:v>Shares purchased</x:v>
      </x:c>
      <x:c r="B5" s="23" t="n">
        <x:v>150</x:v>
      </x:c>
    </x:row>
    <x:row r="6">
      <x:c r="A6" s="18" t="str">
        <x:v>Purchase price per share</x:v>
      </x:c>
      <x:c r="B6" s="24" t="n">
        <x:v>39.6</x:v>
      </x:c>
    </x:row>
    <x:row r="7">
      <x:c r="A7" s="18" t="str">
        <x:v>Expected sale price per share</x:v>
      </x:c>
      <x:c r="B7" s="24" t="n">
        <x:v>48.75</x:v>
      </x:c>
    </x:row>
    <x:row r="8">
      <x:c r="A8" s="18" t="str">
        <x:v>Commission rate</x:v>
      </x:c>
      <x:c r="B8" s="25" t="n">
        <x:v>0.01</x:v>
      </x:c>
    </x:row>
    <x:row r="9">
      <x:c r="A9" s="18" t="str">
        <x:v>Annual dividend per share</x:v>
      </x:c>
      <x:c r="B9" s="24" t="n">
        <x:v>0.8</x:v>
      </x:c>
    </x:row>
    <x:row r="12">
      <x:c r="A12" s="13" t="str">
        <x:v>Calculation</x:v>
      </x:c>
      <x:c r="B12" s="13" t="str">
        <x:v>Draft / Corrected Result</x:v>
      </x:c>
      <x:c r="C12" s="13" t="str">
        <x:v>Formula Check</x:v>
      </x:c>
    </x:row>
    <x:row r="13">
      <x:c r="A13" s="18" t="str">
        <x:v>Total buy cost</x:v>
      </x:c>
      <x:c r="B13" s="26" t="n">
        <x:f>B5*B6</x:f>
        <x:v>5940</x:v>
      </x:c>
      <x:c r="C13" s="18" t="str">
        <x:v>AI draft: simple purchase cost</x:v>
      </x:c>
    </x:row>
    <x:row r="14">
      <x:c r="A14" s="18" t="str">
        <x:v>Net sale proceeds</x:v>
      </x:c>
      <x:c r="B14" s="26" t="n">
        <x:f>B5*B7</x:f>
        <x:v>7312.5</x:v>
      </x:c>
      <x:c r="C14" s="18" t="str">
        <x:v>AI draft: sale proceeds</x:v>
      </x:c>
    </x:row>
    <x:row r="15">
      <x:c r="A15" s="18" t="str">
        <x:v>Dividends received</x:v>
      </x:c>
      <x:c r="B15" s="26" t="n">
        <x:f>0</x:f>
        <x:v>0</x:v>
      </x:c>
      <x:c r="C15" s="18" t="str">
        <x:v>AI draft ignored dividends</x:v>
      </x:c>
    </x:row>
    <x:row r="16">
      <x:c r="A16" s="18" t="str">
        <x:v>ROI</x:v>
      </x:c>
      <x:c r="B16" s="27" t="n">
        <x:f>(B14-B13)/B13</x:f>
        <x:v>0.23106060606060605</x:v>
      </x:c>
      <x:c r="C16" s="18" t="str">
        <x:v>AI draft excludes commissions and dividends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180" hidden="0" customWidth="1"/>
    <x:col min="3" max="3" width="255" hidden="0" customWidth="1"/>
  </x:cols>
  <x:sheetData>
    <x:row r="1">
      <x:c r="A1" s="4" t="str">
        <x:v>Bond Check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Audit the bond quote conversion and current yield calculation.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Input</x:v>
      </x:c>
      <x:c r="B4" s="13" t="str">
        <x:v>Value</x:v>
      </x:c>
    </x:row>
    <x:row r="5">
      <x:c r="A5" s="18" t="str">
        <x:v>Bond</x:v>
      </x:c>
      <x:c r="B5" s="18" t="str">
        <x:v>EFT 4.5% 2031</x:v>
      </x:c>
    </x:row>
    <x:row r="6">
      <x:c r="A6" s="18" t="str">
        <x:v>Quoted price</x:v>
      </x:c>
      <x:c r="B6" s="28" t="n">
        <x:v>98.75</x:v>
      </x:c>
    </x:row>
    <x:row r="7">
      <x:c r="A7" s="18" t="str">
        <x:v>Face value per bond</x:v>
      </x:c>
      <x:c r="B7" s="29" t="n">
        <x:v>1000</x:v>
      </x:c>
    </x:row>
    <x:row r="8">
      <x:c r="A8" s="18" t="str">
        <x:v>Number of bonds</x:v>
      </x:c>
      <x:c r="B8" s="30" t="n">
        <x:v>6</x:v>
      </x:c>
    </x:row>
    <x:row r="9">
      <x:c r="A9" s="18" t="str">
        <x:v>Stated coupon rate</x:v>
      </x:c>
      <x:c r="B9" s="27" t="n">
        <x:v>0.045</x:v>
      </x:c>
    </x:row>
    <x:row r="12">
      <x:c r="A12" s="13" t="str">
        <x:v>Calculation</x:v>
      </x:c>
      <x:c r="B12" s="13" t="str">
        <x:v>Draft / Corrected Result</x:v>
      </x:c>
      <x:c r="C12" s="13" t="str">
        <x:v>Formula Check</x:v>
      </x:c>
    </x:row>
    <x:row r="13">
      <x:c r="A13" s="18" t="str">
        <x:v>Dollar price per bond</x:v>
      </x:c>
      <x:c r="B13" s="26" t="n">
        <x:f>B6</x:f>
        <x:v>98.75</x:v>
      </x:c>
      <x:c r="C13" s="18" t="str">
        <x:v>AI draft treats quote as dollars</x:v>
      </x:c>
    </x:row>
    <x:row r="14">
      <x:c r="A14" s="18" t="str">
        <x:v>Total purchase cost</x:v>
      </x:c>
      <x:c r="B14" s="26" t="n">
        <x:f>B13*B8</x:f>
        <x:v>592.5</x:v>
      </x:c>
      <x:c r="C14" s="18" t="str">
        <x:v>Uses flawed dollar price</x:v>
      </x:c>
    </x:row>
    <x:row r="15">
      <x:c r="A15" s="18" t="str">
        <x:v>Annual interest per bond</x:v>
      </x:c>
      <x:c r="B15" s="26" t="n">
        <x:f>B9*B7</x:f>
        <x:v>45</x:v>
      </x:c>
      <x:c r="C15" s="18" t="str">
        <x:v>This piece may be reasonable</x:v>
      </x:c>
    </x:row>
    <x:row r="16">
      <x:c r="A16" s="18" t="str">
        <x:v>Total annual interest</x:v>
      </x:c>
      <x:c r="B16" s="26" t="n">
        <x:f>B15*B8</x:f>
        <x:v>270</x:v>
      </x:c>
      <x:c r="C16" s="18" t="str">
        <x:v>This piece may be reasonable</x:v>
      </x:c>
    </x:row>
    <x:row r="17">
      <x:c r="A17" s="18" t="str">
        <x:v>Current yield</x:v>
      </x:c>
      <x:c r="B17" s="27" t="n">
        <x:f>B15/B6</x:f>
        <x:v>0.45569620253164556</x:v>
      </x:c>
      <x:c r="C17" s="18" t="str">
        <x:v>AI draft divides by quote, not dollar price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180" hidden="0" customWidth="1"/>
    <x:col min="3" max="3" width="255" hidden="0" customWidth="1"/>
  </x:cols>
  <x:sheetData>
    <x:row r="1">
      <x:c r="A1" s="4" t="str">
        <x:v>Fund NAV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Audit the net asset value calculation for a Meridian model fund.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Input</x:v>
      </x:c>
      <x:c r="B4" s="13" t="str">
        <x:v>Value</x:v>
      </x:c>
    </x:row>
    <x:row r="5">
      <x:c r="A5" s="18" t="str">
        <x:v>Fund</x:v>
      </x:c>
      <x:c r="B5" s="18" t="str">
        <x:v>Meridian Growth &amp; Income Fund</x:v>
      </x:c>
    </x:row>
    <x:row r="6">
      <x:c r="A6" s="18" t="str">
        <x:v>Market value of holdings</x:v>
      </x:c>
      <x:c r="B6" s="29" t="n">
        <x:v>5550000</x:v>
      </x:c>
    </x:row>
    <x:row r="7">
      <x:c r="A7" s="18" t="str">
        <x:v>Current liabilities</x:v>
      </x:c>
      <x:c r="B7" s="29" t="n">
        <x:v>770000</x:v>
      </x:c>
    </x:row>
    <x:row r="8">
      <x:c r="A8" s="18" t="str">
        <x:v>Shares outstanding</x:v>
      </x:c>
      <x:c r="B8" s="30" t="n">
        <x:v>600000</x:v>
      </x:c>
    </x:row>
    <x:row r="11">
      <x:c r="A11" s="13" t="str">
        <x:v>Calculation</x:v>
      </x:c>
      <x:c r="B11" s="13" t="str">
        <x:v>Draft / Corrected Result</x:v>
      </x:c>
      <x:c r="C11" s="13" t="str">
        <x:v>Formula Check</x:v>
      </x:c>
    </x:row>
    <x:row r="12">
      <x:c r="A12" s="18" t="str">
        <x:v>Net assets</x:v>
      </x:c>
      <x:c r="B12" s="26" t="n">
        <x:f>B6</x:f>
        <x:v>5550000</x:v>
      </x:c>
      <x:c r="C12" s="18" t="str">
        <x:v>AI draft starts with total holdings only</x:v>
      </x:c>
    </x:row>
    <x:row r="13">
      <x:c r="A13" s="18" t="str">
        <x:v>NAV per share</x:v>
      </x:c>
      <x:c r="B13" s="26" t="n">
        <x:f>B12/B8</x:f>
        <x:v>9.25</x:v>
      </x:c>
      <x:c r="C13" s="18" t="str">
        <x:v>Uses flawed net assets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0" hidden="0" customWidth="1"/>
    <x:col min="2" max="2" width="130" hidden="0" customWidth="1"/>
    <x:col min="3" max="3" width="130" hidden="0" customWidth="1"/>
    <x:col min="4" max="4" width="28" hidden="0" customWidth="1"/>
    <x:col min="5" max="5" width="210" hidden="0" customWidth="1"/>
    <x:col min="6" max="6" width="170" hidden="0" customWidth="1"/>
    <x:col min="7" max="7" width="255" hidden="0" customWidth="1"/>
  </x:cols>
  <x:sheetData>
    <x:row r="1">
      <x:c r="A1" s="4" t="str">
        <x:v>Financial Statements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Audit the income statement, trend, and ratio formulas.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Metric</x:v>
      </x:c>
      <x:c r="B4" s="13" t="str">
        <x:v>2025</x:v>
      </x:c>
      <x:c r="C4" s="13" t="str">
        <x:v>2026</x:v>
      </x:c>
      <x:c r="E4" s="13" t="str">
        <x:v>Metric</x:v>
      </x:c>
      <x:c r="F4" s="13" t="str">
        <x:v>Draft / Corrected Result</x:v>
      </x:c>
      <x:c r="G4" s="13" t="str">
        <x:v>Formula Check</x:v>
      </x:c>
    </x:row>
    <x:row r="5">
      <x:c r="A5" s="18" t="str">
        <x:v>Gross Revenue</x:v>
      </x:c>
      <x:c r="B5" s="29" t="n">
        <x:v>4280000</x:v>
      </x:c>
      <x:c r="C5" s="29" t="n">
        <x:v>4960000</x:v>
      </x:c>
      <x:c r="E5" s="18" t="str">
        <x:v>Net Sales Trend</x:v>
      </x:c>
      <x:c r="F5" s="27" t="n">
        <x:f>C7/B7</x:f>
        <x:v>1.1742919389978212</x:v>
      </x:c>
      <x:c r="G5" s="18" t="str">
        <x:v>AI draft forgot to subtract 1</x:v>
      </x:c>
    </x:row>
    <x:row r="6">
      <x:c r="A6" s="18" t="str">
        <x:v>Returns and Discounts</x:v>
      </x:c>
      <x:c r="B6" s="29" t="n">
        <x:v>310000</x:v>
      </x:c>
      <x:c r="C6" s="29" t="n">
        <x:v>430000</x:v>
      </x:c>
      <x:c r="E6" s="18" t="str">
        <x:v>Current Ratio</x:v>
      </x:c>
      <x:c r="F6" s="31" t="n">
        <x:f>C17/C16</x:f>
        <x:v>4.747252747252747</x:v>
      </x:c>
      <x:c r="G6" s="18" t="str">
        <x:v>AI draft uses total assets</x:v>
      </x:c>
    </x:row>
    <x:row r="7">
      <x:c r="A7" s="18" t="str">
        <x:v>Net Sales</x:v>
      </x:c>
      <x:c r="B7" s="29" t="n">
        <x:f>B5+B6</x:f>
        <x:v>4590000</x:v>
      </x:c>
      <x:c r="C7" s="29" t="n">
        <x:f>C5+C6</x:f>
        <x:v>5390000</x:v>
      </x:c>
      <x:c r="E7" s="18" t="str">
        <x:v>Debt-to-Assets</x:v>
      </x:c>
      <x:c r="F7" s="27" t="n">
        <x:f>C18/C17</x:f>
        <x:v>0.4652777777777778</x:v>
      </x:c>
      <x:c r="G7" s="18" t="str">
        <x:v>May be reasonable</x:v>
      </x:c>
    </x:row>
    <x:row r="8">
      <x:c r="A8" s="18" t="str">
        <x:v>Cost of Services</x:v>
      </x:c>
      <x:c r="B8" s="29" t="n">
        <x:v>2360000</x:v>
      </x:c>
      <x:c r="C8" s="29" t="n">
        <x:v>2680000</x:v>
      </x:c>
      <x:c r="E8" s="18" t="str">
        <x:v>Return on Equity</x:v>
      </x:c>
      <x:c r="F8" s="27" t="n">
        <x:f>C11/C19</x:f>
        <x:v>0.4199134199134199</x:v>
      </x:c>
      <x:c r="G8" s="18" t="str">
        <x:v>May be reasonable</x:v>
      </x:c>
    </x:row>
    <x:row r="9">
      <x:c r="A9" s="18" t="str">
        <x:v>Gross Profit</x:v>
      </x:c>
      <x:c r="B9" s="29" t="n">
        <x:f>B5-B8</x:f>
        <x:v>1920000</x:v>
      </x:c>
      <x:c r="C9" s="29" t="n">
        <x:f>C5-C8</x:f>
        <x:v>2280000</x:v>
      </x:c>
      <x:c r="E9" s="18" t="str">
        <x:v>Profit Margin</x:v>
      </x:c>
      <x:c r="F9" s="27" t="n">
        <x:f>C11/C5</x:f>
        <x:v>0.19556451612903225</x:v>
      </x:c>
      <x:c r="G9" s="18" t="str">
        <x:v>AI draft divides by gross revenue</x:v>
      </x:c>
    </x:row>
    <x:row r="10">
      <x:c r="A10" s="18" t="str">
        <x:v>Operating Expenses</x:v>
      </x:c>
      <x:c r="B10" s="29" t="n">
        <x:v>1180000</x:v>
      </x:c>
      <x:c r="C10" s="29" t="n">
        <x:v>1310000</x:v>
      </x:c>
      <x:c r="E10" s="18" t="str">
        <x:v>Asset Turnover</x:v>
      </x:c>
      <x:c r="F10" s="31" t="n">
        <x:f>C5/C17</x:f>
        <x:v>1.1481481481481481</x:v>
      </x:c>
      <x:c r="G10" s="18" t="str">
        <x:v>AI draft uses gross revenue</x:v>
      </x:c>
    </x:row>
    <x:row r="11">
      <x:c r="A11" s="18" t="str">
        <x:v>Net Income</x:v>
      </x:c>
      <x:c r="B11" s="29" t="n">
        <x:f>B9-B10</x:f>
        <x:v>740000</x:v>
      </x:c>
      <x:c r="C11" s="29" t="n">
        <x:f>C9-C10</x:f>
        <x:v>970000</x:v>
      </x:c>
    </x:row>
    <x:row r="12">
      <x:c r="A12" s="18" t="str">
        <x:v>Cash</x:v>
      </x:c>
      <x:c r="B12" s="29" t="n">
        <x:v>420000</x:v>
      </x:c>
      <x:c r="C12" s="29" t="n">
        <x:v>510000</x:v>
      </x:c>
    </x:row>
    <x:row r="13">
      <x:c r="A13" s="18" t="str">
        <x:v>Accounts Receivable</x:v>
      </x:c>
      <x:c r="B13" s="29" t="n">
        <x:v>690000</x:v>
      </x:c>
      <x:c r="C13" s="29" t="n">
        <x:v>760000</x:v>
      </x:c>
    </x:row>
    <x:row r="14">
      <x:c r="A14" s="18" t="str">
        <x:v>Inventory</x:v>
      </x:c>
      <x:c r="B14" s="29" t="n">
        <x:v>540000</x:v>
      </x:c>
      <x:c r="C14" s="29" t="n">
        <x:v>620000</x:v>
      </x:c>
    </x:row>
    <x:row r="15">
      <x:c r="A15" s="18" t="str">
        <x:v>Total Current Assets</x:v>
      </x:c>
      <x:c r="B15" s="29" t="n">
        <x:v>1650000</x:v>
      </x:c>
      <x:c r="C15" s="29" t="n">
        <x:v>1890000</x:v>
      </x:c>
    </x:row>
    <x:row r="16">
      <x:c r="A16" s="18" t="str">
        <x:v>Current Liabilities</x:v>
      </x:c>
      <x:c r="B16" s="29" t="n">
        <x:v>840000</x:v>
      </x:c>
      <x:c r="C16" s="29" t="n">
        <x:v>910000</x:v>
      </x:c>
    </x:row>
    <x:row r="17">
      <x:c r="A17" s="18" t="str">
        <x:v>Total Assets</x:v>
      </x:c>
      <x:c r="B17" s="29" t="n">
        <x:v>3840000</x:v>
      </x:c>
      <x:c r="C17" s="29" t="n">
        <x:v>4320000</x:v>
      </x:c>
    </x:row>
    <x:row r="18">
      <x:c r="A18" s="18" t="str">
        <x:v>Total Liabilities</x:v>
      </x:c>
      <x:c r="B18" s="29" t="n">
        <x:v>1880000</x:v>
      </x:c>
      <x:c r="C18" s="29" t="n">
        <x:v>2010000</x:v>
      </x:c>
    </x:row>
    <x:row r="19">
      <x:c r="A19" s="18" t="str">
        <x:v>Owner's Equity</x:v>
      </x:c>
      <x:c r="B19" s="29" t="n">
        <x:v>1960000</x:v>
      </x:c>
      <x:c r="C19" s="29" t="n">
        <x:v>2310000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0" hidden="0" customWidth="1"/>
    <x:col min="2" max="2" width="190" hidden="0" customWidth="1"/>
    <x:col min="3" max="3" width="30" hidden="0" customWidth="1"/>
    <x:col min="4" max="4" width="255" hidden="0" customWidth="1"/>
  </x:cols>
  <x:sheetData>
    <x:row r="1">
      <x:c r="A1" s="4" t="str">
        <x:v>Dashboard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AI draft dashboard. Audit whether the visual and recommendation support the client decision.</x:v>
      </x:c>
      <x:c r="B2" s="7"/>
      <x:c r="C2" s="7"/>
      <x:c r="D2" s="7"/>
      <x:c r="E2" s="7"/>
      <x:c r="F2" s="7"/>
      <x:c r="G2" s="7"/>
      <x:c r="H2" s="7"/>
    </x:row>
    <x:row r="4">
      <x:c r="A4" s="33" t="str">
        <x:v>Client Question</x:v>
      </x:c>
      <x:c r="B4" s="18" t="str">
        <x:v>Should the client buy, watch, or avoid EFT?</x:v>
      </x:c>
    </x:row>
    <x:row r="5">
      <x:c r="A5" s="33" t="str">
        <x:v>Current Recommendation</x:v>
      </x:c>
      <x:c r="B5" s="35" t="str">
        <x:v>BUY</x:v>
      </x:c>
    </x:row>
    <x:row r="6">
      <x:c r="A6" s="33" t="str">
        <x:v>Evidence Quality</x:v>
      </x:c>
      <x:c r="B6" s="18" t="str">
        <x:v>AI says evidence is strong because price is below 52-week high.</x:v>
      </x:c>
    </x:row>
    <x:row r="9">
      <x:c r="A9" s="13" t="str">
        <x:v>Metric</x:v>
      </x:c>
      <x:c r="B9" s="13" t="str">
        <x:v>AI Draft Value</x:v>
      </x:c>
      <x:c r="D9" s="13" t="str">
        <x:v>AI Draft Recommendation</x:v>
      </x:c>
    </x:row>
    <x:row r="10">
      <x:c r="A10" s="18" t="str">
        <x:v>Current price</x:v>
      </x:c>
      <x:c r="B10" s="26" t="n">
        <x:f>'Stock Snapshot'!B7</x:f>
        <x:v>46.2</x:v>
      </x:c>
      <x:c r="D10" s="18" t="str">
        <x:v>EFT should be a buy because it trades below its 52-week high and the dashboard chart looks positive.</x:v>
      </x:c>
    </x:row>
    <x:row r="11">
      <x:c r="A11" s="18" t="str">
        <x:v>52-week high</x:v>
      </x:c>
      <x:c r="B11" s="26" t="n">
        <x:f>'Stock Snapshot'!B10</x:f>
        <x:v>34.5</x:v>
      </x:c>
      <x:c r="D11" s="18" t="str">
        <x:v>The client can rely on this recommendation because the workbook includes stock, bond, fund, and statement calculations.</x:v>
      </x:c>
    </x:row>
    <x:row r="12">
      <x:c r="A12" s="18" t="str">
        <x:v>P/E Ratio</x:v>
      </x:c>
      <x:c r="B12" s="36" t="n">
        <x:f>'Stock Snapshot'!B22</x:f>
        <x:v>22</x:v>
      </x:c>
      <x:c r="D12" s="18" t="str">
        <x:v>No additional checking appears necessary.</x:v>
      </x:c>
    </x:row>
    <x:row r="13">
      <x:c r="A13" s="18" t="str">
        <x:v>ROI</x:v>
      </x:c>
      <x:c r="B13" s="27" t="n">
        <x:f>'Investment Return'!B16</x:f>
        <x:v>0.23106060606060605</x:v>
      </x:c>
    </x:row>
    <x:row r="14">
      <x:c r="A14" s="18" t="str">
        <x:v>NAV</x:v>
      </x:c>
      <x:c r="B14" s="26" t="n">
        <x:f>'Fund NAV'!B13</x:f>
        <x:v>9.25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686fe4662fc4db1"/>
</x:worksheet>
</file>

<file path=xl/worksheets/sheet8.xml><?xml version="1.0" encoding="utf-8"?>
<x:worksheet xmlns:x="http://schemas.openxmlformats.org/spreadsheetml/2006/main">
  <x:sheetFormatPr defaultRowHeight="15"/>
  <x:cols>
    <x:col min="1" max="1" width="160" hidden="0" customWidth="1"/>
    <x:col min="2" max="2" width="255" hidden="0" customWidth="1"/>
    <x:col min="3" max="3" width="255" hidden="0" customWidth="1"/>
    <x:col min="4" max="4" width="255" hidden="0" customWidth="1"/>
    <x:col min="5" max="5" width="210" hidden="0" customWidth="1"/>
    <x:col min="6" max="6" width="255" hidden="0" customWidth="1"/>
  </x:cols>
  <x:sheetData>
    <x:row r="1">
      <x:c r="A1" s="4" t="str">
        <x:v>Prompt Log</x:v>
      </x:c>
      <x:c r="B1" s="4"/>
      <x:c r="C1" s="4"/>
      <x:c r="D1" s="4"/>
      <x:c r="E1" s="4"/>
      <x:c r="F1" s="4"/>
      <x:c r="G1" s="4"/>
      <x:c r="H1" s="4"/>
    </x:row>
    <x:row r="2">
      <x:c r="A2" s="7" t="str">
        <x:v>Document your AI use, verification, and decisions. This tab is part of the graded submission.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Step</x:v>
      </x:c>
      <x:c r="B4" s="13" t="str">
        <x:v>Prompt or Issue</x:v>
      </x:c>
      <x:c r="C4" s="13" t="str">
        <x:v>AI Suggestion</x:v>
      </x:c>
      <x:c r="D4" s="13" t="str">
        <x:v>How I Verified</x:v>
      </x:c>
      <x:c r="E4" s="13" t="str">
        <x:v>Accepted, Revised, or Rejected?</x:v>
      </x:c>
      <x:c r="F4" s="13" t="str">
        <x:v>Workbook Change Made</x:v>
      </x:c>
    </x:row>
    <x:row r="5">
      <x:c r="A5" s="19" t="str">
        <x:v>Audit before AI</x:v>
      </x:c>
      <x:c r="B5" s="18" t="str"/>
      <x:c r="C5" s="18" t="str"/>
      <x:c r="D5" s="18" t="str"/>
      <x:c r="E5" s="18" t="str"/>
      <x:c r="F5" s="18" t="str"/>
    </x:row>
    <x:row r="6">
      <x:c r="A6" s="19" t="str">
        <x:v>Prompt 1</x:v>
      </x:c>
      <x:c r="B6" s="18" t="str"/>
      <x:c r="C6" s="18" t="str"/>
      <x:c r="D6" s="18" t="str"/>
      <x:c r="E6" s="18" t="str"/>
      <x:c r="F6" s="18" t="str"/>
    </x:row>
    <x:row r="7">
      <x:c r="A7" s="19" t="str">
        <x:v>Prompt 2</x:v>
      </x:c>
      <x:c r="B7" s="18" t="str"/>
      <x:c r="C7" s="18" t="str"/>
      <x:c r="D7" s="18" t="str"/>
      <x:c r="E7" s="18" t="str"/>
      <x:c r="F7" s="18" t="str"/>
    </x:row>
    <x:row r="8">
      <x:c r="A8" s="19" t="str">
        <x:v>Prompt 3</x:v>
      </x:c>
      <x:c r="B8" s="18" t="str"/>
      <x:c r="C8" s="18" t="str"/>
      <x:c r="D8" s="18" t="str"/>
      <x:c r="E8" s="18" t="str"/>
      <x:c r="F8" s="18" t="str"/>
    </x:row>
    <x:row r="9">
      <x:c r="A9" s="19" t="str">
        <x:v>Prompt 4</x:v>
      </x:c>
      <x:c r="B9" s="18" t="str"/>
      <x:c r="C9" s="18" t="str"/>
      <x:c r="D9" s="18" t="str"/>
      <x:c r="E9" s="18" t="str"/>
      <x:c r="F9" s="18" t="str"/>
    </x:row>
    <x:row r="10">
      <x:c r="A10" s="19" t="str">
        <x:v>Prompt 5</x:v>
      </x:c>
      <x:c r="B10" s="18" t="str"/>
      <x:c r="C10" s="18" t="str"/>
      <x:c r="D10" s="18" t="str"/>
      <x:c r="E10" s="18" t="str"/>
      <x:c r="F10" s="18" t="str"/>
    </x:row>
    <x:row r="11">
      <x:c r="A11" s="19" t="str">
        <x:v>Rejected/Revised 1</x:v>
      </x:c>
      <x:c r="B11" s="18" t="str"/>
      <x:c r="C11" s="18" t="str"/>
      <x:c r="D11" s="18" t="str"/>
      <x:c r="E11" s="18" t="str"/>
      <x:c r="F11" s="18" t="str"/>
    </x:row>
    <x:row r="12">
      <x:c r="A12" s="19" t="str">
        <x:v>Rejected/Revised 2</x:v>
      </x:c>
      <x:c r="B12" s="18" t="str"/>
      <x:c r="C12" s="18" t="str"/>
      <x:c r="D12" s="18" t="str"/>
      <x:c r="E12" s="18" t="str"/>
      <x:c r="F12" s="18" t="str"/>
    </x:row>
  </x:sheetData>
  <x:mergeCells>
    <x:mergeCell ref="A1:H1"/>
    <x:mergeCell ref="A2:H2"/>
  </x:mergeCells>
  <x:pageMargins left="0.7" right="0.7" top="0.75" bottom="0.75" header="0.3" footer="0.3"/>
</x:worksheet>
</file>