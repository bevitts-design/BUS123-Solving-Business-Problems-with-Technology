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bethanyevittsair2/Documents/GitHub/BUS123-Solving-Business-Problems-with-Technology/MATH/M01/"/>
    </mc:Choice>
  </mc:AlternateContent>
  <xr:revisionPtr revIDLastSave="0" documentId="8_{B5C6512E-6688-7B4D-8954-DC89956FD640}" xr6:coauthVersionLast="47" xr6:coauthVersionMax="47" xr10:uidLastSave="{00000000-0000-0000-0000-000000000000}"/>
  <bookViews>
    <workbookView xWindow="0" yWindow="580" windowWidth="25600" windowHeight="15280" xr2:uid="{00000000-000D-0000-FFFF-FFFF00000000}"/>
  </bookViews>
  <sheets>
    <sheet name="START HERE" sheetId="1" r:id="rId1"/>
    <sheet name="Whole Numbers Practice" sheetId="2" r:id="rId2"/>
    <sheet name="Challenge" sheetId="3" r:id="rId3"/>
    <sheet name="FormulaReferenceCard" sheetId="4" r:id="rId4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2" l="1"/>
  <c r="E20" i="2"/>
  <c r="E19" i="2"/>
  <c r="E18" i="2"/>
  <c r="B29" i="4"/>
  <c r="B22" i="4"/>
  <c r="B21" i="4"/>
  <c r="B20" i="4"/>
  <c r="B19" i="4"/>
  <c r="B18" i="4"/>
  <c r="B14" i="4"/>
  <c r="B13" i="4"/>
  <c r="B12" i="4"/>
  <c r="B8" i="4"/>
  <c r="B7" i="4"/>
  <c r="B6" i="4"/>
  <c r="B5" i="4"/>
  <c r="E22" i="2"/>
</calcChain>
</file>

<file path=xl/sharedStrings.xml><?xml version="1.0" encoding="utf-8"?>
<sst xmlns="http://schemas.openxmlformats.org/spreadsheetml/2006/main" count="159" uniqueCount="135">
  <si>
    <t>BUS 123  ·  MATH-M01  ·  Basic Math: Whole Numbers, Fractions &amp; Percents</t>
  </si>
  <si>
    <t>Meridian Advisory Group  —  Student Workbook</t>
  </si>
  <si>
    <t>How to Use This Workbook</t>
  </si>
  <si>
    <t>1.  Yellow cells are YOUR input cells — type your answers there.</t>
  </si>
  <si>
    <t>2.  Green/red feedback appears automatically when you enter a value.</t>
  </si>
  <si>
    <t>3.  Use Excel formulas (starting with =) wherever possible — not just a number.</t>
  </si>
  <si>
    <t>4.  The FormulaReferenceCard tab has quick reminders for syntax.</t>
  </si>
  <si>
    <t>5.  Do not type in gray cells — they are locked reference data.</t>
  </si>
  <si>
    <t>Learning Objectives (I Can…)</t>
  </si>
  <si>
    <t>✓  Apply the four arithmetic operations to business revenue and staffing problems.</t>
  </si>
  <si>
    <t>✓  Convert fractions to decimals and express part-to-whole ratios in Excel.</t>
  </si>
  <si>
    <t>✓  Calculate percent of a whole, percent change, and ratio-as-percent.</t>
  </si>
  <si>
    <t>✓  Identify and avoid unit-mismatch errors in formulas.</t>
  </si>
  <si>
    <t>✓  Enter all calculations in Excel using cell references — never hardcoded values.</t>
  </si>
  <si>
    <t>Tabs in This Workbook</t>
  </si>
  <si>
    <t xml:space="preserve">   Whole Numbers Practice  — arithmetic operations on Meridian's accounts &amp; fees</t>
  </si>
  <si>
    <t xml:space="preserve">   Challenge               — harder multi-step problems (optional stretch)</t>
  </si>
  <si>
    <t xml:space="preserve">   FormulaReferenceCard    — formula quick reference you can consult any time</t>
  </si>
  <si>
    <t>Whole Numbers Practice  —  Meridian Advisory Group</t>
  </si>
  <si>
    <t>SECTION A  —  Basic Operations</t>
  </si>
  <si>
    <t>Description</t>
  </si>
  <si>
    <t>Value A</t>
  </si>
  <si>
    <t>Value B</t>
  </si>
  <si>
    <t>Your Answer</t>
  </si>
  <si>
    <t>Excel Formula Used</t>
  </si>
  <si>
    <t>A1  Meridian opens Q3 with X accounts</t>
  </si>
  <si>
    <t>Opening accounts</t>
  </si>
  <si>
    <t>A2  New clients added this quarter</t>
  </si>
  <si>
    <t>Added</t>
  </si>
  <si>
    <t>A3  Clients lost this quarter</t>
  </si>
  <si>
    <t>Lost</t>
  </si>
  <si>
    <t>A4  Quarter-end account total (A1 + A2 - A3)</t>
  </si>
  <si>
    <t>← your formula</t>
  </si>
  <si>
    <t>A5  Management fee per account (quarterly)</t>
  </si>
  <si>
    <t>Fee/account</t>
  </si>
  <si>
    <t>A6  Total quarterly fee revenue (A4 × A5)</t>
  </si>
  <si>
    <t>A7  Fee revenue target was</t>
  </si>
  <si>
    <t>Target</t>
  </si>
  <si>
    <t>A8  Shortfall / surplus (A6 - A7)</t>
  </si>
  <si>
    <t>SECTION B  —  Fractions &amp; Ratios</t>
  </si>
  <si>
    <t>Numerator</t>
  </si>
  <si>
    <t>Denominator</t>
  </si>
  <si>
    <t>Decimal / %</t>
  </si>
  <si>
    <t>Notes</t>
  </si>
  <si>
    <t>B1  Tax advisors out of 6 total at start</t>
  </si>
  <si>
    <t>B2  Estate advisors out of 6 total at start</t>
  </si>
  <si>
    <t>B3  Investment advisors out of 6 total</t>
  </si>
  <si>
    <t>B4  Tax advisors after hiring 3 more (5 of 9)</t>
  </si>
  <si>
    <t>B5  What decimal does B4 equal?</t>
  </si>
  <si>
    <t>SECTION C  —  Percent Calculations</t>
  </si>
  <si>
    <t>Input 1</t>
  </si>
  <si>
    <t>Input 2</t>
  </si>
  <si>
    <t>Case Type</t>
  </si>
  <si>
    <t>C1  15% of Meridian's $239,400 in quarterly fees</t>
  </si>
  <si>
    <t>Case 1: % of whole</t>
  </si>
  <si>
    <t>C2  Fees grew from $1,200,000 to $1,255,000 — % change?</t>
  </si>
  <si>
    <t>Case 2: % change</t>
  </si>
  <si>
    <t>C3  4 of 25 clients renewed — what rate?</t>
  </si>
  <si>
    <t>Case 3: ratio as %</t>
  </si>
  <si>
    <t>C4  Target: 12% increase on $239,400 — new total?</t>
  </si>
  <si>
    <t>Case 1 variant</t>
  </si>
  <si>
    <t>C5  Actual Q-end fees: $268,200 — actual % change?</t>
  </si>
  <si>
    <t>Case 2 variant</t>
  </si>
  <si>
    <t>💡  Remember: yellow cells expect Excel formulas, not typed numbers. Use cell references whenever possible.</t>
  </si>
  <si>
    <t>Challenge  —  Multi-Step Problems  ·  Meridian Advisory Group</t>
  </si>
  <si>
    <t>These problems combine multiple operations. Work step by step. Show every formula — no lone numbers in yellow cells.</t>
  </si>
  <si>
    <t>CHALLENGE 1  —  Quarterly Revenue Model</t>
  </si>
  <si>
    <t>Step</t>
  </si>
  <si>
    <t>Given</t>
  </si>
  <si>
    <t>Computed</t>
  </si>
  <si>
    <t>1.  Meridian starts Q1 with 48 accounts at $4,200/quarter.</t>
  </si>
  <si>
    <t>2.  Q1: Add 12, lose 3. Compute Q1-end accounts.</t>
  </si>
  <si>
    <t>3.  Q2: Add 7, lose 2. Compute Q2-end accounts.</t>
  </si>
  <si>
    <t>4.  Q3: Add 5, lose 1. Compute Q3-end accounts.</t>
  </si>
  <si>
    <t>5.  Q1 total fee revenue (Q1 accts × $4,200)</t>
  </si>
  <si>
    <t>6.  Q2 total fee revenue (Q2 accts × $4,200)</t>
  </si>
  <si>
    <t>7.  Q3 total fee revenue (Q3 accts × $4,200)</t>
  </si>
  <si>
    <t>8.  3-quarter cumulative fee revenue</t>
  </si>
  <si>
    <t>9.  % change: Q1 fees to Q3 fees</t>
  </si>
  <si>
    <t>CHALLENGE 2  —  Service Line Analysis</t>
  </si>
  <si>
    <t>1.  Total Meridian clients: 57</t>
  </si>
  <si>
    <t>2.  Tax clients: 22</t>
  </si>
  <si>
    <t>3.  Estate clients: 18</t>
  </si>
  <si>
    <t>4.  Investment clients: 17</t>
  </si>
  <si>
    <t>5.  Tax as a fraction of total (decimal)</t>
  </si>
  <si>
    <t>6.  Estate as % of total (format as %)</t>
  </si>
  <si>
    <t>7.  Tax + Estate combined — % of total</t>
  </si>
  <si>
    <t>8.  If Investments grows by 30%, new investment count</t>
  </si>
  <si>
    <t>9.  New total clients after Investments growth</t>
  </si>
  <si>
    <t>10.  New Investment % of new total</t>
  </si>
  <si>
    <t>Formula Reference Card  —  BUS 123 · MATH-M01</t>
  </si>
  <si>
    <t>ARITHMETIC OPERATIONS</t>
  </si>
  <si>
    <t>Operation / Concept</t>
  </si>
  <si>
    <t>Excel Formula</t>
  </si>
  <si>
    <t>Example / Notes</t>
  </si>
  <si>
    <t>Watch Out For</t>
  </si>
  <si>
    <t>Addition</t>
  </si>
  <si>
    <t>Sum a range or add cells</t>
  </si>
  <si>
    <t>Subtraction</t>
  </si>
  <si>
    <t>Difference between two cells</t>
  </si>
  <si>
    <t>Multiplication</t>
  </si>
  <si>
    <t>Quantity × price per unit</t>
  </si>
  <si>
    <t>Division</t>
  </si>
  <si>
    <t>Total ÷ count = per-unit figure</t>
  </si>
  <si>
    <t>FRACTIONS &amp; DECIMALS</t>
  </si>
  <si>
    <t>Fraction → Decimal</t>
  </si>
  <si>
    <t>Numerator ÷ Denominator</t>
  </si>
  <si>
    <t>Fraction as %</t>
  </si>
  <si>
    <t>Same formula — change cell format</t>
  </si>
  <si>
    <t>Part of total</t>
  </si>
  <si>
    <t>Denominator must be the full universe</t>
  </si>
  <si>
    <t>PERCENT CALCULATIONS</t>
  </si>
  <si>
    <t>% of a Whole</t>
  </si>
  <si>
    <t>e.g. =B4 * 0.15</t>
  </si>
  <si>
    <t>% Change</t>
  </si>
  <si>
    <t>Base is always the older number</t>
  </si>
  <si>
    <t>Ratio as %</t>
  </si>
  <si>
    <t>Format result cell as Percentage</t>
  </si>
  <si>
    <t>Grow by X%</t>
  </si>
  <si>
    <t>e.g. =B4*(1+0.075)</t>
  </si>
  <si>
    <t>Back-calculate %</t>
  </si>
  <si>
    <t>How far off from plan?</t>
  </si>
  <si>
    <t>COMMON MISTAKES</t>
  </si>
  <si>
    <t>Unit mismatch</t>
  </si>
  <si>
    <t>Label units in headers</t>
  </si>
  <si>
    <t>Annual vs quarterly, hours vs minutes</t>
  </si>
  <si>
    <t>Wrong base</t>
  </si>
  <si>
    <t>(new−old)/old  NOT old/new</t>
  </si>
  <si>
    <t>% change denominator = starting value</t>
  </si>
  <si>
    <t>Wrong formula</t>
  </si>
  <si>
    <t>Change ≠ Ratio</t>
  </si>
  <si>
    <t>Ask: change over time or share of total?</t>
  </si>
  <si>
    <t>Hardcoded values</t>
  </si>
  <si>
    <t>Always use cell references</t>
  </si>
  <si>
    <t>Tip: Format percent result cells as Percentage (Home → Number → %) — do not multiply by 100 manually.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</si>
</sst>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,##0"/>
    <numFmt numFmtId="165" formatCode="0.0000"/>
    <numFmt numFmtId="166" formatCode="&quot;$&quot;#,##0.00"/>
    <numFmt numFmtId="167" formatCode="0.0%"/>
  </numFmts>
  <fonts count="17" x14ac:knownFonts="1">
    <font>
      <sz val="11"/>
      <color theme="1"/>
      <name val="Calibri"/>
      <family val="2"/>
      <scheme val="minor"/>
    </font>
    <font>
      <b/>
      <sz val="14"/>
      <color rgb="FFF5E6C8"/>
      <name val="Calibri"/>
      <family val="2"/>
    </font>
    <font>
      <b/>
      <sz val="11"/>
      <color rgb="FFFFFFFF"/>
      <name val="Calibri"/>
      <family val="2"/>
    </font>
    <font>
      <b/>
      <sz val="12"/>
      <color rgb="FF1A1F2C"/>
      <name val="Calibri"/>
      <family val="2"/>
    </font>
    <font>
      <sz val="11"/>
      <color rgb="FF1A1F2C"/>
      <name val="Calibri"/>
      <family val="2"/>
    </font>
    <font>
      <sz val="11"/>
      <color rgb="FF4A5567"/>
      <name val="Calibri"/>
      <family val="2"/>
    </font>
    <font>
      <b/>
      <sz val="13"/>
      <color rgb="FFF5E6C8"/>
      <name val="Calibri"/>
      <family val="2"/>
    </font>
    <font>
      <b/>
      <sz val="10"/>
      <color rgb="FFFFFFFF"/>
      <name val="Calibri"/>
      <family val="2"/>
    </font>
    <font>
      <sz val="10"/>
      <color rgb="FF1A1F2C"/>
      <name val="Calibri"/>
      <family val="2"/>
    </font>
    <font>
      <b/>
      <sz val="11"/>
      <color rgb="FF1A1F2C"/>
      <name val="Calibri"/>
      <family val="2"/>
    </font>
    <font>
      <sz val="9"/>
      <color rgb="FF7A8290"/>
      <name val="Calibri"/>
      <family val="2"/>
    </font>
    <font>
      <i/>
      <sz val="9"/>
      <color rgb="FF2E5C3E"/>
      <name val="Calibri"/>
      <family val="2"/>
    </font>
    <font>
      <i/>
      <sz val="10"/>
      <color rgb="FF4A5567"/>
      <name val="Calibri"/>
      <family val="2"/>
    </font>
    <font>
      <b/>
      <sz val="10"/>
      <color rgb="FF1A1F2C"/>
      <name val="Calibri"/>
      <family val="2"/>
    </font>
    <font>
      <sz val="10"/>
      <color rgb="FF1A6B3C"/>
      <name val="Courier New"/>
      <family val="1"/>
    </font>
    <font>
      <sz val="10"/>
      <color rgb="FF4A5567"/>
      <name val="Calibri"/>
      <family val="2"/>
    </font>
    <font>
      <i/>
      <sz val="10"/>
      <color rgb="FF2E5C3E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0E1116"/>
      </patternFill>
    </fill>
    <fill>
      <patternFill patternType="solid">
        <fgColor rgb="FF4A7C5E"/>
      </patternFill>
    </fill>
    <fill>
      <patternFill patternType="solid">
        <fgColor rgb="FF1A1A2E"/>
      </patternFill>
    </fill>
    <fill>
      <patternFill patternType="solid">
        <fgColor rgb="FFFAF8F3"/>
      </patternFill>
    </fill>
    <fill>
      <patternFill patternType="solid">
        <fgColor rgb="FFFFFFFF"/>
      </patternFill>
    </fill>
    <fill>
      <patternFill patternType="solid">
        <fgColor rgb="FFFFD966"/>
      </patternFill>
    </fill>
    <fill>
      <patternFill patternType="solid">
        <fgColor rgb="FFB8843D"/>
      </patternFill>
    </fill>
    <fill>
      <patternFill patternType="solid">
        <fgColor rgb="FF2E5C3E"/>
      </patternFill>
    </fill>
    <fill>
      <patternFill patternType="solid">
        <fgColor rgb="FF9C4A2B"/>
      </patternFill>
    </fill>
  </fills>
  <borders count="4">
    <border>
      <left/>
      <right/>
      <top/>
      <bottom/>
      <diagonal/>
    </border>
    <border>
      <left style="thin">
        <color rgb="FF333355"/>
      </left>
      <right style="thin">
        <color rgb="FF333355"/>
      </right>
      <top style="thin">
        <color rgb="FF333355"/>
      </top>
      <bottom style="thin">
        <color rgb="FF333355"/>
      </bottom>
      <diagonal/>
    </border>
    <border>
      <left style="thin">
        <color rgb="FFE5E1D6"/>
      </left>
      <right style="thin">
        <color rgb="FFE5E1D6"/>
      </right>
      <top style="thin">
        <color rgb="FFE5E1D6"/>
      </top>
      <bottom style="thin">
        <color rgb="FFE5E1D6"/>
      </bottom>
      <diagonal/>
    </border>
    <border>
      <left style="medium">
        <color rgb="FFF0C040"/>
      </left>
      <right style="medium">
        <color rgb="FFF0C040"/>
      </right>
      <top style="medium">
        <color rgb="FFF0C040"/>
      </top>
      <bottom style="medium">
        <color rgb="FFF0C040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7" fillId="4" borderId="1" xfId="0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left" vertical="center" indent="1"/>
    </xf>
    <xf numFmtId="0" fontId="9" fillId="5" borderId="2" xfId="0" applyFont="1" applyFill="1" applyBorder="1" applyAlignment="1">
      <alignment horizontal="center" vertical="center"/>
    </xf>
    <xf numFmtId="0" fontId="0" fillId="5" borderId="2" xfId="0" applyFill="1" applyBorder="1"/>
    <xf numFmtId="0" fontId="10" fillId="5" borderId="2" xfId="0" applyFont="1" applyFill="1" applyBorder="1" applyAlignment="1">
      <alignment horizontal="left" vertical="center" indent="1"/>
    </xf>
    <xf numFmtId="0" fontId="8" fillId="6" borderId="2" xfId="0" applyFont="1" applyFill="1" applyBorder="1" applyAlignment="1">
      <alignment horizontal="left" vertical="center" indent="1"/>
    </xf>
    <xf numFmtId="0" fontId="9" fillId="6" borderId="2" xfId="0" applyFont="1" applyFill="1" applyBorder="1" applyAlignment="1">
      <alignment horizontal="center" vertical="center"/>
    </xf>
    <xf numFmtId="0" fontId="0" fillId="6" borderId="2" xfId="0" applyFill="1" applyBorder="1"/>
    <xf numFmtId="0" fontId="10" fillId="6" borderId="2" xfId="0" applyFont="1" applyFill="1" applyBorder="1" applyAlignment="1">
      <alignment horizontal="left" vertical="center" indent="1"/>
    </xf>
    <xf numFmtId="0" fontId="4" fillId="6" borderId="2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center" vertical="center"/>
    </xf>
    <xf numFmtId="164" fontId="9" fillId="5" borderId="2" xfId="0" applyNumberFormat="1" applyFont="1" applyFill="1" applyBorder="1" applyAlignment="1">
      <alignment horizontal="center" vertical="center"/>
    </xf>
    <xf numFmtId="165" fontId="4" fillId="7" borderId="3" xfId="0" applyNumberFormat="1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10" fontId="9" fillId="5" borderId="2" xfId="0" applyNumberFormat="1" applyFont="1" applyFill="1" applyBorder="1" applyAlignment="1">
      <alignment horizontal="center" vertical="center"/>
    </xf>
    <xf numFmtId="166" fontId="4" fillId="7" borderId="3" xfId="0" applyNumberFormat="1" applyFont="1" applyFill="1" applyBorder="1" applyAlignment="1">
      <alignment horizontal="center" vertical="center"/>
    </xf>
    <xf numFmtId="164" fontId="9" fillId="6" borderId="2" xfId="0" applyNumberFormat="1" applyFont="1" applyFill="1" applyBorder="1" applyAlignment="1">
      <alignment horizontal="center" vertical="center"/>
    </xf>
    <xf numFmtId="10" fontId="4" fillId="7" borderId="3" xfId="0" applyNumberFormat="1" applyFont="1" applyFill="1" applyBorder="1" applyAlignment="1">
      <alignment horizontal="center" vertical="center"/>
    </xf>
    <xf numFmtId="0" fontId="13" fillId="5" borderId="2" xfId="0" applyFont="1" applyFill="1" applyBorder="1" applyAlignment="1">
      <alignment horizontal="left" vertical="center" indent="1"/>
    </xf>
    <xf numFmtId="0" fontId="14" fillId="5" borderId="2" xfId="0" applyFont="1" applyFill="1" applyBorder="1" applyAlignment="1">
      <alignment horizontal="left" vertical="center" indent="1"/>
    </xf>
    <xf numFmtId="0" fontId="15" fillId="5" borderId="2" xfId="0" applyFont="1" applyFill="1" applyBorder="1" applyAlignment="1">
      <alignment horizontal="left" vertical="center" indent="1"/>
    </xf>
    <xf numFmtId="0" fontId="0" fillId="5" borderId="2" xfId="0" applyFill="1" applyBorder="1" applyAlignment="1">
      <alignment horizontal="left" vertical="center" indent="1"/>
    </xf>
    <xf numFmtId="0" fontId="13" fillId="6" borderId="2" xfId="0" applyFont="1" applyFill="1" applyBorder="1" applyAlignment="1">
      <alignment horizontal="left" vertical="center" indent="1"/>
    </xf>
    <xf numFmtId="0" fontId="14" fillId="6" borderId="2" xfId="0" applyFont="1" applyFill="1" applyBorder="1" applyAlignment="1">
      <alignment horizontal="left" vertical="center" indent="1"/>
    </xf>
    <xf numFmtId="0" fontId="15" fillId="6" borderId="2" xfId="0" applyFont="1" applyFill="1" applyBorder="1" applyAlignment="1">
      <alignment horizontal="left" vertical="center" indent="1"/>
    </xf>
    <xf numFmtId="0" fontId="0" fillId="6" borderId="2" xfId="0" applyFill="1" applyBorder="1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0" fillId="0" borderId="0" xfId="0"/>
    <xf numFmtId="0" fontId="4" fillId="0" borderId="0" xfId="0" applyFont="1" applyAlignment="1">
      <alignment horizontal="left" vertical="center" indent="1"/>
    </xf>
    <xf numFmtId="0" fontId="2" fillId="3" borderId="0" xfId="0" applyFont="1" applyFill="1" applyAlignment="1">
      <alignment horizontal="center" vertical="center"/>
    </xf>
    <xf numFmtId="0" fontId="3" fillId="0" borderId="0" xfId="0" applyFont="1" applyAlignment="1">
      <alignment horizontal="left" vertical="center" indent="1"/>
    </xf>
    <xf numFmtId="0" fontId="1" fillId="2" borderId="0" xfId="0" applyFont="1" applyFill="1" applyAlignment="1">
      <alignment horizontal="center" vertical="center"/>
    </xf>
    <xf numFmtId="0" fontId="11" fillId="0" borderId="0" xfId="0" applyFont="1" applyAlignment="1">
      <alignment horizontal="left" vertical="center" indent="1"/>
    </xf>
    <xf numFmtId="0" fontId="6" fillId="2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12" fillId="0" borderId="0" xfId="0" applyFont="1" applyAlignment="1">
      <alignment horizontal="left" vertical="center" indent="1"/>
    </xf>
    <xf numFmtId="0" fontId="16" fillId="0" borderId="0" xfId="0" applyFont="1" applyAlignment="1">
      <alignment horizontal="left" vertical="center" indent="1"/>
    </xf>
    <xf numFmtId="0" fontId="2" fillId="10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167" fontId="14" fillId="6" borderId="2" xfId="0" applyNumberFormat="1" applyFont="1" applyFill="1" applyBorder="1" applyAlignment="1">
      <alignment horizontal="left" vertical="center" indent="1"/>
    </xf>
    <xf numFmtId="167" fontId="14" fillId="5" borderId="2" xfId="0" applyNumberFormat="1" applyFont="1" applyFill="1" applyBorder="1" applyAlignment="1">
      <alignment horizontal="left" vertical="center" indent="1"/>
    </xf>
    <xf numFmtId="165" fontId="14" fillId="5" borderId="2" xfId="0" applyNumberFormat="1" applyFont="1" applyFill="1" applyBorder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CB17A2C-DFF9-FC42-B314-8FAE5E6CE9C6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bb5e0d31-6059-4b26-bd20-9b169cdc5049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4A7C5E"/>
  </sheetPr>
  <dimension ref="A1:F25"/>
  <sheetViews>
    <sheetView showGridLines="0" tabSelected="1" workbookViewId="0">
      <selection sqref="A1:F1"/>
    </sheetView>
  </sheetViews>
  <sheetFormatPr baseColWidth="10" defaultColWidth="8.83203125" defaultRowHeight="15" x14ac:dyDescent="0.2"/>
  <cols>
    <col min="1" max="1" width="70" customWidth="1"/>
    <col min="2" max="6" width="22" customWidth="1"/>
  </cols>
  <sheetData>
    <row r="1" spans="1:6" ht="56" customHeight="1" x14ac:dyDescent="0.2">
      <c r="A1" s="32" t="s">
        <v>0</v>
      </c>
      <c r="B1" s="28"/>
      <c r="C1" s="28"/>
      <c r="D1" s="28"/>
      <c r="E1" s="28"/>
      <c r="F1" s="28"/>
    </row>
    <row r="2" spans="1:6" ht="10" customHeight="1" x14ac:dyDescent="0.2"/>
    <row r="3" spans="1:6" ht="30" customHeight="1" x14ac:dyDescent="0.2">
      <c r="A3" s="30" t="s">
        <v>1</v>
      </c>
      <c r="B3" s="28"/>
      <c r="C3" s="28"/>
      <c r="D3" s="28"/>
      <c r="E3" s="28"/>
      <c r="F3" s="28"/>
    </row>
    <row r="4" spans="1:6" ht="14" customHeight="1" x14ac:dyDescent="0.2"/>
    <row r="5" spans="1:6" ht="22" customHeight="1" x14ac:dyDescent="0.2">
      <c r="A5" s="31" t="s">
        <v>2</v>
      </c>
      <c r="B5" s="28"/>
      <c r="C5" s="28"/>
      <c r="D5" s="28"/>
      <c r="E5" s="28"/>
      <c r="F5" s="28"/>
    </row>
    <row r="6" spans="1:6" ht="8" customHeight="1" x14ac:dyDescent="0.2">
      <c r="A6" s="29"/>
      <c r="B6" s="28"/>
      <c r="C6" s="28"/>
      <c r="D6" s="28"/>
      <c r="E6" s="28"/>
      <c r="F6" s="28"/>
    </row>
    <row r="7" spans="1:6" ht="22" customHeight="1" x14ac:dyDescent="0.2">
      <c r="A7" s="27" t="s">
        <v>3</v>
      </c>
      <c r="B7" s="28"/>
      <c r="C7" s="28"/>
      <c r="D7" s="28"/>
      <c r="E7" s="28"/>
      <c r="F7" s="28"/>
    </row>
    <row r="8" spans="1:6" ht="22" customHeight="1" x14ac:dyDescent="0.2">
      <c r="A8" s="27" t="s">
        <v>4</v>
      </c>
      <c r="B8" s="28"/>
      <c r="C8" s="28"/>
      <c r="D8" s="28"/>
      <c r="E8" s="28"/>
      <c r="F8" s="28"/>
    </row>
    <row r="9" spans="1:6" ht="22" customHeight="1" x14ac:dyDescent="0.2">
      <c r="A9" s="27" t="s">
        <v>5</v>
      </c>
      <c r="B9" s="28"/>
      <c r="C9" s="28"/>
      <c r="D9" s="28"/>
      <c r="E9" s="28"/>
      <c r="F9" s="28"/>
    </row>
    <row r="10" spans="1:6" ht="22" customHeight="1" x14ac:dyDescent="0.2">
      <c r="A10" s="27" t="s">
        <v>6</v>
      </c>
      <c r="B10" s="28"/>
      <c r="C10" s="28"/>
      <c r="D10" s="28"/>
      <c r="E10" s="28"/>
      <c r="F10" s="28"/>
    </row>
    <row r="11" spans="1:6" ht="22" customHeight="1" x14ac:dyDescent="0.2">
      <c r="A11" s="27" t="s">
        <v>7</v>
      </c>
      <c r="B11" s="28"/>
      <c r="C11" s="28"/>
      <c r="D11" s="28"/>
      <c r="E11" s="28"/>
      <c r="F11" s="28"/>
    </row>
    <row r="12" spans="1:6" ht="8" customHeight="1" x14ac:dyDescent="0.2">
      <c r="A12" s="29"/>
      <c r="B12" s="28"/>
      <c r="C12" s="28"/>
      <c r="D12" s="28"/>
      <c r="E12" s="28"/>
      <c r="F12" s="28"/>
    </row>
    <row r="13" spans="1:6" ht="22" customHeight="1" x14ac:dyDescent="0.2">
      <c r="A13" s="31" t="s">
        <v>8</v>
      </c>
      <c r="B13" s="28"/>
      <c r="C13" s="28"/>
      <c r="D13" s="28"/>
      <c r="E13" s="28"/>
      <c r="F13" s="28"/>
    </row>
    <row r="14" spans="1:6" ht="8" customHeight="1" x14ac:dyDescent="0.2">
      <c r="A14" s="29"/>
      <c r="B14" s="28"/>
      <c r="C14" s="28"/>
      <c r="D14" s="28"/>
      <c r="E14" s="28"/>
      <c r="F14" s="28"/>
    </row>
    <row r="15" spans="1:6" ht="22" customHeight="1" x14ac:dyDescent="0.2">
      <c r="A15" s="27" t="s">
        <v>9</v>
      </c>
      <c r="B15" s="28"/>
      <c r="C15" s="28"/>
      <c r="D15" s="28"/>
      <c r="E15" s="28"/>
      <c r="F15" s="28"/>
    </row>
    <row r="16" spans="1:6" ht="22" customHeight="1" x14ac:dyDescent="0.2">
      <c r="A16" s="27" t="s">
        <v>10</v>
      </c>
      <c r="B16" s="28"/>
      <c r="C16" s="28"/>
      <c r="D16" s="28"/>
      <c r="E16" s="28"/>
      <c r="F16" s="28"/>
    </row>
    <row r="17" spans="1:6" ht="22" customHeight="1" x14ac:dyDescent="0.2">
      <c r="A17" s="27" t="s">
        <v>11</v>
      </c>
      <c r="B17" s="28"/>
      <c r="C17" s="28"/>
      <c r="D17" s="28"/>
      <c r="E17" s="28"/>
      <c r="F17" s="28"/>
    </row>
    <row r="18" spans="1:6" ht="22" customHeight="1" x14ac:dyDescent="0.2">
      <c r="A18" s="27" t="s">
        <v>12</v>
      </c>
      <c r="B18" s="28"/>
      <c r="C18" s="28"/>
      <c r="D18" s="28"/>
      <c r="E18" s="28"/>
      <c r="F18" s="28"/>
    </row>
    <row r="19" spans="1:6" ht="22" customHeight="1" x14ac:dyDescent="0.2">
      <c r="A19" s="27" t="s">
        <v>13</v>
      </c>
      <c r="B19" s="28"/>
      <c r="C19" s="28"/>
      <c r="D19" s="28"/>
      <c r="E19" s="28"/>
      <c r="F19" s="28"/>
    </row>
    <row r="20" spans="1:6" ht="8" customHeight="1" x14ac:dyDescent="0.2">
      <c r="A20" s="29"/>
      <c r="B20" s="28"/>
      <c r="C20" s="28"/>
      <c r="D20" s="28"/>
      <c r="E20" s="28"/>
      <c r="F20" s="28"/>
    </row>
    <row r="21" spans="1:6" ht="22" customHeight="1" x14ac:dyDescent="0.2">
      <c r="A21" s="31" t="s">
        <v>14</v>
      </c>
      <c r="B21" s="28"/>
      <c r="C21" s="28"/>
      <c r="D21" s="28"/>
      <c r="E21" s="28"/>
      <c r="F21" s="28"/>
    </row>
    <row r="22" spans="1:6" ht="8" customHeight="1" x14ac:dyDescent="0.2">
      <c r="A22" s="29"/>
      <c r="B22" s="28"/>
      <c r="C22" s="28"/>
      <c r="D22" s="28"/>
      <c r="E22" s="28"/>
      <c r="F22" s="28"/>
    </row>
    <row r="23" spans="1:6" ht="22" customHeight="1" x14ac:dyDescent="0.2">
      <c r="A23" s="27" t="s">
        <v>15</v>
      </c>
      <c r="B23" s="28"/>
      <c r="C23" s="28"/>
      <c r="D23" s="28"/>
      <c r="E23" s="28"/>
      <c r="F23" s="28"/>
    </row>
    <row r="24" spans="1:6" ht="22" customHeight="1" x14ac:dyDescent="0.2">
      <c r="A24" s="27" t="s">
        <v>16</v>
      </c>
      <c r="B24" s="28"/>
      <c r="C24" s="28"/>
      <c r="D24" s="28"/>
      <c r="E24" s="28"/>
      <c r="F24" s="28"/>
    </row>
    <row r="25" spans="1:6" ht="22" customHeight="1" x14ac:dyDescent="0.2">
      <c r="A25" s="27" t="s">
        <v>17</v>
      </c>
      <c r="B25" s="28"/>
      <c r="C25" s="28"/>
      <c r="D25" s="28"/>
      <c r="E25" s="28"/>
      <c r="F25" s="28"/>
    </row>
  </sheetData>
  <mergeCells count="23">
    <mergeCell ref="A25:F25"/>
    <mergeCell ref="A24:F24"/>
    <mergeCell ref="A11:F11"/>
    <mergeCell ref="A1:F1"/>
    <mergeCell ref="A6:F6"/>
    <mergeCell ref="A7:F7"/>
    <mergeCell ref="A23:F23"/>
    <mergeCell ref="A8:F8"/>
    <mergeCell ref="A22:F22"/>
    <mergeCell ref="A17:F17"/>
    <mergeCell ref="A20:F20"/>
    <mergeCell ref="A10:F10"/>
    <mergeCell ref="A13:F13"/>
    <mergeCell ref="A19:F19"/>
    <mergeCell ref="A9:F9"/>
    <mergeCell ref="A15:F15"/>
    <mergeCell ref="A16:F16"/>
    <mergeCell ref="A12:F12"/>
    <mergeCell ref="A18:F18"/>
    <mergeCell ref="A3:F3"/>
    <mergeCell ref="A21:F21"/>
    <mergeCell ref="A14:F14"/>
    <mergeCell ref="A5:F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5C3E"/>
  </sheetPr>
  <dimension ref="A1:E33"/>
  <sheetViews>
    <sheetView showGridLines="0" workbookViewId="0"/>
  </sheetViews>
  <sheetFormatPr baseColWidth="10" defaultColWidth="8.83203125" defaultRowHeight="15" x14ac:dyDescent="0.2"/>
  <cols>
    <col min="1" max="1" width="38" customWidth="1"/>
    <col min="2" max="4" width="22" customWidth="1"/>
    <col min="5" max="5" width="26" customWidth="1"/>
    <col min="6" max="6" width="12" customWidth="1"/>
  </cols>
  <sheetData>
    <row r="1" spans="1:5" ht="50" customHeight="1" x14ac:dyDescent="0.2">
      <c r="A1" s="34" t="s">
        <v>18</v>
      </c>
      <c r="B1" s="28"/>
      <c r="C1" s="28"/>
      <c r="D1" s="28"/>
      <c r="E1" s="28"/>
    </row>
    <row r="2" spans="1:5" ht="8" customHeight="1" x14ac:dyDescent="0.2"/>
    <row r="3" spans="1:5" ht="28" customHeight="1" x14ac:dyDescent="0.2">
      <c r="A3" s="30" t="s">
        <v>19</v>
      </c>
      <c r="B3" s="28"/>
      <c r="C3" s="28"/>
      <c r="D3" s="28"/>
      <c r="E3" s="28"/>
    </row>
    <row r="4" spans="1:5" ht="8" customHeight="1" x14ac:dyDescent="0.2"/>
    <row r="5" spans="1:5" ht="26" customHeight="1" x14ac:dyDescent="0.2">
      <c r="A5" s="1" t="s">
        <v>20</v>
      </c>
      <c r="B5" s="1" t="s">
        <v>21</v>
      </c>
      <c r="C5" s="1" t="s">
        <v>22</v>
      </c>
      <c r="D5" s="1" t="s">
        <v>23</v>
      </c>
      <c r="E5" s="1" t="s">
        <v>24</v>
      </c>
    </row>
    <row r="6" spans="1:5" ht="24" customHeight="1" x14ac:dyDescent="0.2">
      <c r="A6" s="2" t="s">
        <v>25</v>
      </c>
      <c r="B6" s="3">
        <v>48</v>
      </c>
      <c r="D6" s="4"/>
      <c r="E6" s="5" t="s">
        <v>26</v>
      </c>
    </row>
    <row r="7" spans="1:5" ht="24" customHeight="1" x14ac:dyDescent="0.2">
      <c r="A7" s="6" t="s">
        <v>27</v>
      </c>
      <c r="B7" s="7">
        <v>12</v>
      </c>
      <c r="D7" s="8"/>
      <c r="E7" s="9" t="s">
        <v>28</v>
      </c>
    </row>
    <row r="8" spans="1:5" ht="24" customHeight="1" x14ac:dyDescent="0.2">
      <c r="A8" s="2" t="s">
        <v>29</v>
      </c>
      <c r="B8" s="3">
        <v>3</v>
      </c>
      <c r="D8" s="4"/>
      <c r="E8" s="5" t="s">
        <v>30</v>
      </c>
    </row>
    <row r="9" spans="1:5" ht="24" customHeight="1" x14ac:dyDescent="0.2">
      <c r="A9" s="6" t="s">
        <v>31</v>
      </c>
      <c r="B9" s="10"/>
      <c r="D9" s="11"/>
      <c r="E9" s="9" t="s">
        <v>32</v>
      </c>
    </row>
    <row r="10" spans="1:5" ht="24" customHeight="1" x14ac:dyDescent="0.2">
      <c r="A10" s="2" t="s">
        <v>33</v>
      </c>
      <c r="B10" s="12">
        <v>4200</v>
      </c>
      <c r="D10" s="4"/>
      <c r="E10" s="5" t="s">
        <v>34</v>
      </c>
    </row>
    <row r="11" spans="1:5" ht="24" customHeight="1" x14ac:dyDescent="0.2">
      <c r="A11" s="6" t="s">
        <v>35</v>
      </c>
      <c r="B11" s="10"/>
      <c r="D11" s="11"/>
      <c r="E11" s="9" t="s">
        <v>32</v>
      </c>
    </row>
    <row r="12" spans="1:5" ht="24" customHeight="1" x14ac:dyDescent="0.2">
      <c r="A12" s="2" t="s">
        <v>36</v>
      </c>
      <c r="B12" s="12">
        <v>250000</v>
      </c>
      <c r="D12" s="4"/>
      <c r="E12" s="5" t="s">
        <v>37</v>
      </c>
    </row>
    <row r="13" spans="1:5" ht="24" customHeight="1" x14ac:dyDescent="0.2">
      <c r="A13" s="6" t="s">
        <v>38</v>
      </c>
      <c r="B13" s="10"/>
      <c r="D13" s="11"/>
      <c r="E13" s="9" t="s">
        <v>32</v>
      </c>
    </row>
    <row r="14" spans="1:5" ht="12" customHeight="1" x14ac:dyDescent="0.2"/>
    <row r="15" spans="1:5" ht="28" customHeight="1" x14ac:dyDescent="0.2">
      <c r="A15" s="30" t="s">
        <v>39</v>
      </c>
      <c r="B15" s="28"/>
      <c r="C15" s="28"/>
      <c r="D15" s="28"/>
      <c r="E15" s="28"/>
    </row>
    <row r="16" spans="1:5" ht="8" customHeight="1" x14ac:dyDescent="0.2"/>
    <row r="17" spans="1:5" ht="26" customHeight="1" x14ac:dyDescent="0.2">
      <c r="A17" s="1" t="s">
        <v>20</v>
      </c>
      <c r="B17" s="1" t="s">
        <v>40</v>
      </c>
      <c r="C17" s="1" t="s">
        <v>41</v>
      </c>
      <c r="D17" s="1" t="s">
        <v>42</v>
      </c>
      <c r="E17" s="1" t="s">
        <v>43</v>
      </c>
    </row>
    <row r="18" spans="1:5" ht="24" customHeight="1" x14ac:dyDescent="0.2">
      <c r="A18" s="2" t="s">
        <v>44</v>
      </c>
      <c r="B18" s="3">
        <v>2</v>
      </c>
      <c r="C18" s="3">
        <v>6</v>
      </c>
      <c r="D18" s="13"/>
      <c r="E18" s="5">
        <f>B18/C18</f>
        <v>0.33333333333333331</v>
      </c>
    </row>
    <row r="19" spans="1:5" ht="24" customHeight="1" x14ac:dyDescent="0.2">
      <c r="A19" s="6" t="s">
        <v>45</v>
      </c>
      <c r="B19" s="7">
        <v>2</v>
      </c>
      <c r="C19" s="7">
        <v>6</v>
      </c>
      <c r="D19" s="13"/>
      <c r="E19" s="9">
        <f>B19/C19</f>
        <v>0.33333333333333331</v>
      </c>
    </row>
    <row r="20" spans="1:5" ht="24" customHeight="1" x14ac:dyDescent="0.2">
      <c r="A20" s="2" t="s">
        <v>46</v>
      </c>
      <c r="B20" s="3">
        <v>2</v>
      </c>
      <c r="C20" s="3">
        <v>6</v>
      </c>
      <c r="D20" s="13"/>
      <c r="E20" s="5">
        <f>B20/C20</f>
        <v>0.33333333333333331</v>
      </c>
    </row>
    <row r="21" spans="1:5" ht="24" customHeight="1" x14ac:dyDescent="0.2">
      <c r="A21" s="6" t="s">
        <v>47</v>
      </c>
      <c r="B21" s="7">
        <v>5</v>
      </c>
      <c r="C21" s="7">
        <v>9</v>
      </c>
      <c r="D21" s="13"/>
      <c r="E21" s="9">
        <f>B21/C21</f>
        <v>0.55555555555555558</v>
      </c>
    </row>
    <row r="22" spans="1:5" ht="24" customHeight="1" x14ac:dyDescent="0.2">
      <c r="A22" s="2" t="s">
        <v>48</v>
      </c>
      <c r="B22" s="14"/>
      <c r="C22" s="14"/>
      <c r="D22" s="13"/>
      <c r="E22" s="5">
        <f>B21/C21</f>
        <v>0.55555555555555558</v>
      </c>
    </row>
    <row r="23" spans="1:5" ht="12" customHeight="1" x14ac:dyDescent="0.2"/>
    <row r="24" spans="1:5" ht="28" customHeight="1" x14ac:dyDescent="0.2">
      <c r="A24" s="30" t="s">
        <v>49</v>
      </c>
      <c r="B24" s="28"/>
      <c r="C24" s="28"/>
      <c r="D24" s="28"/>
      <c r="E24" s="28"/>
    </row>
    <row r="25" spans="1:5" ht="8" customHeight="1" x14ac:dyDescent="0.2"/>
    <row r="26" spans="1:5" ht="26" customHeight="1" x14ac:dyDescent="0.2">
      <c r="A26" s="1" t="s">
        <v>20</v>
      </c>
      <c r="B26" s="1" t="s">
        <v>50</v>
      </c>
      <c r="C26" s="1" t="s">
        <v>51</v>
      </c>
      <c r="D26" s="1" t="s">
        <v>23</v>
      </c>
      <c r="E26" s="1" t="s">
        <v>52</v>
      </c>
    </row>
    <row r="27" spans="1:5" ht="24" customHeight="1" x14ac:dyDescent="0.2">
      <c r="A27" s="2" t="s">
        <v>53</v>
      </c>
      <c r="B27" s="12">
        <v>239400</v>
      </c>
      <c r="C27" s="15">
        <v>0.15</v>
      </c>
      <c r="D27" s="16"/>
      <c r="E27" s="5" t="s">
        <v>54</v>
      </c>
    </row>
    <row r="28" spans="1:5" ht="24" customHeight="1" x14ac:dyDescent="0.2">
      <c r="A28" s="6" t="s">
        <v>55</v>
      </c>
      <c r="B28" s="17">
        <v>1200000</v>
      </c>
      <c r="C28" s="17">
        <v>1255000</v>
      </c>
      <c r="D28" s="18"/>
      <c r="E28" s="9" t="s">
        <v>56</v>
      </c>
    </row>
    <row r="29" spans="1:5" ht="24" customHeight="1" x14ac:dyDescent="0.2">
      <c r="A29" s="2" t="s">
        <v>57</v>
      </c>
      <c r="B29" s="3">
        <v>4</v>
      </c>
      <c r="C29" s="3">
        <v>25</v>
      </c>
      <c r="D29" s="18"/>
      <c r="E29" s="5" t="s">
        <v>58</v>
      </c>
    </row>
    <row r="30" spans="1:5" ht="24" customHeight="1" x14ac:dyDescent="0.2">
      <c r="A30" s="6" t="s">
        <v>59</v>
      </c>
      <c r="B30" s="17">
        <v>239400</v>
      </c>
      <c r="C30" s="7">
        <v>1.1200000000000001</v>
      </c>
      <c r="D30" s="18"/>
      <c r="E30" s="9" t="s">
        <v>60</v>
      </c>
    </row>
    <row r="31" spans="1:5" ht="24" customHeight="1" x14ac:dyDescent="0.2">
      <c r="A31" s="2" t="s">
        <v>61</v>
      </c>
      <c r="B31" s="12">
        <v>239400</v>
      </c>
      <c r="C31" s="12">
        <v>268200</v>
      </c>
      <c r="D31" s="18"/>
      <c r="E31" s="5" t="s">
        <v>62</v>
      </c>
    </row>
    <row r="32" spans="1:5" ht="10" customHeight="1" x14ac:dyDescent="0.2"/>
    <row r="33" spans="1:5" ht="22" customHeight="1" x14ac:dyDescent="0.2">
      <c r="A33" s="33" t="s">
        <v>63</v>
      </c>
      <c r="B33" s="28"/>
      <c r="C33" s="28"/>
      <c r="D33" s="28"/>
      <c r="E33" s="28"/>
    </row>
  </sheetData>
  <mergeCells count="5">
    <mergeCell ref="A24:E24"/>
    <mergeCell ref="A15:E15"/>
    <mergeCell ref="A33:E33"/>
    <mergeCell ref="A1:E1"/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C4A2B"/>
  </sheetPr>
  <dimension ref="A1:E31"/>
  <sheetViews>
    <sheetView showGridLines="0" workbookViewId="0"/>
  </sheetViews>
  <sheetFormatPr baseColWidth="10" defaultColWidth="8.83203125" defaultRowHeight="15" x14ac:dyDescent="0.2"/>
  <cols>
    <col min="1" max="1" width="42" customWidth="1"/>
    <col min="2" max="4" width="22" customWidth="1"/>
    <col min="5" max="5" width="26" customWidth="1"/>
  </cols>
  <sheetData>
    <row r="1" spans="1:5" ht="50" customHeight="1" x14ac:dyDescent="0.2">
      <c r="A1" s="34" t="s">
        <v>64</v>
      </c>
      <c r="B1" s="28"/>
      <c r="C1" s="28"/>
      <c r="D1" s="28"/>
      <c r="E1" s="28"/>
    </row>
    <row r="2" spans="1:5" ht="8" customHeight="1" x14ac:dyDescent="0.2"/>
    <row r="3" spans="1:5" ht="22" customHeight="1" x14ac:dyDescent="0.2">
      <c r="A3" s="36" t="s">
        <v>65</v>
      </c>
      <c r="B3" s="28"/>
      <c r="C3" s="28"/>
      <c r="D3" s="28"/>
      <c r="E3" s="28"/>
    </row>
    <row r="4" spans="1:5" ht="8" customHeight="1" x14ac:dyDescent="0.2"/>
    <row r="5" spans="1:5" ht="28" customHeight="1" x14ac:dyDescent="0.2">
      <c r="A5" s="30" t="s">
        <v>66</v>
      </c>
      <c r="B5" s="28"/>
      <c r="C5" s="28"/>
      <c r="D5" s="28"/>
      <c r="E5" s="28"/>
    </row>
    <row r="6" spans="1:5" ht="8" customHeight="1" x14ac:dyDescent="0.2"/>
    <row r="7" spans="1:5" ht="24" customHeight="1" x14ac:dyDescent="0.2">
      <c r="A7" s="1" t="s">
        <v>67</v>
      </c>
      <c r="B7" s="1" t="s">
        <v>68</v>
      </c>
      <c r="C7" s="1" t="s">
        <v>69</v>
      </c>
      <c r="D7" s="1" t="s">
        <v>23</v>
      </c>
      <c r="E7" s="1" t="s">
        <v>43</v>
      </c>
    </row>
    <row r="8" spans="1:5" ht="24" customHeight="1" x14ac:dyDescent="0.2">
      <c r="A8" s="2" t="s">
        <v>70</v>
      </c>
      <c r="B8" s="4"/>
      <c r="C8" s="4"/>
      <c r="D8" s="11"/>
      <c r="E8" s="4"/>
    </row>
    <row r="9" spans="1:5" ht="24" customHeight="1" x14ac:dyDescent="0.2">
      <c r="A9" s="6" t="s">
        <v>71</v>
      </c>
      <c r="B9" s="8"/>
      <c r="C9" s="8"/>
      <c r="D9" s="11"/>
      <c r="E9" s="8"/>
    </row>
    <row r="10" spans="1:5" ht="24" customHeight="1" x14ac:dyDescent="0.2">
      <c r="A10" s="2" t="s">
        <v>72</v>
      </c>
      <c r="B10" s="4"/>
      <c r="C10" s="4"/>
      <c r="D10" s="11"/>
      <c r="E10" s="4"/>
    </row>
    <row r="11" spans="1:5" ht="24" customHeight="1" x14ac:dyDescent="0.2">
      <c r="A11" s="6" t="s">
        <v>73</v>
      </c>
      <c r="B11" s="8"/>
      <c r="C11" s="8"/>
      <c r="D11" s="11"/>
      <c r="E11" s="8"/>
    </row>
    <row r="12" spans="1:5" ht="24" customHeight="1" x14ac:dyDescent="0.2">
      <c r="A12" s="2" t="s">
        <v>74</v>
      </c>
      <c r="B12" s="4"/>
      <c r="C12" s="4"/>
      <c r="D12" s="11"/>
      <c r="E12" s="4"/>
    </row>
    <row r="13" spans="1:5" ht="24" customHeight="1" x14ac:dyDescent="0.2">
      <c r="A13" s="6" t="s">
        <v>75</v>
      </c>
      <c r="B13" s="8"/>
      <c r="C13" s="8"/>
      <c r="D13" s="11"/>
      <c r="E13" s="8"/>
    </row>
    <row r="14" spans="1:5" ht="24" customHeight="1" x14ac:dyDescent="0.2">
      <c r="A14" s="2" t="s">
        <v>76</v>
      </c>
      <c r="B14" s="4"/>
      <c r="C14" s="4"/>
      <c r="D14" s="11"/>
      <c r="E14" s="4"/>
    </row>
    <row r="15" spans="1:5" ht="24" customHeight="1" x14ac:dyDescent="0.2">
      <c r="A15" s="6" t="s">
        <v>77</v>
      </c>
      <c r="B15" s="8"/>
      <c r="C15" s="8"/>
      <c r="D15" s="11"/>
      <c r="E15" s="8"/>
    </row>
    <row r="16" spans="1:5" ht="24" customHeight="1" x14ac:dyDescent="0.2">
      <c r="A16" s="2" t="s">
        <v>78</v>
      </c>
      <c r="B16" s="4"/>
      <c r="C16" s="4"/>
      <c r="D16" s="11"/>
      <c r="E16" s="4"/>
    </row>
    <row r="17" spans="1:5" ht="14" customHeight="1" x14ac:dyDescent="0.2"/>
    <row r="18" spans="1:5" ht="28" customHeight="1" x14ac:dyDescent="0.2">
      <c r="A18" s="35" t="s">
        <v>79</v>
      </c>
      <c r="B18" s="28"/>
      <c r="C18" s="28"/>
      <c r="D18" s="28"/>
      <c r="E18" s="28"/>
    </row>
    <row r="19" spans="1:5" ht="8" customHeight="1" x14ac:dyDescent="0.2"/>
    <row r="20" spans="1:5" ht="24" customHeight="1" x14ac:dyDescent="0.2">
      <c r="A20" s="1" t="s">
        <v>67</v>
      </c>
      <c r="B20" s="1" t="s">
        <v>68</v>
      </c>
      <c r="C20" s="1" t="s">
        <v>69</v>
      </c>
      <c r="D20" s="1" t="s">
        <v>23</v>
      </c>
      <c r="E20" s="1" t="s">
        <v>43</v>
      </c>
    </row>
    <row r="21" spans="1:5" ht="24" customHeight="1" x14ac:dyDescent="0.2">
      <c r="A21" s="2" t="s">
        <v>80</v>
      </c>
      <c r="B21" s="4"/>
      <c r="C21" s="4"/>
      <c r="D21" s="11"/>
      <c r="E21" s="4"/>
    </row>
    <row r="22" spans="1:5" ht="24" customHeight="1" x14ac:dyDescent="0.2">
      <c r="A22" s="6" t="s">
        <v>81</v>
      </c>
      <c r="B22" s="8"/>
      <c r="C22" s="8"/>
      <c r="D22" s="11"/>
      <c r="E22" s="8"/>
    </row>
    <row r="23" spans="1:5" ht="24" customHeight="1" x14ac:dyDescent="0.2">
      <c r="A23" s="2" t="s">
        <v>82</v>
      </c>
      <c r="B23" s="4"/>
      <c r="C23" s="4"/>
      <c r="D23" s="11"/>
      <c r="E23" s="4"/>
    </row>
    <row r="24" spans="1:5" ht="24" customHeight="1" x14ac:dyDescent="0.2">
      <c r="A24" s="6" t="s">
        <v>83</v>
      </c>
      <c r="B24" s="8"/>
      <c r="C24" s="8"/>
      <c r="D24" s="11"/>
      <c r="E24" s="8"/>
    </row>
    <row r="25" spans="1:5" ht="24" customHeight="1" x14ac:dyDescent="0.2">
      <c r="A25" s="2" t="s">
        <v>84</v>
      </c>
      <c r="B25" s="4"/>
      <c r="C25" s="4"/>
      <c r="D25" s="11"/>
      <c r="E25" s="4"/>
    </row>
    <row r="26" spans="1:5" ht="24" customHeight="1" x14ac:dyDescent="0.2">
      <c r="A26" s="6" t="s">
        <v>85</v>
      </c>
      <c r="B26" s="8"/>
      <c r="C26" s="8"/>
      <c r="D26" s="11"/>
      <c r="E26" s="8"/>
    </row>
    <row r="27" spans="1:5" ht="24" customHeight="1" x14ac:dyDescent="0.2">
      <c r="A27" s="2" t="s">
        <v>86</v>
      </c>
      <c r="B27" s="4"/>
      <c r="C27" s="4"/>
      <c r="D27" s="11"/>
      <c r="E27" s="4"/>
    </row>
    <row r="28" spans="1:5" ht="24" customHeight="1" x14ac:dyDescent="0.2">
      <c r="A28" s="6" t="s">
        <v>87</v>
      </c>
      <c r="B28" s="8"/>
      <c r="C28" s="8"/>
      <c r="D28" s="11"/>
      <c r="E28" s="8"/>
    </row>
    <row r="29" spans="1:5" ht="24" customHeight="1" x14ac:dyDescent="0.2">
      <c r="A29" s="2" t="s">
        <v>88</v>
      </c>
      <c r="B29" s="4"/>
      <c r="C29" s="4"/>
      <c r="D29" s="11"/>
      <c r="E29" s="4"/>
    </row>
    <row r="30" spans="1:5" ht="24" customHeight="1" x14ac:dyDescent="0.2">
      <c r="A30" s="6" t="s">
        <v>89</v>
      </c>
      <c r="B30" s="8"/>
      <c r="C30" s="8"/>
      <c r="D30" s="11"/>
      <c r="E30" s="8"/>
    </row>
    <row r="31" spans="1:5" ht="14" customHeight="1" x14ac:dyDescent="0.2"/>
  </sheetData>
  <mergeCells count="4">
    <mergeCell ref="A1:E1"/>
    <mergeCell ref="A18:E18"/>
    <mergeCell ref="A5:E5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B8843D"/>
  </sheetPr>
  <dimension ref="A1:D31"/>
  <sheetViews>
    <sheetView showGridLines="0" workbookViewId="0"/>
  </sheetViews>
  <sheetFormatPr baseColWidth="10" defaultColWidth="8.83203125" defaultRowHeight="15" x14ac:dyDescent="0.2"/>
  <cols>
    <col min="1" max="1" width="32" customWidth="1"/>
    <col min="2" max="2" width="36" customWidth="1"/>
    <col min="3" max="3" width="28" customWidth="1"/>
    <col min="4" max="4" width="26" customWidth="1"/>
  </cols>
  <sheetData>
    <row r="1" spans="1:4" ht="50" customHeight="1" x14ac:dyDescent="0.2">
      <c r="A1" s="34" t="s">
        <v>90</v>
      </c>
      <c r="B1" s="28"/>
      <c r="C1" s="28"/>
      <c r="D1" s="28"/>
    </row>
    <row r="2" spans="1:4" ht="8" customHeight="1" x14ac:dyDescent="0.2"/>
    <row r="3" spans="1:4" ht="28" customHeight="1" x14ac:dyDescent="0.2">
      <c r="A3" s="30" t="s">
        <v>91</v>
      </c>
      <c r="B3" s="28"/>
      <c r="C3" s="28"/>
      <c r="D3" s="28"/>
    </row>
    <row r="4" spans="1:4" ht="24" customHeight="1" x14ac:dyDescent="0.2">
      <c r="A4" s="1" t="s">
        <v>92</v>
      </c>
      <c r="B4" s="1" t="s">
        <v>93</v>
      </c>
      <c r="C4" s="1" t="s">
        <v>94</v>
      </c>
      <c r="D4" s="1" t="s">
        <v>95</v>
      </c>
    </row>
    <row r="5" spans="1:4" ht="24" customHeight="1" x14ac:dyDescent="0.2">
      <c r="A5" s="19" t="s">
        <v>96</v>
      </c>
      <c r="B5" s="20">
        <f>40 + 8</f>
        <v>48</v>
      </c>
      <c r="C5" s="21" t="s">
        <v>97</v>
      </c>
      <c r="D5" s="22"/>
    </row>
    <row r="6" spans="1:4" ht="24" customHeight="1" x14ac:dyDescent="0.2">
      <c r="A6" s="23" t="s">
        <v>98</v>
      </c>
      <c r="B6" s="24">
        <f>48 - 3</f>
        <v>45</v>
      </c>
      <c r="C6" s="25" t="s">
        <v>99</v>
      </c>
      <c r="D6" s="26"/>
    </row>
    <row r="7" spans="1:4" ht="24" customHeight="1" x14ac:dyDescent="0.2">
      <c r="A7" s="19" t="s">
        <v>100</v>
      </c>
      <c r="B7" s="20">
        <f>48 * 4200</f>
        <v>201600</v>
      </c>
      <c r="C7" s="21" t="s">
        <v>101</v>
      </c>
      <c r="D7" s="22"/>
    </row>
    <row r="8" spans="1:4" ht="24" customHeight="1" x14ac:dyDescent="0.2">
      <c r="A8" s="23" t="s">
        <v>102</v>
      </c>
      <c r="B8" s="24">
        <f>201600 / 48</f>
        <v>4200</v>
      </c>
      <c r="C8" s="25" t="s">
        <v>103</v>
      </c>
      <c r="D8" s="26"/>
    </row>
    <row r="9" spans="1:4" ht="10" customHeight="1" x14ac:dyDescent="0.2"/>
    <row r="10" spans="1:4" ht="28" customHeight="1" x14ac:dyDescent="0.2">
      <c r="A10" s="39" t="s">
        <v>104</v>
      </c>
      <c r="B10" s="28"/>
      <c r="C10" s="28"/>
      <c r="D10" s="28"/>
    </row>
    <row r="11" spans="1:4" ht="24" customHeight="1" x14ac:dyDescent="0.2">
      <c r="A11" s="1" t="s">
        <v>92</v>
      </c>
      <c r="B11" s="1" t="s">
        <v>93</v>
      </c>
      <c r="C11" s="1" t="s">
        <v>94</v>
      </c>
      <c r="D11" s="1" t="s">
        <v>95</v>
      </c>
    </row>
    <row r="12" spans="1:4" ht="24" customHeight="1" x14ac:dyDescent="0.2">
      <c r="A12" s="19" t="s">
        <v>105</v>
      </c>
      <c r="B12" s="42">
        <f>5/9</f>
        <v>0.55555555555555558</v>
      </c>
      <c r="C12" s="21" t="s">
        <v>106</v>
      </c>
      <c r="D12" s="22"/>
    </row>
    <row r="13" spans="1:4" ht="24" customHeight="1" x14ac:dyDescent="0.2">
      <c r="A13" s="23" t="s">
        <v>107</v>
      </c>
      <c r="B13" s="40">
        <f>5/9</f>
        <v>0.55555555555555558</v>
      </c>
      <c r="C13" s="25" t="s">
        <v>108</v>
      </c>
      <c r="D13" s="26"/>
    </row>
    <row r="14" spans="1:4" ht="24" customHeight="1" x14ac:dyDescent="0.2">
      <c r="A14" s="19" t="s">
        <v>109</v>
      </c>
      <c r="B14" s="42">
        <f>22/57</f>
        <v>0.38596491228070173</v>
      </c>
      <c r="C14" s="21" t="s">
        <v>110</v>
      </c>
      <c r="D14" s="22"/>
    </row>
    <row r="15" spans="1:4" ht="10" customHeight="1" x14ac:dyDescent="0.2"/>
    <row r="16" spans="1:4" ht="28" customHeight="1" x14ac:dyDescent="0.2">
      <c r="A16" s="38" t="s">
        <v>111</v>
      </c>
      <c r="B16" s="28"/>
      <c r="C16" s="28"/>
      <c r="D16" s="28"/>
    </row>
    <row r="17" spans="1:4" ht="24" customHeight="1" x14ac:dyDescent="0.2">
      <c r="A17" s="1" t="s">
        <v>92</v>
      </c>
      <c r="B17" s="1" t="s">
        <v>93</v>
      </c>
      <c r="C17" s="1" t="s">
        <v>94</v>
      </c>
      <c r="D17" s="1" t="s">
        <v>95</v>
      </c>
    </row>
    <row r="18" spans="1:4" ht="24" customHeight="1" x14ac:dyDescent="0.2">
      <c r="A18" s="19" t="s">
        <v>112</v>
      </c>
      <c r="B18" s="20">
        <f>239400 * 0.15</f>
        <v>35910</v>
      </c>
      <c r="C18" s="21" t="s">
        <v>113</v>
      </c>
      <c r="D18" s="22"/>
    </row>
    <row r="19" spans="1:4" ht="24" customHeight="1" x14ac:dyDescent="0.2">
      <c r="A19" s="23" t="s">
        <v>114</v>
      </c>
      <c r="B19" s="40">
        <f>(1255000 - 1200000) / 1200000</f>
        <v>4.583333333333333E-2</v>
      </c>
      <c r="C19" s="25" t="s">
        <v>115</v>
      </c>
      <c r="D19" s="26"/>
    </row>
    <row r="20" spans="1:4" ht="24" customHeight="1" x14ac:dyDescent="0.2">
      <c r="A20" s="19" t="s">
        <v>116</v>
      </c>
      <c r="B20" s="41">
        <f>4/25</f>
        <v>0.16</v>
      </c>
      <c r="C20" s="21" t="s">
        <v>117</v>
      </c>
      <c r="D20" s="22"/>
    </row>
    <row r="21" spans="1:4" ht="24" customHeight="1" x14ac:dyDescent="0.2">
      <c r="A21" s="23" t="s">
        <v>118</v>
      </c>
      <c r="B21" s="24">
        <f>239400 * (1 + 0.075)</f>
        <v>257355</v>
      </c>
      <c r="C21" s="25" t="s">
        <v>119</v>
      </c>
      <c r="D21" s="26"/>
    </row>
    <row r="22" spans="1:4" ht="24" customHeight="1" x14ac:dyDescent="0.2">
      <c r="A22" s="19" t="s">
        <v>120</v>
      </c>
      <c r="B22" s="41">
        <f>(268200 - 239400) / 239400</f>
        <v>0.12030075187969924</v>
      </c>
      <c r="C22" s="21" t="s">
        <v>121</v>
      </c>
      <c r="D22" s="22"/>
    </row>
    <row r="23" spans="1:4" ht="10" customHeight="1" x14ac:dyDescent="0.2"/>
    <row r="24" spans="1:4" ht="28" customHeight="1" x14ac:dyDescent="0.2">
      <c r="A24" s="35" t="s">
        <v>122</v>
      </c>
      <c r="B24" s="28"/>
      <c r="C24" s="28"/>
      <c r="D24" s="28"/>
    </row>
    <row r="25" spans="1:4" ht="24" customHeight="1" x14ac:dyDescent="0.2">
      <c r="A25" s="1" t="s">
        <v>92</v>
      </c>
      <c r="B25" s="1" t="s">
        <v>93</v>
      </c>
      <c r="C25" s="1" t="s">
        <v>94</v>
      </c>
      <c r="D25" s="1" t="s">
        <v>95</v>
      </c>
    </row>
    <row r="26" spans="1:4" ht="24" customHeight="1" x14ac:dyDescent="0.2">
      <c r="A26" s="19" t="s">
        <v>123</v>
      </c>
      <c r="B26" s="20" t="s">
        <v>124</v>
      </c>
      <c r="C26" s="21" t="s">
        <v>125</v>
      </c>
      <c r="D26" s="22"/>
    </row>
    <row r="27" spans="1:4" ht="24" customHeight="1" x14ac:dyDescent="0.2">
      <c r="A27" s="23" t="s">
        <v>126</v>
      </c>
      <c r="B27" s="24" t="s">
        <v>127</v>
      </c>
      <c r="C27" s="25" t="s">
        <v>128</v>
      </c>
      <c r="D27" s="26"/>
    </row>
    <row r="28" spans="1:4" ht="24" customHeight="1" x14ac:dyDescent="0.2">
      <c r="A28" s="19" t="s">
        <v>129</v>
      </c>
      <c r="B28" s="20" t="s">
        <v>130</v>
      </c>
      <c r="C28" s="21" t="s">
        <v>131</v>
      </c>
      <c r="D28" s="22"/>
    </row>
    <row r="29" spans="1:4" ht="24" customHeight="1" x14ac:dyDescent="0.2">
      <c r="A29" s="23" t="s">
        <v>132</v>
      </c>
      <c r="B29" s="24">
        <f>48 * 4200</f>
        <v>201600</v>
      </c>
      <c r="C29" s="25" t="s">
        <v>133</v>
      </c>
      <c r="D29" s="26"/>
    </row>
    <row r="30" spans="1:4" ht="10" customHeight="1" x14ac:dyDescent="0.2"/>
    <row r="31" spans="1:4" ht="22" customHeight="1" x14ac:dyDescent="0.2">
      <c r="A31" s="37" t="s">
        <v>134</v>
      </c>
      <c r="B31" s="28"/>
      <c r="C31" s="28"/>
      <c r="D31" s="28"/>
    </row>
  </sheetData>
  <mergeCells count="6">
    <mergeCell ref="A1:D1"/>
    <mergeCell ref="A31:D31"/>
    <mergeCell ref="A3:D3"/>
    <mergeCell ref="A24:D24"/>
    <mergeCell ref="A16:D16"/>
    <mergeCell ref="A10:D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START HERE</vt:lpstr>
      <vt:lpstr>Whole Numbers Practice</vt:lpstr>
      <vt:lpstr>Challenge</vt:lpstr>
      <vt:lpstr>FormulaReferenceCard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Bethany Evitts</cp:lastModifiedBy>
  <dcterms:created xsi:type="dcterms:W3CDTF">2026-05-25T18:22:06Z</dcterms:created>
  <dcterms:modified xsi:type="dcterms:W3CDTF">2026-06-09T01:10:03Z</dcterms:modified>
</cp:coreProperties>
</file>