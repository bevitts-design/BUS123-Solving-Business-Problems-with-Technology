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ab 2 – References" sheetId="2" state="visible" r:id="rId4"/>
    <sheet name="Tab 3 – Payroll VLOOKUP" sheetId="3" state="visible" r:id="rId5"/>
    <sheet name="Tab 4 – Pricing VLOOKUP" sheetId="4" state="visible" r:id="rId6"/>
    <sheet name="Tab 5 – Challenge ⭐" sheetId="5" state="visible" r:id="rId7"/>
    <sheet name="Tab 6 – Answer Key 🔑"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<sst xmlns="http://schemas.openxmlformats.org/spreadsheetml/2006/main" count="266" uniqueCount="163">
  <si>
    <t xml:space="preserve">BUS 123  |  Day 4 Excel Workbook</t>
  </si>
  <si>
    <t xml:space="preserve">Smarter Spreadsheets: Absolute References, Named Ranges &amp; VLOOKUP</t>
  </si>
  <si>
    <t xml:space="preserve">Tab</t>
  </si>
  <si>
    <t xml:space="preserve">Activity</t>
  </si>
  <si>
    <t xml:space="preserve">Skills Practiced</t>
  </si>
  <si>
    <t xml:space="preserve">Tab 2</t>
  </si>
  <si>
    <t xml:space="preserve">References Practice</t>
  </si>
  <si>
    <t xml:space="preserve">Relative vs. Absolute References, Named Ranges</t>
  </si>
  <si>
    <t xml:space="preserve">Tab 3</t>
  </si>
  <si>
    <t xml:space="preserve">Payroll – VLOOKUP</t>
  </si>
  <si>
    <t xml:space="preserve">VLOOKUP, Absolute References, SUM, AVERAGE, MAX, MIN</t>
  </si>
  <si>
    <t xml:space="preserve">Tab 4</t>
  </si>
  <si>
    <t xml:space="preserve">Product Pricing – VLOOKUP</t>
  </si>
  <si>
    <t xml:space="preserve">VLOOKUP, Named Ranges, Tax Calculations</t>
  </si>
  <si>
    <t xml:space="preserve">Tab 5</t>
  </si>
  <si>
    <t xml:space="preserve">Challenge (Bonus)</t>
  </si>
  <si>
    <t xml:space="preserve">Nested VLOOKUP, IF + VLOOKUP for Overtime</t>
  </si>
  <si>
    <t xml:space="preserve">Tab 6</t>
  </si>
  <si>
    <t xml:space="preserve">Answer Key</t>
  </si>
  <si>
    <t xml:space="preserve">Instructor Use Only</t>
  </si>
  <si>
    <t xml:space="preserve">📋  How to Use This Workbook</t>
  </si>
  <si>
    <t xml:space="preserve">1. Work through each tab in order (Tabs 2 → 3 → 4).</t>
  </si>
  <si>
    <t xml:space="preserve">2. Read the scenario at the top of each tab before starting.</t>
  </si>
  <si>
    <t xml:space="preserve">3. Enter your formulas in the YELLOW cells.</t>
  </si>
  <si>
    <t xml:space="preserve">4. Green = correct  |  Red = check your formula and try again.</t>
  </si>
  <si>
    <t xml:space="preserve">5. The Challenge tab (Tab 5) is optional — for students who finish early.</t>
  </si>
  <si>
    <t xml:space="preserve">6. Do NOT open Tab 6 (Answer Key) until instructed by your professor.</t>
  </si>
  <si>
    <t xml:space="preserve">7. Save your work with: File → Save As → [YourLastName]_Day4.xlsx</t>
  </si>
  <si>
    <t xml:space="preserve">Endicott College  |  Gerrish School of Business  |  BUS 123</t>
  </si>
  <si>
    <t xml:space="preserve">Tab 2  |  Absolute References &amp; Named Ranges</t>
  </si>
  <si>
    <t xml:space="preserve">Scenario: You work in Finance at Endicott Management Group. Calculate quarterly bonuses for 8 employees using an absolute reference and a named range.</t>
  </si>
  <si>
    <t xml:space="preserve">ASSUMPTION (Change this to see all formulas update automatically)</t>
  </si>
  <si>
    <t xml:space="preserve">Bonus Rate:</t>
  </si>
  <si>
    <t xml:space="preserve">← Named Range: "BonusRate"  |  Press F4 inside formulas to add $</t>
  </si>
  <si>
    <t xml:space="preserve">Employee Name</t>
  </si>
  <si>
    <t xml:space="preserve">Annual Salary</t>
  </si>
  <si>
    <t xml:space="preserve">Bonus – Absolute Ref
=B*$C$6</t>
  </si>
  <si>
    <t xml:space="preserve">Bonus – Named Range
=B*BonusRate</t>
  </si>
  <si>
    <t xml:space="preserve">Torres, Jamie</t>
  </si>
  <si>
    <t xml:space="preserve">Webb, Marcus</t>
  </si>
  <si>
    <t xml:space="preserve">Chen, Sofia</t>
  </si>
  <si>
    <t xml:space="preserve">Park, Devon</t>
  </si>
  <si>
    <t xml:space="preserve">Rivera, Camila</t>
  </si>
  <si>
    <t xml:space="preserve">Johnson, Tyler</t>
  </si>
  <si>
    <t xml:space="preserve">Okafor, Nadia</t>
  </si>
  <si>
    <t xml:space="preserve">Patel, Ravi</t>
  </si>
  <si>
    <t xml:space="preserve">TOTAL BONUSES</t>
  </si>
  <si>
    <t xml:space="preserve">✅  Self-Check</t>
  </si>
  <si>
    <t xml:space="preserve">📋  Step-by-Step Instructions</t>
  </si>
  <si>
    <t xml:space="preserve">Step 1  Enter a formula in D10 using an ABSOLUTE reference to the Bonus Rate in cell C6.  Example: =C10*$C$6</t>
  </si>
  <si>
    <t xml:space="preserve">Step 2  Copy your formula in D10 down to D11:D17 using AutoFill (drag the corner or Ctrl+D).</t>
  </si>
  <si>
    <t xml:space="preserve">Step 3  Click on cell C6. Click the Name Box (top left where it says 'C6') and type: BonusRate  →  Press Enter.</t>
  </si>
  <si>
    <t xml:space="preserve">Step 4  In E10, write the SAME formula but use the named range instead of $C$6.  Example: =C10*BonusRate</t>
  </si>
  <si>
    <t xml:space="preserve">Step 5  Copy E10 down to E11:E17. Check that D18 and E18 show the same total.</t>
  </si>
  <si>
    <t xml:space="preserve">Step 6  Change cell C6 from 12% to 15%. Watch both columns update automatically — that is the power of references!</t>
  </si>
  <si>
    <t xml:space="preserve">Tab 3  |  Payroll Calculator – VLOOKUP</t>
  </si>
  <si>
    <t xml:space="preserve">Scenario: Harbor View Surf Shop needs to run payroll for 10 employees. Use VLOOKUP to find each employee's hourly rate from the pay rate table (columns H–J), then calculate Gross Pay. Build your summary statistics at the bottom.</t>
  </si>
  <si>
    <t xml:space="preserve">Employee ID</t>
  </si>
  <si>
    <t xml:space="preserve">Hours Worked</t>
  </si>
  <si>
    <t xml:space="preserve">Hourly Rate
(VLOOKUP)</t>
  </si>
  <si>
    <t xml:space="preserve">Gross Pay</t>
  </si>
  <si>
    <t xml:space="preserve">Emp ID</t>
  </si>
  <si>
    <t xml:space="preserve">Hourly Rate</t>
  </si>
  <si>
    <t xml:space="preserve">Kim, Alex</t>
  </si>
  <si>
    <t xml:space="preserve">Davis, Morgan</t>
  </si>
  <si>
    <t xml:space="preserve">Summary Statistic</t>
  </si>
  <si>
    <t xml:space="preserve">Result</t>
  </si>
  <si>
    <t xml:space="preserve">Total Payroll</t>
  </si>
  <si>
    <t xml:space="preserve">Average Gross Pay</t>
  </si>
  <si>
    <t xml:space="preserve">Highest Gross Pay</t>
  </si>
  <si>
    <t xml:space="preserve">Lowest Gross Pay</t>
  </si>
  <si>
    <t xml:space="preserve">Number of Employees</t>
  </si>
  <si>
    <t xml:space="preserve">🔍  VLOOKUP Syntax Reminder</t>
  </si>
  <si>
    <t xml:space="preserve">VLOOKUP( lookup_value,  table_array,  col_index_num,  0 )</t>
  </si>
  <si>
    <t xml:space="preserve">lookup_value  = the Employee ID you want to find  -&gt;  cell B6</t>
  </si>
  <si>
    <t xml:space="preserve">table_array   = your lookup table (MUST use $ signs!)  -&gt;  $H$6:$J$15</t>
  </si>
  <si>
    <t xml:space="preserve">col_index_num = which column of the table holds Hourly Rate?  -&gt;  3</t>
  </si>
  <si>
    <t xml:space="preserve">0             = exact match (ALWAYS use 0 for payroll/pricing lookups)</t>
  </si>
  <si>
    <t xml:space="preserve">Full formula for D6:  =VLOOKUP(B6,$H$6:$J$15,3,0)</t>
  </si>
  <si>
    <t xml:space="preserve">Tab 4  |  Customer Invoice – Product Pricing VLOOKUP</t>
  </si>
  <si>
    <t xml:space="preserve">Scenario: Dune Road Apparel needs to generate a customer invoice. Use VLOOKUP to look up each product's unit price from the price list (columns H–J), then calculate line totals, subtotal, sales tax, and final invoice total.</t>
  </si>
  <si>
    <t xml:space="preserve">Sales Tax Rate:</t>
  </si>
  <si>
    <t xml:space="preserve">← Named Range: "SalesTax"</t>
  </si>
  <si>
    <t xml:space="preserve">Product Code</t>
  </si>
  <si>
    <t xml:space="preserve">Quantity</t>
  </si>
  <si>
    <t xml:space="preserve">Unit Price
(VLOOKUP)</t>
  </si>
  <si>
    <t xml:space="preserve">Line Total
(Qty × Price)</t>
  </si>
  <si>
    <t xml:space="preserve">Tax Amount</t>
  </si>
  <si>
    <t xml:space="preserve">Product Name</t>
  </si>
  <si>
    <t xml:space="preserve">Unit Price</t>
  </si>
  <si>
    <t xml:space="preserve">DRA-001</t>
  </si>
  <si>
    <t xml:space="preserve">Classic Hoodie</t>
  </si>
  <si>
    <t xml:space="preserve">DRA-003</t>
  </si>
  <si>
    <t xml:space="preserve">DRA-002</t>
  </si>
  <si>
    <t xml:space="preserve">Graphic T-Shirt</t>
  </si>
  <si>
    <t xml:space="preserve">DRA-005</t>
  </si>
  <si>
    <t xml:space="preserve">Snap-Back Hat</t>
  </si>
  <si>
    <t xml:space="preserve">DRA-004</t>
  </si>
  <si>
    <t xml:space="preserve">Board Shorts</t>
  </si>
  <si>
    <t xml:space="preserve">DRA-007</t>
  </si>
  <si>
    <t xml:space="preserve">Zip-Up Fleece</t>
  </si>
  <si>
    <t xml:space="preserve">DRA-006</t>
  </si>
  <si>
    <t xml:space="preserve">Tank Top</t>
  </si>
  <si>
    <t xml:space="preserve">DRA-008</t>
  </si>
  <si>
    <t xml:space="preserve">Denim Jacket</t>
  </si>
  <si>
    <t xml:space="preserve">Crew Neck Sweatshirt</t>
  </si>
  <si>
    <t xml:space="preserve">SUBTOTAL</t>
  </si>
  <si>
    <t xml:space="preserve">SALES TAX</t>
  </si>
  <si>
    <t xml:space="preserve">INVOICE TOTAL</t>
  </si>
  <si>
    <t xml:space="preserve">Step 1  In C8, write a VLOOKUP to find the Unit Price using the Product Code in B8.  Table: $H$8:$J$15  |  Column: 3</t>
  </si>
  <si>
    <t xml:space="preserve">Step 2  Copy your VLOOKUP formula down to C9:C15.</t>
  </si>
  <si>
    <t xml:space="preserve">Step 3  In D8, calculate Line Total = Quantity × Unit Price  →  =C8*B8  (NOT =B8*C8 — order matters for readability!)</t>
  </si>
  <si>
    <t xml:space="preserve">Step 4  Copy D8 down to D9:D15.</t>
  </si>
  <si>
    <t xml:space="preserve">Step 5  Name cell C5 as 'SalesTax' (click C5 → click Name Box → type SalesTax → Enter).</t>
  </si>
  <si>
    <t xml:space="preserve">Step 6  In D19, calculate Sales Tax using the named range:  =D18*SalesTax</t>
  </si>
  <si>
    <t xml:space="preserve">Step 7  Confirm D20 shows the correct Invoice Total = Subtotal + Tax.</t>
  </si>
  <si>
    <t xml:space="preserve">Tab 5  |  Challenge Problems  ⭐</t>
  </si>
  <si>
    <t xml:space="preserve">Nice work finishing the main tabs! These bonus problems push your skills further. No hints this time.</t>
  </si>
  <si>
    <t xml:space="preserve">CHALLENGE 1  |  Overtime Pay (IF + VLOOKUP)</t>
  </si>
  <si>
    <t xml:space="preserve">Scenario: Harbor View Surf Shop pays overtime at 1.5× the regular rate for any hours over 40 per week. Using the same pay rate table from Tab 3, calculate each employee's Regular Pay, Overtime Pay, and Total Gross Pay.</t>
  </si>
  <si>
    <t xml:space="preserve">Regular Pay
(≤40 hrs)</t>
  </si>
  <si>
    <t xml:space="preserve">Overtime Pay
(&gt;40 hrs @ 1.5x)</t>
  </si>
  <si>
    <t xml:space="preserve">Total Gross Pay</t>
  </si>
  <si>
    <t xml:space="preserve">💡  Hint:  Regular Pay = MIN(Hours, 40) × Rate  |  Overtime Pay = MAX(Hours-40, 0) × Rate × 1.5  |  Use VLOOKUP from Tab 3 ($H$6:$J$15 on Tab 3) — or rebuild the table here.</t>
  </si>
  <si>
    <t xml:space="preserve">Name</t>
  </si>
  <si>
    <t xml:space="preserve">CHALLENGE 2  |  Nested Two-Table Lookup</t>
  </si>
  <si>
    <t xml:space="preserve">Scenario: Endicott Management Group has a two-tier bonus structure. First use VLOOKUP to find each employee's department. Then use a second VLOOKUP to find the bonus rate for that department. Finally, apply the rate to their annual salary to calculate their bonus.</t>
  </si>
  <si>
    <t xml:space="preserve">Dept (VLOOKUP 1)</t>
  </si>
  <si>
    <t xml:space="preserve">Bonus Rate (VLOOKUP 2)</t>
  </si>
  <si>
    <t xml:space="preserve">Bonus Amount</t>
  </si>
  <si>
    <t xml:space="preserve">Annual Salary (given)</t>
  </si>
  <si>
    <t xml:space="preserve">Department</t>
  </si>
  <si>
    <t xml:space="preserve">Finance</t>
  </si>
  <si>
    <t xml:space="preserve">Marketing</t>
  </si>
  <si>
    <t xml:space="preserve">Operations</t>
  </si>
  <si>
    <t xml:space="preserve">Bonus Rate</t>
  </si>
  <si>
    <t xml:space="preserve">Tab 6  |  INSTRUCTOR ANSWER KEY  🔑</t>
  </si>
  <si>
    <t xml:space="preserve">INSTRUCTOR USE ONLY — Do not distribute to students until after the activity is complete.</t>
  </si>
  <si>
    <t xml:space="preserve">TAB 2  |  References Practice – Answer Key</t>
  </si>
  <si>
    <t xml:space="preserve">Employee</t>
  </si>
  <si>
    <t xml:space="preserve">Bonus (Abs Ref Formula)</t>
  </si>
  <si>
    <t xml:space="preserve">Bonus (Named Range Formula)</t>
  </si>
  <si>
    <t xml:space="preserve">Correct Bonus Amount</t>
  </si>
  <si>
    <t xml:space="preserve"> Salary * $C$6  (Absolute Reference)</t>
  </si>
  <si>
    <t xml:space="preserve"> Salary * BonusRate  (Named Range)</t>
  </si>
  <si>
    <t xml:space="preserve">TOTAL</t>
  </si>
  <si>
    <t xml:space="preserve">⚠  Common Mistake: Students forget $ signs → formula drifts when copied. Demo by deleting $ from one formula and copying down.</t>
  </si>
  <si>
    <t xml:space="preserve">TAB 3  |  Payroll VLOOKUP – Answer Key</t>
  </si>
  <si>
    <t xml:space="preserve">Hours</t>
  </si>
  <si>
    <t xml:space="preserve">VLOOKUP Formula</t>
  </si>
  <si>
    <t xml:space="preserve">Gross Pay Formula</t>
  </si>
  <si>
    <t xml:space="preserve">Correct Gross Pay</t>
  </si>
  <si>
    <t xml:space="preserve">VLOOKUP(EmpID, $H$6:$J$15, 3, 0)</t>
  </si>
  <si>
    <t xml:space="preserve">Hours x Rate</t>
  </si>
  <si>
    <t xml:space="preserve">Common Mistake: Forgetting to lock the table array with $ signs ($H$6:$J$15). Without $ signs, the table reference shifts when copied down, producing errors.</t>
  </si>
  <si>
    <t xml:space="preserve">TAB 4  |  Pricing VLOOKUP – Answer Key</t>
  </si>
  <si>
    <t xml:space="preserve">Qty</t>
  </si>
  <si>
    <t xml:space="preserve">Line Total</t>
  </si>
  <si>
    <t xml:space="preserve">⚠  Common Mistake: Using relative ref for tax rate or omitting the named range SalesTax. Tax formula should be =E18*SalesTax (or =E18*C5).</t>
  </si>
  <si>
    <t xml:space="preserve">TAB 5  |  Challenge – Answer Key</t>
  </si>
  <si>
    <t xml:space="preserve">Regular Pay</t>
  </si>
  <si>
    <t xml:space="preserve">Overtime Pay</t>
  </si>
  <si>
    <t xml:space="preserve">Overtime formulas:  Regular Pay = MIN(C_hrs, 40) × VLOOKUP rate  |  Overtime Pay = MAX(C_hrs-40, 0) × VLOOKUP rate × 1.5  |  Total = Regular + Overtime</t>
  </si>
</sst>
</file>

<file path=xl/styles.xml><?xml version="1.0" encoding="utf-8"?>
<styleSheet xmlns="http://schemas.openxmlformats.org/spreadsheetml/2006/main">
  <numFmts count="6">
    <numFmt numFmtId="164" formatCode="General"/>
    <numFmt numFmtId="165" formatCode="0.0%"/>
    <numFmt numFmtId="166" formatCode="\$#,##0"/>
    <numFmt numFmtId="167" formatCode="\$#,##0.00"/>
    <numFmt numFmtId="168" formatCode="0"/>
    <numFmt numFmtId="169" formatCode="0.00%"/>
  </numFmts>
  <fonts count="21">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3"/>
      <color rgb="FF0D2240"/>
      <name val="Arial"/>
      <family val="0"/>
      <charset val="1"/>
    </font>
    <font>
      <b val="true"/>
      <sz val="11"/>
      <color rgb="FFFFFFFF"/>
      <name val="Arial"/>
      <family val="0"/>
      <charset val="1"/>
    </font>
    <font>
      <b val="true"/>
      <sz val="10"/>
      <color rgb="FF0D2240"/>
      <name val="Arial"/>
      <family val="0"/>
      <charset val="1"/>
    </font>
    <font>
      <sz val="10"/>
      <color rgb="FF0D2240"/>
      <name val="Arial"/>
      <family val="0"/>
      <charset val="1"/>
    </font>
    <font>
      <b val="true"/>
      <sz val="13"/>
      <color rgb="FFFFFFFF"/>
      <name val="Arial"/>
      <family val="0"/>
      <charset val="1"/>
    </font>
    <font>
      <i val="true"/>
      <sz val="9"/>
      <color rgb="FF888888"/>
      <name val="Arial"/>
      <family val="0"/>
      <charset val="1"/>
    </font>
    <font>
      <b val="true"/>
      <sz val="18"/>
      <color rgb="FFFFFFFF"/>
      <name val="Arial"/>
      <family val="0"/>
      <charset val="1"/>
    </font>
    <font>
      <b val="true"/>
      <sz val="10"/>
      <color rgb="FFFFFFFF"/>
      <name val="Arial"/>
      <family val="0"/>
      <charset val="1"/>
    </font>
    <font>
      <b val="true"/>
      <sz val="12"/>
      <color rgb="FF0D2240"/>
      <name val="Arial"/>
      <family val="0"/>
      <charset val="1"/>
    </font>
    <font>
      <i val="true"/>
      <sz val="9"/>
      <color rgb="FF666666"/>
      <name val="Arial"/>
      <family val="0"/>
      <charset val="1"/>
    </font>
    <font>
      <b val="true"/>
      <sz val="10"/>
      <name val="Arial"/>
      <family val="0"/>
      <charset val="1"/>
    </font>
    <font>
      <b val="true"/>
      <sz val="11"/>
      <name val="Arial"/>
      <family val="0"/>
      <charset val="1"/>
    </font>
    <font>
      <b val="true"/>
      <sz val="12"/>
      <color rgb="FFFFFFFF"/>
      <name val="Arial"/>
      <family val="0"/>
      <charset val="1"/>
    </font>
    <font>
      <b val="true"/>
      <sz val="11"/>
      <color rgb="FFC0392B"/>
      <name val="Arial"/>
      <family val="0"/>
      <charset val="1"/>
    </font>
    <font>
      <i val="true"/>
      <sz val="10"/>
      <color rgb="FFC0392B"/>
      <name val="Arial"/>
      <family val="0"/>
      <charset val="1"/>
    </font>
    <font>
      <i val="true"/>
      <sz val="10"/>
      <color rgb="FF1A5276"/>
      <name val="Arial"/>
      <family val="0"/>
      <charset val="1"/>
    </font>
  </fonts>
  <fills count="14">
    <fill>
      <patternFill patternType="none"/>
    </fill>
    <fill>
      <patternFill patternType="gray125"/>
    </fill>
    <fill>
      <patternFill patternType="solid">
        <fgColor rgb="FF0D2240"/>
        <bgColor rgb="FF1A3A5C"/>
      </patternFill>
    </fill>
    <fill>
      <patternFill patternType="solid">
        <fgColor rgb="FFC9A84C"/>
        <bgColor rgb="FFFF9900"/>
      </patternFill>
    </fill>
    <fill>
      <patternFill patternType="solid">
        <fgColor rgb="FFF2F3F4"/>
        <bgColor rgb="FFE8F5E9"/>
      </patternFill>
    </fill>
    <fill>
      <patternFill patternType="solid">
        <fgColor rgb="FFFFFFFF"/>
        <bgColor rgb="FFFFFDE7"/>
      </patternFill>
    </fill>
    <fill>
      <patternFill patternType="solid">
        <fgColor rgb="FFD6EAF8"/>
        <bgColor rgb="FFE8F5E9"/>
      </patternFill>
    </fill>
    <fill>
      <patternFill patternType="solid">
        <fgColor rgb="FFFEF9E7"/>
        <bgColor rgb="FFFFFDE7"/>
      </patternFill>
    </fill>
    <fill>
      <patternFill patternType="solid">
        <fgColor rgb="FFFFFDE7"/>
        <bgColor rgb="FFFEF9E7"/>
      </patternFill>
    </fill>
    <fill>
      <patternFill patternType="solid">
        <fgColor rgb="FF2C3E50"/>
        <bgColor rgb="FF1A3A5C"/>
      </patternFill>
    </fill>
    <fill>
      <patternFill patternType="solid">
        <fgColor rgb="FF1A3A5C"/>
        <bgColor rgb="FF2C3E50"/>
      </patternFill>
    </fill>
    <fill>
      <patternFill patternType="solid">
        <fgColor rgb="FFC0392B"/>
        <bgColor rgb="FF993366"/>
      </patternFill>
    </fill>
    <fill>
      <patternFill patternType="solid">
        <fgColor rgb="FFFADBD8"/>
        <bgColor rgb="FFF2F3F4"/>
      </patternFill>
    </fill>
    <fill>
      <patternFill patternType="solid">
        <fgColor rgb="FFE8F5E9"/>
        <bgColor rgb="FFF2F3F4"/>
      </patternFill>
    </fill>
  </fills>
  <borders count="5">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medium">
        <color rgb="FF0D2240"/>
      </left>
      <right/>
      <top style="medium">
        <color rgb="FF0D2240"/>
      </top>
      <bottom style="medium">
        <color rgb="FF0D2240"/>
      </bottom>
      <diagonal/>
    </border>
    <border diagonalUp="false" diagonalDown="false">
      <left style="medium">
        <color rgb="FF0D2240"/>
      </left>
      <right style="medium">
        <color rgb="FF0D2240"/>
      </right>
      <top style="medium">
        <color rgb="FF0D2240"/>
      </top>
      <bottom style="medium">
        <color rgb="FF0D22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right" vertical="center" textRotation="0" wrapText="false" indent="0" shrinkToFit="false"/>
      <protection locked="true" hidden="false"/>
    </xf>
    <xf numFmtId="165" fontId="13" fillId="7" borderId="3"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7" fontId="0" fillId="8" borderId="1" xfId="0" applyFont="false" applyBorder="true" applyAlignment="true" applyProtection="false">
      <alignment horizontal="righ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6" fontId="8" fillId="3" borderId="1" xfId="0" applyFont="true" applyBorder="true" applyAlignment="true" applyProtection="false">
      <alignment horizontal="right" vertical="center" textRotation="0" wrapText="false" indent="0" shrinkToFit="false"/>
      <protection locked="true" hidden="false"/>
    </xf>
    <xf numFmtId="167" fontId="15" fillId="3" borderId="1" xfId="0" applyFont="true" applyBorder="true" applyAlignment="true" applyProtection="false">
      <alignment horizontal="right" vertical="center" textRotation="0" wrapText="false" indent="0" shrinkToFit="false"/>
      <protection locked="true" hidden="false"/>
    </xf>
    <xf numFmtId="164" fontId="7" fillId="6" borderId="3"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8" fontId="8"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right"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true" indent="0" shrinkToFit="false"/>
      <protection locked="true" hidden="false"/>
    </xf>
    <xf numFmtId="167" fontId="8" fillId="4"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7" fontId="8" fillId="8"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8" fontId="8" fillId="8" borderId="1" xfId="0" applyFont="true" applyBorder="true" applyAlignment="true" applyProtection="false">
      <alignment horizontal="righ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9" fontId="13" fillId="7" borderId="3"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9" borderId="3" xfId="0" applyFont="true" applyBorder="true" applyAlignment="true" applyProtection="false">
      <alignment horizontal="right" vertical="center" textRotation="0" wrapText="false" indent="0" shrinkToFit="false"/>
      <protection locked="true" hidden="false"/>
    </xf>
    <xf numFmtId="167" fontId="16" fillId="8" borderId="4" xfId="0" applyFont="true" applyBorder="true" applyAlignment="true" applyProtection="false">
      <alignment horizontal="right" vertical="center" textRotation="0" wrapText="false" indent="0" shrinkToFit="false"/>
      <protection locked="true" hidden="false"/>
    </xf>
    <xf numFmtId="164" fontId="6" fillId="3" borderId="3" xfId="0" applyFont="true" applyBorder="true" applyAlignment="true" applyProtection="false">
      <alignment horizontal="right" vertical="center" textRotation="0" wrapText="false" indent="0" shrinkToFit="false"/>
      <protection locked="true" hidden="false"/>
    </xf>
    <xf numFmtId="164" fontId="6" fillId="2" borderId="3" xfId="0" applyFont="true" applyBorder="true" applyAlignment="true" applyProtection="false">
      <alignment horizontal="right"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17" fillId="10" borderId="2" xfId="0" applyFont="true" applyBorder="true" applyAlignment="true" applyProtection="false">
      <alignment horizontal="left" vertical="center" textRotation="0" wrapText="true" indent="0" shrinkToFit="false"/>
      <protection locked="true" hidden="false"/>
    </xf>
    <xf numFmtId="164" fontId="0" fillId="8" borderId="1" xfId="0" applyFont="false" applyBorder="true" applyAlignment="true" applyProtection="false">
      <alignment horizontal="right" vertical="center" textRotation="0" wrapText="fals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11" fillId="11" borderId="0" xfId="0" applyFont="true" applyBorder="true" applyAlignment="true" applyProtection="false">
      <alignment horizontal="center" vertical="center" textRotation="0" wrapText="true" indent="0" shrinkToFit="false"/>
      <protection locked="true" hidden="false"/>
    </xf>
    <xf numFmtId="164" fontId="18" fillId="12" borderId="3"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7" fontId="8" fillId="3" borderId="1"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right" vertical="center" textRotation="0" wrapText="fals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7" fontId="6" fillId="2" borderId="4" xfId="0" applyFont="true" applyBorder="true" applyAlignment="true" applyProtection="false">
      <alignment horizontal="right"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DE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5E9"/>
      <rgbColor rgb="FFF2F3F4"/>
      <rgbColor rgb="FFFEF9E7"/>
      <rgbColor rgb="FF99CCFF"/>
      <rgbColor rgb="FFFF99CC"/>
      <rgbColor rgb="FFCC99FF"/>
      <rgbColor rgb="FFFADBD8"/>
      <rgbColor rgb="FF3366FF"/>
      <rgbColor rgb="FF33CCCC"/>
      <rgbColor rgb="FF99CC00"/>
      <rgbColor rgb="FFFFCC00"/>
      <rgbColor rgb="FFFF9900"/>
      <rgbColor rgb="FFFF6600"/>
      <rgbColor rgb="FF666666"/>
      <rgbColor rgb="FFC9A84C"/>
      <rgbColor rgb="FF1A3A5C"/>
      <rgbColor rgb="FF339966"/>
      <rgbColor rgb="FF0D2240"/>
      <rgbColor rgb="FF333300"/>
      <rgbColor rgb="FFC0392B"/>
      <rgbColor rgb="FF993366"/>
      <rgbColor rgb="FF1A5276"/>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50"/>
    <col collapsed="false" customWidth="true" hidden="false" outlineLevel="0" max="4" min="4" style="0" width="20"/>
  </cols>
  <sheetData>
    <row r="1" customFormat="false" ht="12" hidden="false" customHeight="true" outlineLevel="0" collapsed="false"/>
    <row r="2" customFormat="false" ht="60" hidden="false" customHeight="true" outlineLevel="0" collapsed="false">
      <c r="B2" s="1" t="s">
        <v>0</v>
      </c>
      <c r="C2" s="1"/>
      <c r="D2" s="1"/>
    </row>
    <row r="3" customFormat="false" ht="30" hidden="false" customHeight="true" outlineLevel="0" collapsed="false">
      <c r="B3" s="2" t="s">
        <v>1</v>
      </c>
      <c r="C3" s="2"/>
      <c r="D3" s="2"/>
    </row>
    <row r="4" customFormat="false" ht="7.5" hidden="false" customHeight="true" outlineLevel="0" collapsed="false"/>
    <row r="5" customFormat="false" ht="15" hidden="false" customHeight="false" outlineLevel="0" collapsed="false">
      <c r="B5" s="3" t="s">
        <v>2</v>
      </c>
      <c r="C5" s="3" t="s">
        <v>3</v>
      </c>
      <c r="D5" s="3" t="s">
        <v>4</v>
      </c>
    </row>
    <row r="6" customFormat="false" ht="21.75" hidden="false" customHeight="true" outlineLevel="0" collapsed="false">
      <c r="B6" s="4" t="s">
        <v>5</v>
      </c>
      <c r="C6" s="5" t="s">
        <v>6</v>
      </c>
      <c r="D6" s="5" t="s">
        <v>7</v>
      </c>
    </row>
    <row r="7" customFormat="false" ht="21.75" hidden="false" customHeight="true" outlineLevel="0" collapsed="false">
      <c r="B7" s="6" t="s">
        <v>8</v>
      </c>
      <c r="C7" s="7" t="s">
        <v>9</v>
      </c>
      <c r="D7" s="7" t="s">
        <v>10</v>
      </c>
    </row>
    <row r="8" customFormat="false" ht="21.75" hidden="false" customHeight="true" outlineLevel="0" collapsed="false">
      <c r="B8" s="4" t="s">
        <v>11</v>
      </c>
      <c r="C8" s="5" t="s">
        <v>12</v>
      </c>
      <c r="D8" s="5" t="s">
        <v>13</v>
      </c>
    </row>
    <row r="9" customFormat="false" ht="21.75" hidden="false" customHeight="true" outlineLevel="0" collapsed="false">
      <c r="B9" s="6" t="s">
        <v>14</v>
      </c>
      <c r="C9" s="7" t="s">
        <v>15</v>
      </c>
      <c r="D9" s="7" t="s">
        <v>16</v>
      </c>
    </row>
    <row r="10" customFormat="false" ht="21.75" hidden="false" customHeight="true" outlineLevel="0" collapsed="false">
      <c r="B10" s="4" t="s">
        <v>17</v>
      </c>
      <c r="C10" s="5" t="s">
        <v>18</v>
      </c>
      <c r="D10" s="5" t="s">
        <v>19</v>
      </c>
    </row>
    <row r="12" customFormat="false" ht="7.5" hidden="false" customHeight="true" outlineLevel="0" collapsed="false"/>
    <row r="13" customFormat="false" ht="16.15" hidden="false" customHeight="true" outlineLevel="0" collapsed="false">
      <c r="A13" s="8" t="s">
        <v>20</v>
      </c>
      <c r="B13" s="8"/>
      <c r="C13" s="8"/>
    </row>
    <row r="14" customFormat="false" ht="19.5" hidden="false" customHeight="true" outlineLevel="0" collapsed="false">
      <c r="B14" s="9" t="s">
        <v>21</v>
      </c>
      <c r="C14" s="9"/>
      <c r="D14" s="9"/>
    </row>
    <row r="15" customFormat="false" ht="19.5" hidden="false" customHeight="true" outlineLevel="0" collapsed="false">
      <c r="B15" s="9" t="s">
        <v>22</v>
      </c>
      <c r="C15" s="9"/>
      <c r="D15" s="9"/>
    </row>
    <row r="16" customFormat="false" ht="19.5" hidden="false" customHeight="true" outlineLevel="0" collapsed="false">
      <c r="B16" s="9" t="s">
        <v>23</v>
      </c>
      <c r="C16" s="9"/>
      <c r="D16" s="9"/>
    </row>
    <row r="17" customFormat="false" ht="19.5" hidden="false" customHeight="true" outlineLevel="0" collapsed="false">
      <c r="B17" s="9" t="s">
        <v>24</v>
      </c>
      <c r="C17" s="9"/>
      <c r="D17" s="9"/>
    </row>
    <row r="18" customFormat="false" ht="19.5" hidden="false" customHeight="true" outlineLevel="0" collapsed="false">
      <c r="B18" s="9" t="s">
        <v>25</v>
      </c>
      <c r="C18" s="9"/>
      <c r="D18" s="9"/>
    </row>
    <row r="19" customFormat="false" ht="19.5" hidden="false" customHeight="true" outlineLevel="0" collapsed="false">
      <c r="B19" s="9" t="s">
        <v>26</v>
      </c>
      <c r="C19" s="9"/>
      <c r="D19" s="9"/>
    </row>
    <row r="20" customFormat="false" ht="19.5" hidden="false" customHeight="true" outlineLevel="0" collapsed="false">
      <c r="B20" s="9" t="s">
        <v>27</v>
      </c>
      <c r="C20" s="9"/>
      <c r="D20" s="9"/>
    </row>
    <row r="22" customFormat="false" ht="7.5" hidden="false" customHeight="true" outlineLevel="0" collapsed="false"/>
    <row r="23" customFormat="false" ht="15" hidden="false" customHeight="true" outlineLevel="0" collapsed="false">
      <c r="B23" s="10" t="s">
        <v>28</v>
      </c>
      <c r="C23" s="10"/>
      <c r="D23" s="10"/>
    </row>
  </sheetData>
  <mergeCells count="11">
    <mergeCell ref="B2:D2"/>
    <mergeCell ref="B3:D3"/>
    <mergeCell ref="A13:C13"/>
    <mergeCell ref="B14:D14"/>
    <mergeCell ref="B15:D15"/>
    <mergeCell ref="B16:D16"/>
    <mergeCell ref="B17:D17"/>
    <mergeCell ref="B18:D18"/>
    <mergeCell ref="B19:D19"/>
    <mergeCell ref="B20:D20"/>
    <mergeCell ref="B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6"/>
    <col collapsed="false" customWidth="true" hidden="false" outlineLevel="0" max="5" min="4" style="0" width="18"/>
    <col collapsed="false" customWidth="true" hidden="false" outlineLevel="0" max="6" min="6" style="0" width="3"/>
    <col collapsed="false" customWidth="true" hidden="false" outlineLevel="0" max="7" min="7" style="0" width="18"/>
    <col collapsed="false" customWidth="true" hidden="false" outlineLevel="0" max="8" min="8" style="0" width="32"/>
  </cols>
  <sheetData>
    <row r="1" customFormat="false" ht="12" hidden="false" customHeight="true" outlineLevel="0" collapsed="false"/>
    <row r="2" customFormat="false" ht="49.5" hidden="false" customHeight="true" outlineLevel="0" collapsed="false">
      <c r="B2" s="11" t="s">
        <v>29</v>
      </c>
      <c r="C2" s="11"/>
      <c r="D2" s="11"/>
      <c r="E2" s="11"/>
      <c r="F2" s="11"/>
      <c r="G2" s="11"/>
      <c r="H2" s="11"/>
    </row>
    <row r="3" customFormat="false" ht="18" hidden="false" customHeight="true" outlineLevel="0" collapsed="false">
      <c r="B3" s="9" t="s">
        <v>30</v>
      </c>
      <c r="C3" s="9"/>
      <c r="D3" s="9"/>
      <c r="E3" s="9"/>
      <c r="F3" s="9"/>
      <c r="G3" s="9"/>
      <c r="H3" s="9"/>
    </row>
    <row r="4" customFormat="false" ht="7.5" hidden="false" customHeight="true" outlineLevel="0" collapsed="false"/>
    <row r="5" customFormat="false" ht="21.75" hidden="false" customHeight="true" outlineLevel="0" collapsed="false">
      <c r="A5" s="12" t="s">
        <v>31</v>
      </c>
      <c r="B5" s="12"/>
      <c r="C5" s="12"/>
      <c r="D5" s="12"/>
      <c r="E5" s="12"/>
    </row>
    <row r="6" customFormat="false" ht="21.75" hidden="false" customHeight="true" outlineLevel="0" collapsed="false">
      <c r="B6" s="13" t="s">
        <v>32</v>
      </c>
      <c r="C6" s="14" t="n">
        <v>0.12</v>
      </c>
      <c r="D6" s="14"/>
    </row>
    <row r="7" customFormat="false" ht="15.75" hidden="false" customHeight="true" outlineLevel="0" collapsed="false">
      <c r="C7" s="15" t="s">
        <v>33</v>
      </c>
      <c r="D7" s="15"/>
    </row>
    <row r="8" customFormat="false" ht="7.5" hidden="false" customHeight="true" outlineLevel="0" collapsed="false"/>
    <row r="9" customFormat="false" ht="39.55" hidden="false" customHeight="false" outlineLevel="0" collapsed="false">
      <c r="B9" s="3" t="s">
        <v>34</v>
      </c>
      <c r="C9" s="3" t="s">
        <v>35</v>
      </c>
      <c r="D9" s="3" t="s">
        <v>36</v>
      </c>
      <c r="E9" s="3" t="s">
        <v>37</v>
      </c>
    </row>
    <row r="10" customFormat="false" ht="21.75" hidden="false" customHeight="true" outlineLevel="0" collapsed="false">
      <c r="B10" s="7" t="s">
        <v>38</v>
      </c>
      <c r="C10" s="16" t="n">
        <v>72000</v>
      </c>
      <c r="D10" s="17"/>
      <c r="E10" s="17"/>
    </row>
    <row r="11" customFormat="false" ht="21.75" hidden="false" customHeight="true" outlineLevel="0" collapsed="false">
      <c r="B11" s="5" t="s">
        <v>39</v>
      </c>
      <c r="C11" s="18" t="n">
        <v>65500</v>
      </c>
      <c r="D11" s="17"/>
      <c r="E11" s="17"/>
    </row>
    <row r="12" customFormat="false" ht="21.75" hidden="false" customHeight="true" outlineLevel="0" collapsed="false">
      <c r="B12" s="7" t="s">
        <v>40</v>
      </c>
      <c r="C12" s="16" t="n">
        <v>88000</v>
      </c>
      <c r="D12" s="17"/>
      <c r="E12" s="17"/>
    </row>
    <row r="13" customFormat="false" ht="21.75" hidden="false" customHeight="true" outlineLevel="0" collapsed="false">
      <c r="B13" s="5" t="s">
        <v>41</v>
      </c>
      <c r="C13" s="18" t="n">
        <v>59000</v>
      </c>
      <c r="D13" s="17"/>
      <c r="E13" s="17"/>
    </row>
    <row r="14" customFormat="false" ht="21.75" hidden="false" customHeight="true" outlineLevel="0" collapsed="false">
      <c r="B14" s="7" t="s">
        <v>42</v>
      </c>
      <c r="C14" s="16" t="n">
        <v>95000</v>
      </c>
      <c r="D14" s="17"/>
      <c r="E14" s="17"/>
    </row>
    <row r="15" customFormat="false" ht="21.75" hidden="false" customHeight="true" outlineLevel="0" collapsed="false">
      <c r="B15" s="5" t="s">
        <v>43</v>
      </c>
      <c r="C15" s="18" t="n">
        <v>71000</v>
      </c>
      <c r="D15" s="17"/>
      <c r="E15" s="17"/>
    </row>
    <row r="16" customFormat="false" ht="21.75" hidden="false" customHeight="true" outlineLevel="0" collapsed="false">
      <c r="B16" s="7" t="s">
        <v>44</v>
      </c>
      <c r="C16" s="16" t="n">
        <v>83500</v>
      </c>
      <c r="D16" s="17"/>
      <c r="E16" s="17"/>
    </row>
    <row r="17" customFormat="false" ht="21.75" hidden="false" customHeight="true" outlineLevel="0" collapsed="false">
      <c r="B17" s="5" t="s">
        <v>45</v>
      </c>
      <c r="C17" s="18" t="n">
        <v>67000</v>
      </c>
      <c r="D17" s="17"/>
      <c r="E17" s="17"/>
    </row>
    <row r="18" customFormat="false" ht="21.75" hidden="false" customHeight="true" outlineLevel="0" collapsed="false">
      <c r="B18" s="13" t="s">
        <v>46</v>
      </c>
      <c r="C18" s="19" t="n">
        <f aca="false">SUM(C10:C17)</f>
        <v>601000</v>
      </c>
      <c r="D18" s="20" t="n">
        <f aca="false">SUM(D10:D17)</f>
        <v>0</v>
      </c>
      <c r="E18" s="20" t="n">
        <f aca="false">SUM(E10:E17)</f>
        <v>0</v>
      </c>
    </row>
    <row r="19" customFormat="false" ht="7.5" hidden="false" customHeight="true" outlineLevel="0" collapsed="false"/>
    <row r="20" customFormat="false" ht="15" hidden="false" customHeight="true" outlineLevel="0" collapsed="false">
      <c r="A20" s="12" t="s">
        <v>47</v>
      </c>
      <c r="B20" s="12"/>
      <c r="C20" s="12"/>
      <c r="D20" s="12"/>
      <c r="E20" s="12"/>
    </row>
    <row r="21" customFormat="false" ht="24" hidden="false" customHeight="true" outlineLevel="0" collapsed="false">
      <c r="B21" s="21" t="str">
        <f aca="false">IF(AND(D18&gt;0,D18=E18),"✅  Totals match — both formulas work correctly! Great job!", IF(D18=0,"⚠  Enter your formulas in the yellow cells (Column D and E) to begin.", "❌  Totals do not match — check your $ signs. One column may have a relative reference."))</f>
        <v>⚠  Enter your formulas in the yellow cells (Column D and E) to begin.</v>
      </c>
      <c r="C21" s="21"/>
      <c r="D21" s="21"/>
      <c r="E21" s="21"/>
    </row>
    <row r="22" customFormat="false" ht="7.5" hidden="false" customHeight="true" outlineLevel="0" collapsed="false"/>
    <row r="23" customFormat="false" ht="15" hidden="false" customHeight="true" outlineLevel="0" collapsed="false">
      <c r="A23" s="12" t="s">
        <v>48</v>
      </c>
      <c r="B23" s="12"/>
      <c r="C23" s="12"/>
      <c r="D23" s="12"/>
      <c r="E23" s="12"/>
    </row>
    <row r="24" customFormat="false" ht="21.75" hidden="false" customHeight="true" outlineLevel="0" collapsed="false">
      <c r="B24" s="22" t="s">
        <v>49</v>
      </c>
      <c r="C24" s="22"/>
      <c r="D24" s="22"/>
      <c r="E24" s="22"/>
    </row>
    <row r="25" customFormat="false" ht="21.75" hidden="false" customHeight="true" outlineLevel="0" collapsed="false">
      <c r="B25" s="23" t="s">
        <v>50</v>
      </c>
      <c r="C25" s="23"/>
      <c r="D25" s="23"/>
      <c r="E25" s="23"/>
    </row>
    <row r="26" customFormat="false" ht="21.75" hidden="false" customHeight="true" outlineLevel="0" collapsed="false">
      <c r="B26" s="22" t="s">
        <v>51</v>
      </c>
      <c r="C26" s="22"/>
      <c r="D26" s="22"/>
      <c r="E26" s="22"/>
    </row>
    <row r="27" customFormat="false" ht="21.75" hidden="false" customHeight="true" outlineLevel="0" collapsed="false">
      <c r="B27" s="23" t="s">
        <v>52</v>
      </c>
      <c r="C27" s="23"/>
      <c r="D27" s="23"/>
      <c r="E27" s="23"/>
    </row>
    <row r="28" customFormat="false" ht="21.75" hidden="false" customHeight="true" outlineLevel="0" collapsed="false">
      <c r="B28" s="22" t="s">
        <v>53</v>
      </c>
      <c r="C28" s="22"/>
      <c r="D28" s="22"/>
      <c r="E28" s="22"/>
    </row>
    <row r="29" customFormat="false" ht="21.75" hidden="false" customHeight="true" outlineLevel="0" collapsed="false">
      <c r="B29" s="23" t="s">
        <v>54</v>
      </c>
      <c r="C29" s="23"/>
      <c r="D29" s="23"/>
      <c r="E29" s="23"/>
    </row>
  </sheetData>
  <mergeCells count="14">
    <mergeCell ref="B2:H2"/>
    <mergeCell ref="B3:H3"/>
    <mergeCell ref="A5:E5"/>
    <mergeCell ref="C6:D6"/>
    <mergeCell ref="C7:D7"/>
    <mergeCell ref="A20:E20"/>
    <mergeCell ref="B21:E21"/>
    <mergeCell ref="A23:E23"/>
    <mergeCell ref="B24:E24"/>
    <mergeCell ref="B25:E25"/>
    <mergeCell ref="B26:E26"/>
    <mergeCell ref="B27:E27"/>
    <mergeCell ref="B28:E28"/>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14"/>
    <col collapsed="false" customWidth="true" hidden="false" outlineLevel="0" max="5" min="4" style="0" width="16"/>
    <col collapsed="false" customWidth="true" hidden="false" outlineLevel="0" max="6" min="6" style="0" width="3"/>
    <col collapsed="false" customWidth="true" hidden="false" outlineLevel="0" max="7" min="7" style="0" width="14"/>
    <col collapsed="false" customWidth="true" hidden="false" outlineLevel="0" max="8" min="8" style="0" width="24"/>
    <col collapsed="false" customWidth="true" hidden="false" outlineLevel="0" max="9" min="9" style="0" width="16"/>
    <col collapsed="false" customWidth="true" hidden="false" outlineLevel="0" max="11" min="10" style="0" width="3"/>
  </cols>
  <sheetData>
    <row r="2" customFormat="false" ht="49.5" hidden="false" customHeight="true" outlineLevel="0" collapsed="false">
      <c r="B2" s="11" t="s">
        <v>55</v>
      </c>
      <c r="C2" s="11"/>
      <c r="D2" s="11"/>
      <c r="E2" s="11"/>
      <c r="F2" s="11"/>
      <c r="G2" s="11"/>
      <c r="H2" s="11"/>
      <c r="I2" s="11"/>
      <c r="J2" s="11"/>
    </row>
    <row r="3" customFormat="false" ht="21.75" hidden="false" customHeight="true" outlineLevel="0" collapsed="false">
      <c r="B3" s="9" t="s">
        <v>56</v>
      </c>
      <c r="C3" s="9"/>
      <c r="D3" s="9"/>
      <c r="E3" s="9"/>
      <c r="F3" s="9"/>
      <c r="G3" s="9"/>
      <c r="H3" s="9"/>
      <c r="I3" s="9"/>
      <c r="J3" s="9"/>
    </row>
    <row r="4" customFormat="false" ht="7.5" hidden="false" customHeight="true" outlineLevel="0" collapsed="false"/>
    <row r="5" customFormat="false" ht="57.45" hidden="false" customHeight="false" outlineLevel="0" collapsed="false">
      <c r="B5" s="3" t="s">
        <v>57</v>
      </c>
      <c r="C5" s="3" t="s">
        <v>58</v>
      </c>
      <c r="D5" s="3" t="s">
        <v>59</v>
      </c>
      <c r="E5" s="3" t="s">
        <v>60</v>
      </c>
      <c r="H5" s="24" t="s">
        <v>61</v>
      </c>
      <c r="I5" s="24" t="s">
        <v>34</v>
      </c>
      <c r="J5" s="24" t="s">
        <v>62</v>
      </c>
    </row>
    <row r="6" customFormat="false" ht="21.75" hidden="false" customHeight="true" outlineLevel="0" collapsed="false">
      <c r="B6" s="25" t="n">
        <v>103</v>
      </c>
      <c r="C6" s="25" t="n">
        <v>38</v>
      </c>
      <c r="D6" s="17"/>
      <c r="E6" s="17"/>
      <c r="H6" s="25" t="n">
        <v>101</v>
      </c>
      <c r="I6" s="7" t="s">
        <v>38</v>
      </c>
      <c r="J6" s="26" t="n">
        <v>15.5</v>
      </c>
    </row>
    <row r="7" customFormat="false" ht="21.75" hidden="false" customHeight="true" outlineLevel="0" collapsed="false">
      <c r="B7" s="27" t="n">
        <v>101</v>
      </c>
      <c r="C7" s="27" t="n">
        <v>40</v>
      </c>
      <c r="D7" s="17"/>
      <c r="E7" s="17"/>
      <c r="H7" s="27" t="n">
        <v>102</v>
      </c>
      <c r="I7" s="5" t="s">
        <v>39</v>
      </c>
      <c r="J7" s="28" t="n">
        <v>17</v>
      </c>
    </row>
    <row r="8" customFormat="false" ht="21.75" hidden="false" customHeight="true" outlineLevel="0" collapsed="false">
      <c r="B8" s="25" t="n">
        <v>105</v>
      </c>
      <c r="C8" s="25" t="n">
        <v>32</v>
      </c>
      <c r="D8" s="17"/>
      <c r="E8" s="17"/>
      <c r="H8" s="25" t="n">
        <v>103</v>
      </c>
      <c r="I8" s="7" t="s">
        <v>40</v>
      </c>
      <c r="J8" s="26" t="n">
        <v>16.25</v>
      </c>
    </row>
    <row r="9" customFormat="false" ht="21.75" hidden="false" customHeight="true" outlineLevel="0" collapsed="false">
      <c r="B9" s="27" t="n">
        <v>108</v>
      </c>
      <c r="C9" s="27" t="n">
        <v>35</v>
      </c>
      <c r="D9" s="17"/>
      <c r="E9" s="17"/>
      <c r="H9" s="27" t="n">
        <v>104</v>
      </c>
      <c r="I9" s="5" t="s">
        <v>41</v>
      </c>
      <c r="J9" s="28" t="n">
        <v>18.75</v>
      </c>
    </row>
    <row r="10" customFormat="false" ht="21.75" hidden="false" customHeight="true" outlineLevel="0" collapsed="false">
      <c r="B10" s="25" t="n">
        <v>102</v>
      </c>
      <c r="C10" s="25" t="n">
        <v>40</v>
      </c>
      <c r="D10" s="17"/>
      <c r="E10" s="17"/>
      <c r="H10" s="25" t="n">
        <v>105</v>
      </c>
      <c r="I10" s="7" t="s">
        <v>42</v>
      </c>
      <c r="J10" s="26" t="n">
        <v>20</v>
      </c>
    </row>
    <row r="11" customFormat="false" ht="21.75" hidden="false" customHeight="true" outlineLevel="0" collapsed="false">
      <c r="B11" s="27" t="n">
        <v>107</v>
      </c>
      <c r="C11" s="27" t="n">
        <v>28</v>
      </c>
      <c r="D11" s="17"/>
      <c r="E11" s="17"/>
      <c r="H11" s="27" t="n">
        <v>106</v>
      </c>
      <c r="I11" s="5" t="s">
        <v>43</v>
      </c>
      <c r="J11" s="28" t="n">
        <v>15.75</v>
      </c>
    </row>
    <row r="12" customFormat="false" ht="21.75" hidden="false" customHeight="true" outlineLevel="0" collapsed="false">
      <c r="B12" s="25" t="n">
        <v>104</v>
      </c>
      <c r="C12" s="25" t="n">
        <v>36</v>
      </c>
      <c r="D12" s="17"/>
      <c r="E12" s="17"/>
      <c r="H12" s="25" t="n">
        <v>107</v>
      </c>
      <c r="I12" s="7" t="s">
        <v>44</v>
      </c>
      <c r="J12" s="26" t="n">
        <v>19.5</v>
      </c>
    </row>
    <row r="13" customFormat="false" ht="21.75" hidden="false" customHeight="true" outlineLevel="0" collapsed="false">
      <c r="B13" s="27" t="n">
        <v>110</v>
      </c>
      <c r="C13" s="27" t="n">
        <v>40</v>
      </c>
      <c r="D13" s="17"/>
      <c r="E13" s="17"/>
      <c r="H13" s="27" t="n">
        <v>108</v>
      </c>
      <c r="I13" s="5" t="s">
        <v>45</v>
      </c>
      <c r="J13" s="28" t="n">
        <v>16</v>
      </c>
    </row>
    <row r="14" customFormat="false" ht="21.75" hidden="false" customHeight="true" outlineLevel="0" collapsed="false">
      <c r="B14" s="25" t="n">
        <v>106</v>
      </c>
      <c r="C14" s="25" t="n">
        <v>25</v>
      </c>
      <c r="D14" s="17"/>
      <c r="E14" s="17"/>
      <c r="H14" s="25" t="n">
        <v>109</v>
      </c>
      <c r="I14" s="7" t="s">
        <v>63</v>
      </c>
      <c r="J14" s="26" t="n">
        <v>17.5</v>
      </c>
    </row>
    <row r="15" customFormat="false" ht="21.75" hidden="false" customHeight="true" outlineLevel="0" collapsed="false">
      <c r="B15" s="27" t="n">
        <v>109</v>
      </c>
      <c r="C15" s="27" t="n">
        <v>33</v>
      </c>
      <c r="D15" s="17"/>
      <c r="E15" s="17"/>
      <c r="H15" s="27" t="n">
        <v>110</v>
      </c>
      <c r="I15" s="5" t="s">
        <v>64</v>
      </c>
      <c r="J15" s="28" t="n">
        <v>21</v>
      </c>
    </row>
    <row r="17" customFormat="false" ht="7.5" hidden="false" customHeight="true" outlineLevel="0" collapsed="false"/>
    <row r="18" customFormat="false" ht="15" hidden="false" customHeight="false" outlineLevel="0" collapsed="false">
      <c r="B18" s="24" t="s">
        <v>65</v>
      </c>
      <c r="C18" s="24" t="s">
        <v>66</v>
      </c>
    </row>
    <row r="19" customFormat="false" ht="21.75" hidden="false" customHeight="true" outlineLevel="0" collapsed="false">
      <c r="B19" s="29" t="s">
        <v>67</v>
      </c>
      <c r="C19" s="30"/>
    </row>
    <row r="20" customFormat="false" ht="21.75" hidden="false" customHeight="true" outlineLevel="0" collapsed="false">
      <c r="B20" s="31" t="s">
        <v>68</v>
      </c>
      <c r="C20" s="30"/>
    </row>
    <row r="21" customFormat="false" ht="21.75" hidden="false" customHeight="true" outlineLevel="0" collapsed="false">
      <c r="B21" s="29" t="s">
        <v>69</v>
      </c>
      <c r="C21" s="30"/>
    </row>
    <row r="22" customFormat="false" ht="21.75" hidden="false" customHeight="true" outlineLevel="0" collapsed="false">
      <c r="B22" s="31" t="s">
        <v>70</v>
      </c>
      <c r="C22" s="30"/>
    </row>
    <row r="23" customFormat="false" ht="21.75" hidden="false" customHeight="true" outlineLevel="0" collapsed="false">
      <c r="B23" s="29" t="s">
        <v>71</v>
      </c>
      <c r="C23" s="32"/>
    </row>
    <row r="25" customFormat="false" ht="7.5" hidden="false" customHeight="true" outlineLevel="0" collapsed="false"/>
    <row r="26" customFormat="false" ht="15" hidden="false" customHeight="true" outlineLevel="0" collapsed="false">
      <c r="A26" s="12" t="s">
        <v>72</v>
      </c>
      <c r="B26" s="12"/>
      <c r="C26" s="12"/>
      <c r="D26" s="12"/>
    </row>
    <row r="27" customFormat="false" ht="19.5" hidden="false" customHeight="true" outlineLevel="0" collapsed="false">
      <c r="B27" s="33" t="s">
        <v>73</v>
      </c>
      <c r="C27" s="33"/>
      <c r="D27" s="33"/>
      <c r="E27" s="33"/>
    </row>
    <row r="28" customFormat="false" ht="19.5" hidden="false" customHeight="true" outlineLevel="0" collapsed="false">
      <c r="B28" s="22" t="s">
        <v>74</v>
      </c>
      <c r="C28" s="22"/>
      <c r="D28" s="22"/>
      <c r="E28" s="22"/>
    </row>
    <row r="29" customFormat="false" ht="19.5" hidden="false" customHeight="true" outlineLevel="0" collapsed="false">
      <c r="B29" s="9" t="s">
        <v>75</v>
      </c>
      <c r="C29" s="9"/>
      <c r="D29" s="9"/>
      <c r="E29" s="9"/>
    </row>
    <row r="30" customFormat="false" ht="19.5" hidden="false" customHeight="true" outlineLevel="0" collapsed="false">
      <c r="B30" s="22" t="s">
        <v>76</v>
      </c>
      <c r="C30" s="22"/>
      <c r="D30" s="22"/>
      <c r="E30" s="22"/>
    </row>
    <row r="31" customFormat="false" ht="19.5" hidden="false" customHeight="true" outlineLevel="0" collapsed="false">
      <c r="B31" s="9" t="s">
        <v>77</v>
      </c>
      <c r="C31" s="9"/>
      <c r="D31" s="9"/>
      <c r="E31" s="9"/>
    </row>
    <row r="32" customFormat="false" ht="19.5" hidden="false" customHeight="true" outlineLevel="0" collapsed="false">
      <c r="B32" s="34" t="s">
        <v>78</v>
      </c>
      <c r="C32" s="34"/>
      <c r="D32" s="34"/>
      <c r="E32" s="34"/>
    </row>
  </sheetData>
  <mergeCells count="9">
    <mergeCell ref="B2:J2"/>
    <mergeCell ref="B3:J3"/>
    <mergeCell ref="A26:D26"/>
    <mergeCell ref="B27:E27"/>
    <mergeCell ref="B28:E28"/>
    <mergeCell ref="B29:E29"/>
    <mergeCell ref="B30:E30"/>
    <mergeCell ref="B31:E31"/>
    <mergeCell ref="B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12"/>
    <col collapsed="false" customWidth="true" hidden="false" outlineLevel="0" max="6" min="4" style="0" width="16"/>
    <col collapsed="false" customWidth="true" hidden="false" outlineLevel="0" max="7" min="7" style="0" width="3"/>
    <col collapsed="false" customWidth="true" hidden="false" outlineLevel="0" max="8" min="8" style="0" width="16"/>
    <col collapsed="false" customWidth="true" hidden="false" outlineLevel="0" max="9" min="9" style="0" width="22"/>
    <col collapsed="false" customWidth="true" hidden="false" outlineLevel="0" max="10" min="10" style="0" width="16"/>
  </cols>
  <sheetData>
    <row r="2" customFormat="false" ht="49.5" hidden="false" customHeight="true" outlineLevel="0" collapsed="false">
      <c r="B2" s="11" t="s">
        <v>79</v>
      </c>
      <c r="C2" s="11"/>
      <c r="D2" s="11"/>
      <c r="E2" s="11"/>
      <c r="F2" s="11"/>
      <c r="G2" s="11"/>
      <c r="H2" s="11"/>
      <c r="I2" s="11"/>
    </row>
    <row r="3" customFormat="false" ht="21.75" hidden="false" customHeight="true" outlineLevel="0" collapsed="false">
      <c r="B3" s="9" t="s">
        <v>80</v>
      </c>
      <c r="C3" s="9"/>
      <c r="D3" s="9"/>
      <c r="E3" s="9"/>
      <c r="F3" s="9"/>
      <c r="G3" s="9"/>
      <c r="H3" s="9"/>
      <c r="I3" s="9"/>
    </row>
    <row r="4" customFormat="false" ht="7.5" hidden="false" customHeight="true" outlineLevel="0" collapsed="false"/>
    <row r="5" customFormat="false" ht="21.75" hidden="false" customHeight="true" outlineLevel="0" collapsed="false">
      <c r="B5" s="13" t="s">
        <v>81</v>
      </c>
      <c r="C5" s="35" t="n">
        <v>0.0875</v>
      </c>
      <c r="D5" s="35"/>
    </row>
    <row r="6" customFormat="false" ht="15.75" hidden="false" customHeight="true" outlineLevel="0" collapsed="false">
      <c r="C6" s="15" t="s">
        <v>82</v>
      </c>
      <c r="D6" s="15"/>
    </row>
    <row r="7" customFormat="false" ht="26.85" hidden="false" customHeight="false" outlineLevel="0" collapsed="false">
      <c r="B7" s="3" t="s">
        <v>83</v>
      </c>
      <c r="C7" s="3" t="s">
        <v>84</v>
      </c>
      <c r="D7" s="3" t="s">
        <v>85</v>
      </c>
      <c r="E7" s="3" t="s">
        <v>86</v>
      </c>
      <c r="F7" s="3" t="s">
        <v>87</v>
      </c>
      <c r="H7" s="24" t="s">
        <v>83</v>
      </c>
      <c r="I7" s="24" t="s">
        <v>88</v>
      </c>
      <c r="J7" s="24" t="s">
        <v>89</v>
      </c>
    </row>
    <row r="8" customFormat="false" ht="21.75" hidden="false" customHeight="true" outlineLevel="0" collapsed="false">
      <c r="B8" s="36" t="s">
        <v>90</v>
      </c>
      <c r="C8" s="25" t="n">
        <v>2</v>
      </c>
      <c r="D8" s="30"/>
      <c r="E8" s="30"/>
      <c r="F8" s="30"/>
      <c r="H8" s="36" t="s">
        <v>90</v>
      </c>
      <c r="I8" s="7" t="s">
        <v>91</v>
      </c>
      <c r="J8" s="26" t="n">
        <v>46.2</v>
      </c>
    </row>
    <row r="9" customFormat="false" ht="21.75" hidden="false" customHeight="true" outlineLevel="0" collapsed="false">
      <c r="B9" s="37" t="s">
        <v>92</v>
      </c>
      <c r="C9" s="27" t="n">
        <v>3</v>
      </c>
      <c r="D9" s="30"/>
      <c r="E9" s="30"/>
      <c r="F9" s="30"/>
      <c r="H9" s="37" t="s">
        <v>93</v>
      </c>
      <c r="I9" s="5" t="s">
        <v>94</v>
      </c>
      <c r="J9" s="28" t="n">
        <v>22</v>
      </c>
    </row>
    <row r="10" customFormat="false" ht="21.75" hidden="false" customHeight="true" outlineLevel="0" collapsed="false">
      <c r="B10" s="36" t="s">
        <v>95</v>
      </c>
      <c r="C10" s="25" t="n">
        <v>1</v>
      </c>
      <c r="D10" s="30"/>
      <c r="E10" s="30"/>
      <c r="F10" s="30"/>
      <c r="H10" s="36" t="s">
        <v>92</v>
      </c>
      <c r="I10" s="7" t="s">
        <v>96</v>
      </c>
      <c r="J10" s="26" t="n">
        <v>18.5</v>
      </c>
    </row>
    <row r="11" customFormat="false" ht="21.75" hidden="false" customHeight="true" outlineLevel="0" collapsed="false">
      <c r="B11" s="37" t="s">
        <v>93</v>
      </c>
      <c r="C11" s="27" t="n">
        <v>4</v>
      </c>
      <c r="D11" s="30"/>
      <c r="E11" s="30"/>
      <c r="F11" s="30"/>
      <c r="H11" s="37" t="s">
        <v>97</v>
      </c>
      <c r="I11" s="5" t="s">
        <v>98</v>
      </c>
      <c r="J11" s="28" t="n">
        <v>54</v>
      </c>
    </row>
    <row r="12" customFormat="false" ht="21.75" hidden="false" customHeight="true" outlineLevel="0" collapsed="false">
      <c r="B12" s="36" t="s">
        <v>99</v>
      </c>
      <c r="C12" s="25" t="n">
        <v>1</v>
      </c>
      <c r="D12" s="30"/>
      <c r="E12" s="30"/>
      <c r="F12" s="30"/>
      <c r="H12" s="36" t="s">
        <v>95</v>
      </c>
      <c r="I12" s="7" t="s">
        <v>100</v>
      </c>
      <c r="J12" s="26" t="n">
        <v>68</v>
      </c>
    </row>
    <row r="13" customFormat="false" ht="21.75" hidden="false" customHeight="true" outlineLevel="0" collapsed="false">
      <c r="B13" s="37" t="s">
        <v>97</v>
      </c>
      <c r="C13" s="27" t="n">
        <v>2</v>
      </c>
      <c r="D13" s="30"/>
      <c r="E13" s="30"/>
      <c r="F13" s="30"/>
      <c r="H13" s="37" t="s">
        <v>101</v>
      </c>
      <c r="I13" s="5" t="s">
        <v>102</v>
      </c>
      <c r="J13" s="28" t="n">
        <v>16.75</v>
      </c>
    </row>
    <row r="14" customFormat="false" ht="21.75" hidden="false" customHeight="true" outlineLevel="0" collapsed="false">
      <c r="B14" s="36" t="s">
        <v>103</v>
      </c>
      <c r="C14" s="25" t="n">
        <v>2</v>
      </c>
      <c r="D14" s="30"/>
      <c r="E14" s="30"/>
      <c r="F14" s="30"/>
      <c r="H14" s="36" t="s">
        <v>99</v>
      </c>
      <c r="I14" s="7" t="s">
        <v>104</v>
      </c>
      <c r="J14" s="26" t="n">
        <v>89</v>
      </c>
    </row>
    <row r="15" customFormat="false" ht="21.75" hidden="false" customHeight="true" outlineLevel="0" collapsed="false">
      <c r="B15" s="37" t="s">
        <v>101</v>
      </c>
      <c r="C15" s="27" t="n">
        <v>5</v>
      </c>
      <c r="D15" s="30"/>
      <c r="E15" s="30"/>
      <c r="F15" s="30"/>
      <c r="H15" s="37" t="s">
        <v>103</v>
      </c>
      <c r="I15" s="5" t="s">
        <v>105</v>
      </c>
      <c r="J15" s="28" t="n">
        <v>38.5</v>
      </c>
    </row>
    <row r="17" customFormat="false" ht="7.5" hidden="false" customHeight="true" outlineLevel="0" collapsed="false"/>
    <row r="18" customFormat="false" ht="25.5" hidden="false" customHeight="true" outlineLevel="0" collapsed="false">
      <c r="B18" s="38" t="s">
        <v>106</v>
      </c>
      <c r="C18" s="38"/>
      <c r="D18" s="38"/>
      <c r="E18" s="39"/>
    </row>
    <row r="19" customFormat="false" ht="25.5" hidden="false" customHeight="true" outlineLevel="0" collapsed="false">
      <c r="B19" s="40" t="s">
        <v>107</v>
      </c>
      <c r="C19" s="40"/>
      <c r="D19" s="40"/>
      <c r="E19" s="39"/>
    </row>
    <row r="20" customFormat="false" ht="25.5" hidden="false" customHeight="true" outlineLevel="0" collapsed="false">
      <c r="B20" s="41" t="s">
        <v>108</v>
      </c>
      <c r="C20" s="41"/>
      <c r="D20" s="41"/>
      <c r="E20" s="39"/>
    </row>
    <row r="22" customFormat="false" ht="7.5" hidden="false" customHeight="true" outlineLevel="0" collapsed="false"/>
    <row r="23" customFormat="false" ht="15" hidden="false" customHeight="true" outlineLevel="0" collapsed="false">
      <c r="A23" s="12" t="s">
        <v>48</v>
      </c>
      <c r="B23" s="12"/>
      <c r="C23" s="12"/>
      <c r="D23" s="12"/>
      <c r="E23" s="12"/>
    </row>
    <row r="24" customFormat="false" ht="21.75" hidden="false" customHeight="true" outlineLevel="0" collapsed="false">
      <c r="B24" s="22" t="s">
        <v>109</v>
      </c>
      <c r="C24" s="22"/>
      <c r="D24" s="22"/>
      <c r="E24" s="22"/>
      <c r="F24" s="22"/>
    </row>
    <row r="25" customFormat="false" ht="21.75" hidden="false" customHeight="true" outlineLevel="0" collapsed="false">
      <c r="B25" s="23" t="s">
        <v>110</v>
      </c>
      <c r="C25" s="23"/>
      <c r="D25" s="23"/>
      <c r="E25" s="23"/>
      <c r="F25" s="23"/>
    </row>
    <row r="26" customFormat="false" ht="21.75" hidden="false" customHeight="true" outlineLevel="0" collapsed="false">
      <c r="B26" s="22" t="s">
        <v>111</v>
      </c>
      <c r="C26" s="22"/>
      <c r="D26" s="22"/>
      <c r="E26" s="22"/>
      <c r="F26" s="22"/>
    </row>
    <row r="27" customFormat="false" ht="21.75" hidden="false" customHeight="true" outlineLevel="0" collapsed="false">
      <c r="B27" s="23" t="s">
        <v>112</v>
      </c>
      <c r="C27" s="23"/>
      <c r="D27" s="23"/>
      <c r="E27" s="23"/>
      <c r="F27" s="23"/>
    </row>
    <row r="28" customFormat="false" ht="21.75" hidden="false" customHeight="true" outlineLevel="0" collapsed="false">
      <c r="B28" s="22" t="s">
        <v>113</v>
      </c>
      <c r="C28" s="22"/>
      <c r="D28" s="22"/>
      <c r="E28" s="22"/>
      <c r="F28" s="22"/>
    </row>
    <row r="29" customFormat="false" ht="21.75" hidden="false" customHeight="true" outlineLevel="0" collapsed="false">
      <c r="B29" s="23" t="s">
        <v>114</v>
      </c>
      <c r="C29" s="23"/>
      <c r="D29" s="23"/>
      <c r="E29" s="23"/>
      <c r="F29" s="23"/>
    </row>
    <row r="30" customFormat="false" ht="21.75" hidden="false" customHeight="true" outlineLevel="0" collapsed="false">
      <c r="B30" s="22" t="s">
        <v>115</v>
      </c>
      <c r="C30" s="22"/>
      <c r="D30" s="22"/>
      <c r="E30" s="22"/>
      <c r="F30" s="22"/>
    </row>
  </sheetData>
  <mergeCells count="15">
    <mergeCell ref="B2:I2"/>
    <mergeCell ref="B3:I3"/>
    <mergeCell ref="C5:D5"/>
    <mergeCell ref="C6:D6"/>
    <mergeCell ref="B18:D18"/>
    <mergeCell ref="B19:D19"/>
    <mergeCell ref="B20:D20"/>
    <mergeCell ref="A23:E23"/>
    <mergeCell ref="B24:F24"/>
    <mergeCell ref="B25:F25"/>
    <mergeCell ref="B26:F26"/>
    <mergeCell ref="B27:F27"/>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4"/>
    <col collapsed="false" customWidth="true" hidden="false" outlineLevel="0" max="6" min="4" style="0" width="18"/>
    <col collapsed="false" customWidth="true" hidden="false" outlineLevel="0" max="7" min="7" style="0" width="16"/>
    <col collapsed="false" customWidth="true" hidden="false" outlineLevel="0" max="8" min="8" style="0" width="3"/>
  </cols>
  <sheetData>
    <row r="2" customFormat="false" ht="49.5" hidden="false" customHeight="true" outlineLevel="0" collapsed="false">
      <c r="B2" s="11" t="s">
        <v>116</v>
      </c>
      <c r="C2" s="11"/>
      <c r="D2" s="11"/>
      <c r="E2" s="11"/>
      <c r="F2" s="11"/>
      <c r="G2" s="11"/>
    </row>
    <row r="3" customFormat="false" ht="21.75" hidden="false" customHeight="true" outlineLevel="0" collapsed="false">
      <c r="B3" s="42" t="s">
        <v>117</v>
      </c>
      <c r="C3" s="42"/>
      <c r="D3" s="42"/>
      <c r="E3" s="42"/>
      <c r="F3" s="42"/>
      <c r="G3" s="42"/>
    </row>
    <row r="4" customFormat="false" ht="7.5" hidden="false" customHeight="true" outlineLevel="0" collapsed="false"/>
    <row r="5" customFormat="false" ht="25.5" hidden="false" customHeight="true" outlineLevel="0" collapsed="false">
      <c r="B5" s="43" t="s">
        <v>118</v>
      </c>
      <c r="C5" s="43"/>
      <c r="D5" s="43"/>
      <c r="E5" s="43"/>
      <c r="F5" s="43"/>
      <c r="G5" s="43"/>
    </row>
    <row r="6" customFormat="false" ht="36" hidden="false" customHeight="true" outlineLevel="0" collapsed="false">
      <c r="B6" s="9" t="s">
        <v>119</v>
      </c>
      <c r="C6" s="9"/>
      <c r="D6" s="9"/>
      <c r="E6" s="9"/>
      <c r="F6" s="9"/>
      <c r="G6" s="9"/>
    </row>
    <row r="7" customFormat="false" ht="26.85" hidden="false" customHeight="false" outlineLevel="0" collapsed="false">
      <c r="B7" s="3" t="s">
        <v>57</v>
      </c>
      <c r="C7" s="3" t="s">
        <v>58</v>
      </c>
      <c r="D7" s="3" t="s">
        <v>120</v>
      </c>
      <c r="E7" s="3" t="s">
        <v>121</v>
      </c>
      <c r="F7" s="3" t="s">
        <v>122</v>
      </c>
    </row>
    <row r="8" customFormat="false" ht="21.75" hidden="false" customHeight="true" outlineLevel="0" collapsed="false">
      <c r="B8" s="25" t="n">
        <v>103</v>
      </c>
      <c r="C8" s="25" t="n">
        <v>38</v>
      </c>
      <c r="D8" s="17"/>
      <c r="E8" s="17"/>
      <c r="F8" s="17"/>
    </row>
    <row r="9" customFormat="false" ht="21.75" hidden="false" customHeight="true" outlineLevel="0" collapsed="false">
      <c r="B9" s="27" t="n">
        <v>105</v>
      </c>
      <c r="C9" s="27" t="n">
        <v>47</v>
      </c>
      <c r="D9" s="17"/>
      <c r="E9" s="17"/>
      <c r="F9" s="17"/>
    </row>
    <row r="10" customFormat="false" ht="21.75" hidden="false" customHeight="true" outlineLevel="0" collapsed="false">
      <c r="B10" s="25" t="n">
        <v>107</v>
      </c>
      <c r="C10" s="25" t="n">
        <v>42</v>
      </c>
      <c r="D10" s="17"/>
      <c r="E10" s="17"/>
      <c r="F10" s="17"/>
    </row>
    <row r="11" customFormat="false" ht="21.75" hidden="false" customHeight="true" outlineLevel="0" collapsed="false">
      <c r="B11" s="27" t="n">
        <v>101</v>
      </c>
      <c r="C11" s="27" t="n">
        <v>40</v>
      </c>
      <c r="D11" s="17"/>
      <c r="E11" s="17"/>
      <c r="F11" s="17"/>
    </row>
    <row r="12" customFormat="false" ht="21.75" hidden="false" customHeight="true" outlineLevel="0" collapsed="false">
      <c r="B12" s="25" t="n">
        <v>110</v>
      </c>
      <c r="C12" s="25" t="n">
        <v>50</v>
      </c>
      <c r="D12" s="17"/>
      <c r="E12" s="17"/>
      <c r="F12" s="17"/>
    </row>
    <row r="14" customFormat="false" ht="7.5" hidden="false" customHeight="true" outlineLevel="0" collapsed="false"/>
    <row r="15" customFormat="false" ht="21.75" hidden="false" customHeight="true" outlineLevel="0" collapsed="false">
      <c r="B15" s="9" t="s">
        <v>123</v>
      </c>
      <c r="C15" s="9"/>
      <c r="D15" s="9"/>
      <c r="E15" s="9"/>
      <c r="F15" s="9"/>
      <c r="G15" s="9"/>
    </row>
    <row r="16" customFormat="false" ht="7.5" hidden="false" customHeight="true" outlineLevel="0" collapsed="false"/>
    <row r="17" customFormat="false" ht="15" hidden="false" customHeight="false" outlineLevel="0" collapsed="false">
      <c r="B17" s="24" t="s">
        <v>61</v>
      </c>
      <c r="C17" s="24" t="s">
        <v>124</v>
      </c>
      <c r="D17" s="24" t="s">
        <v>62</v>
      </c>
    </row>
    <row r="18" customFormat="false" ht="19.5" hidden="false" customHeight="true" outlineLevel="0" collapsed="false">
      <c r="B18" s="25" t="n">
        <v>101</v>
      </c>
      <c r="C18" s="7" t="s">
        <v>38</v>
      </c>
      <c r="D18" s="26" t="n">
        <v>15.5</v>
      </c>
    </row>
    <row r="19" customFormat="false" ht="19.5" hidden="false" customHeight="true" outlineLevel="0" collapsed="false">
      <c r="B19" s="27" t="n">
        <v>103</v>
      </c>
      <c r="C19" s="5" t="s">
        <v>40</v>
      </c>
      <c r="D19" s="28" t="n">
        <v>16.25</v>
      </c>
    </row>
    <row r="20" customFormat="false" ht="19.5" hidden="false" customHeight="true" outlineLevel="0" collapsed="false">
      <c r="B20" s="25" t="n">
        <v>105</v>
      </c>
      <c r="C20" s="7" t="s">
        <v>42</v>
      </c>
      <c r="D20" s="26" t="n">
        <v>20</v>
      </c>
    </row>
    <row r="21" customFormat="false" ht="19.5" hidden="false" customHeight="true" outlineLevel="0" collapsed="false">
      <c r="B21" s="27" t="n">
        <v>107</v>
      </c>
      <c r="C21" s="5" t="s">
        <v>44</v>
      </c>
      <c r="D21" s="28" t="n">
        <v>19.5</v>
      </c>
    </row>
    <row r="22" customFormat="false" ht="19.5" hidden="false" customHeight="true" outlineLevel="0" collapsed="false">
      <c r="B22" s="25" t="n">
        <v>110</v>
      </c>
      <c r="C22" s="7" t="s">
        <v>64</v>
      </c>
      <c r="D22" s="26" t="n">
        <v>21</v>
      </c>
    </row>
    <row r="24" customFormat="false" ht="15.75" hidden="false" customHeight="true" outlineLevel="0" collapsed="false"/>
    <row r="25" customFormat="false" ht="25.5" hidden="false" customHeight="true" outlineLevel="0" collapsed="false">
      <c r="B25" s="43" t="s">
        <v>125</v>
      </c>
      <c r="C25" s="43"/>
      <c r="D25" s="43"/>
      <c r="E25" s="43"/>
      <c r="F25" s="43"/>
      <c r="G25" s="43"/>
    </row>
    <row r="26" customFormat="false" ht="30" hidden="false" customHeight="true" outlineLevel="0" collapsed="false">
      <c r="B26" s="9" t="s">
        <v>126</v>
      </c>
      <c r="C26" s="9"/>
      <c r="D26" s="9"/>
      <c r="E26" s="9"/>
      <c r="F26" s="9"/>
      <c r="G26" s="9"/>
    </row>
    <row r="27" customFormat="false" ht="26.85" hidden="false" customHeight="false" outlineLevel="0" collapsed="false">
      <c r="B27" s="3" t="s">
        <v>57</v>
      </c>
      <c r="C27" s="3" t="s">
        <v>127</v>
      </c>
      <c r="D27" s="3" t="s">
        <v>128</v>
      </c>
      <c r="E27" s="3" t="s">
        <v>129</v>
      </c>
      <c r="F27" s="3" t="s">
        <v>130</v>
      </c>
    </row>
    <row r="28" customFormat="false" ht="21.75" hidden="false" customHeight="true" outlineLevel="0" collapsed="false">
      <c r="B28" s="25" t="n">
        <v>201</v>
      </c>
      <c r="C28" s="44"/>
      <c r="D28" s="44"/>
      <c r="E28" s="44"/>
      <c r="F28" s="16" t="n">
        <v>72000</v>
      </c>
    </row>
    <row r="29" customFormat="false" ht="21.75" hidden="false" customHeight="true" outlineLevel="0" collapsed="false">
      <c r="B29" s="27" t="n">
        <v>202</v>
      </c>
      <c r="C29" s="44"/>
      <c r="D29" s="44"/>
      <c r="E29" s="44"/>
      <c r="F29" s="18" t="n">
        <v>65500</v>
      </c>
    </row>
    <row r="30" customFormat="false" ht="21.75" hidden="false" customHeight="true" outlineLevel="0" collapsed="false">
      <c r="B30" s="25" t="n">
        <v>203</v>
      </c>
      <c r="C30" s="44"/>
      <c r="D30" s="44"/>
      <c r="E30" s="44"/>
      <c r="F30" s="16" t="n">
        <v>88000</v>
      </c>
    </row>
    <row r="31" customFormat="false" ht="21.75" hidden="false" customHeight="true" outlineLevel="0" collapsed="false">
      <c r="B31" s="27" t="n">
        <v>204</v>
      </c>
      <c r="C31" s="44"/>
      <c r="D31" s="44"/>
      <c r="E31" s="44"/>
      <c r="F31" s="18" t="n">
        <v>59000</v>
      </c>
    </row>
    <row r="32" customFormat="false" ht="21.75" hidden="false" customHeight="true" outlineLevel="0" collapsed="false">
      <c r="B32" s="25" t="n">
        <v>205</v>
      </c>
      <c r="C32" s="44"/>
      <c r="D32" s="44"/>
      <c r="E32" s="44"/>
      <c r="F32" s="16" t="n">
        <v>95000</v>
      </c>
    </row>
    <row r="34" customFormat="false" ht="7.5" hidden="false" customHeight="true" outlineLevel="0" collapsed="false"/>
    <row r="35" customFormat="false" ht="15" hidden="false" customHeight="false" outlineLevel="0" collapsed="false">
      <c r="B35" s="24" t="s">
        <v>61</v>
      </c>
      <c r="C35" s="24" t="s">
        <v>124</v>
      </c>
      <c r="D35" s="24" t="s">
        <v>131</v>
      </c>
    </row>
    <row r="36" customFormat="false" ht="19.5" hidden="false" customHeight="true" outlineLevel="0" collapsed="false">
      <c r="B36" s="25" t="n">
        <v>201</v>
      </c>
      <c r="C36" s="7" t="s">
        <v>38</v>
      </c>
      <c r="D36" s="7" t="s">
        <v>132</v>
      </c>
    </row>
    <row r="37" customFormat="false" ht="19.5" hidden="false" customHeight="true" outlineLevel="0" collapsed="false">
      <c r="B37" s="27" t="n">
        <v>202</v>
      </c>
      <c r="C37" s="5" t="s">
        <v>39</v>
      </c>
      <c r="D37" s="5" t="s">
        <v>133</v>
      </c>
    </row>
    <row r="38" customFormat="false" ht="19.5" hidden="false" customHeight="true" outlineLevel="0" collapsed="false">
      <c r="B38" s="25" t="n">
        <v>203</v>
      </c>
      <c r="C38" s="7" t="s">
        <v>40</v>
      </c>
      <c r="D38" s="7" t="s">
        <v>132</v>
      </c>
    </row>
    <row r="39" customFormat="false" ht="19.5" hidden="false" customHeight="true" outlineLevel="0" collapsed="false">
      <c r="B39" s="27" t="n">
        <v>204</v>
      </c>
      <c r="C39" s="5" t="s">
        <v>41</v>
      </c>
      <c r="D39" s="5" t="s">
        <v>134</v>
      </c>
    </row>
    <row r="40" customFormat="false" ht="19.5" hidden="false" customHeight="true" outlineLevel="0" collapsed="false">
      <c r="B40" s="25" t="n">
        <v>205</v>
      </c>
      <c r="C40" s="7" t="s">
        <v>42</v>
      </c>
      <c r="D40" s="7" t="s">
        <v>133</v>
      </c>
    </row>
    <row r="42" customFormat="false" ht="7.5" hidden="false" customHeight="true" outlineLevel="0" collapsed="false"/>
    <row r="43" customFormat="false" ht="15" hidden="false" customHeight="false" outlineLevel="0" collapsed="false">
      <c r="B43" s="24" t="s">
        <v>131</v>
      </c>
      <c r="C43" s="24" t="s">
        <v>135</v>
      </c>
    </row>
    <row r="44" customFormat="false" ht="19.5" hidden="false" customHeight="true" outlineLevel="0" collapsed="false">
      <c r="B44" s="7" t="s">
        <v>132</v>
      </c>
      <c r="C44" s="45" t="n">
        <v>0.15</v>
      </c>
    </row>
    <row r="45" customFormat="false" ht="19.5" hidden="false" customHeight="true" outlineLevel="0" collapsed="false">
      <c r="B45" s="5" t="s">
        <v>133</v>
      </c>
      <c r="C45" s="46" t="n">
        <v>0.1</v>
      </c>
    </row>
    <row r="46" customFormat="false" ht="19.5" hidden="false" customHeight="true" outlineLevel="0" collapsed="false">
      <c r="B46" s="7" t="s">
        <v>134</v>
      </c>
      <c r="C46" s="45" t="n">
        <v>0.12</v>
      </c>
    </row>
  </sheetData>
  <mergeCells count="7">
    <mergeCell ref="B2:G2"/>
    <mergeCell ref="B3:G3"/>
    <mergeCell ref="B5:G5"/>
    <mergeCell ref="B6:G6"/>
    <mergeCell ref="B15:G15"/>
    <mergeCell ref="B25:G25"/>
    <mergeCell ref="B26: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6"/>
    <col collapsed="false" customWidth="true" hidden="false" outlineLevel="0" max="7" min="4" style="0" width="20"/>
    <col collapsed="false" customWidth="true" hidden="false" outlineLevel="0" max="8" min="8" style="0" width="3"/>
  </cols>
  <sheetData>
    <row r="2" customFormat="false" ht="49.5" hidden="false" customHeight="true" outlineLevel="0" collapsed="false">
      <c r="B2" s="47" t="s">
        <v>136</v>
      </c>
      <c r="C2" s="47"/>
      <c r="D2" s="47"/>
      <c r="E2" s="47"/>
      <c r="F2" s="47"/>
      <c r="G2" s="47"/>
    </row>
    <row r="3" customFormat="false" ht="21.75" hidden="false" customHeight="true" outlineLevel="0" collapsed="false">
      <c r="B3" s="48" t="s">
        <v>137</v>
      </c>
      <c r="C3" s="48"/>
      <c r="D3" s="48"/>
      <c r="E3" s="48"/>
      <c r="F3" s="48"/>
      <c r="G3" s="48"/>
    </row>
    <row r="4" customFormat="false" ht="7.5" hidden="false" customHeight="true" outlineLevel="0" collapsed="false"/>
    <row r="5" customFormat="false" ht="15" hidden="false" customHeight="true" outlineLevel="0" collapsed="false">
      <c r="A5" s="49" t="s">
        <v>138</v>
      </c>
      <c r="B5" s="49"/>
      <c r="C5" s="49"/>
      <c r="D5" s="49"/>
      <c r="E5" s="49"/>
      <c r="F5" s="49"/>
    </row>
    <row r="6" customFormat="false" ht="26.85" hidden="false" customHeight="false" outlineLevel="0" collapsed="false">
      <c r="B6" s="3" t="s">
        <v>139</v>
      </c>
      <c r="C6" s="3" t="s">
        <v>35</v>
      </c>
      <c r="D6" s="3" t="s">
        <v>140</v>
      </c>
      <c r="E6" s="3" t="s">
        <v>141</v>
      </c>
      <c r="F6" s="3" t="s">
        <v>142</v>
      </c>
    </row>
    <row r="7" customFormat="false" ht="19.5" hidden="false" customHeight="true" outlineLevel="0" collapsed="false">
      <c r="B7" s="7" t="s">
        <v>38</v>
      </c>
      <c r="C7" s="16" t="n">
        <v>72000</v>
      </c>
      <c r="D7" s="50" t="s">
        <v>143</v>
      </c>
      <c r="E7" s="50" t="s">
        <v>144</v>
      </c>
      <c r="F7" s="26" t="n">
        <v>8640</v>
      </c>
    </row>
    <row r="8" customFormat="false" ht="19.5" hidden="false" customHeight="true" outlineLevel="0" collapsed="false">
      <c r="B8" s="5" t="s">
        <v>39</v>
      </c>
      <c r="C8" s="18" t="n">
        <v>65500</v>
      </c>
      <c r="D8" s="50" t="s">
        <v>143</v>
      </c>
      <c r="E8" s="50" t="s">
        <v>144</v>
      </c>
      <c r="F8" s="28" t="n">
        <v>7860</v>
      </c>
    </row>
    <row r="9" customFormat="false" ht="19.5" hidden="false" customHeight="true" outlineLevel="0" collapsed="false">
      <c r="B9" s="7" t="s">
        <v>40</v>
      </c>
      <c r="C9" s="16" t="n">
        <v>88000</v>
      </c>
      <c r="D9" s="50" t="s">
        <v>143</v>
      </c>
      <c r="E9" s="50" t="s">
        <v>144</v>
      </c>
      <c r="F9" s="26" t="n">
        <v>10560</v>
      </c>
    </row>
    <row r="10" customFormat="false" ht="19.5" hidden="false" customHeight="true" outlineLevel="0" collapsed="false">
      <c r="B10" s="5" t="s">
        <v>41</v>
      </c>
      <c r="C10" s="18" t="n">
        <v>59000</v>
      </c>
      <c r="D10" s="50" t="s">
        <v>143</v>
      </c>
      <c r="E10" s="50" t="s">
        <v>144</v>
      </c>
      <c r="F10" s="28" t="n">
        <v>7080</v>
      </c>
    </row>
    <row r="11" customFormat="false" ht="19.5" hidden="false" customHeight="true" outlineLevel="0" collapsed="false">
      <c r="B11" s="7" t="s">
        <v>42</v>
      </c>
      <c r="C11" s="16" t="n">
        <v>95000</v>
      </c>
      <c r="D11" s="50" t="s">
        <v>143</v>
      </c>
      <c r="E11" s="50" t="s">
        <v>144</v>
      </c>
      <c r="F11" s="26" t="n">
        <v>11400</v>
      </c>
    </row>
    <row r="12" customFormat="false" ht="19.5" hidden="false" customHeight="true" outlineLevel="0" collapsed="false">
      <c r="B12" s="5" t="s">
        <v>43</v>
      </c>
      <c r="C12" s="18" t="n">
        <v>71000</v>
      </c>
      <c r="D12" s="50" t="s">
        <v>143</v>
      </c>
      <c r="E12" s="50" t="s">
        <v>144</v>
      </c>
      <c r="F12" s="28" t="n">
        <v>8520</v>
      </c>
    </row>
    <row r="13" customFormat="false" ht="19.5" hidden="false" customHeight="true" outlineLevel="0" collapsed="false">
      <c r="B13" s="7" t="s">
        <v>44</v>
      </c>
      <c r="C13" s="16" t="n">
        <v>83500</v>
      </c>
      <c r="D13" s="50" t="s">
        <v>143</v>
      </c>
      <c r="E13" s="50" t="s">
        <v>144</v>
      </c>
      <c r="F13" s="26" t="n">
        <v>10020</v>
      </c>
    </row>
    <row r="14" customFormat="false" ht="19.5" hidden="false" customHeight="true" outlineLevel="0" collapsed="false">
      <c r="B14" s="5" t="s">
        <v>45</v>
      </c>
      <c r="C14" s="18" t="n">
        <v>67000</v>
      </c>
      <c r="D14" s="50" t="s">
        <v>143</v>
      </c>
      <c r="E14" s="50" t="s">
        <v>144</v>
      </c>
      <c r="F14" s="28" t="n">
        <v>8040</v>
      </c>
    </row>
    <row r="15" customFormat="false" ht="15" hidden="false" customHeight="false" outlineLevel="0" collapsed="false">
      <c r="B15" s="13" t="s">
        <v>145</v>
      </c>
      <c r="C15" s="19" t="n">
        <v>601000</v>
      </c>
      <c r="F15" s="51" t="n">
        <v>72120</v>
      </c>
    </row>
    <row r="16" customFormat="false" ht="7.5" hidden="false" customHeight="true" outlineLevel="0" collapsed="false"/>
    <row r="17" customFormat="false" ht="15" hidden="false" customHeight="true" outlineLevel="0" collapsed="false">
      <c r="B17" s="52" t="s">
        <v>146</v>
      </c>
      <c r="C17" s="52"/>
      <c r="D17" s="52"/>
      <c r="E17" s="52"/>
      <c r="F17" s="52"/>
      <c r="G17" s="52"/>
    </row>
    <row r="18" customFormat="false" ht="7.5" hidden="false" customHeight="true" outlineLevel="0" collapsed="false"/>
    <row r="19" customFormat="false" ht="15" hidden="false" customHeight="true" outlineLevel="0" collapsed="false">
      <c r="A19" s="49" t="s">
        <v>147</v>
      </c>
      <c r="B19" s="49"/>
      <c r="C19" s="49"/>
      <c r="D19" s="49"/>
      <c r="E19" s="49"/>
      <c r="F19" s="49"/>
    </row>
    <row r="20" customFormat="false" ht="15" hidden="false" customHeight="false" outlineLevel="0" collapsed="false">
      <c r="B20" s="3" t="s">
        <v>61</v>
      </c>
      <c r="C20" s="3" t="s">
        <v>148</v>
      </c>
      <c r="D20" s="3" t="s">
        <v>149</v>
      </c>
      <c r="E20" s="3" t="s">
        <v>150</v>
      </c>
      <c r="F20" s="3" t="s">
        <v>151</v>
      </c>
    </row>
    <row r="21" customFormat="false" ht="19.5" hidden="false" customHeight="true" outlineLevel="0" collapsed="false">
      <c r="B21" s="25" t="n">
        <v>103</v>
      </c>
      <c r="C21" s="25" t="n">
        <v>38</v>
      </c>
      <c r="D21" s="50" t="s">
        <v>152</v>
      </c>
      <c r="E21" s="50" t="s">
        <v>153</v>
      </c>
      <c r="F21" s="26" t="n">
        <v>617.5</v>
      </c>
    </row>
    <row r="22" customFormat="false" ht="19.5" hidden="false" customHeight="true" outlineLevel="0" collapsed="false">
      <c r="B22" s="27" t="n">
        <v>101</v>
      </c>
      <c r="C22" s="27" t="n">
        <v>40</v>
      </c>
      <c r="D22" s="50" t="s">
        <v>152</v>
      </c>
      <c r="E22" s="50" t="s">
        <v>153</v>
      </c>
      <c r="F22" s="28" t="n">
        <v>620</v>
      </c>
    </row>
    <row r="23" customFormat="false" ht="19.5" hidden="false" customHeight="true" outlineLevel="0" collapsed="false">
      <c r="B23" s="25" t="n">
        <v>105</v>
      </c>
      <c r="C23" s="25" t="n">
        <v>32</v>
      </c>
      <c r="D23" s="50" t="s">
        <v>152</v>
      </c>
      <c r="E23" s="50" t="s">
        <v>153</v>
      </c>
      <c r="F23" s="26" t="n">
        <v>640</v>
      </c>
    </row>
    <row r="24" customFormat="false" ht="19.5" hidden="false" customHeight="true" outlineLevel="0" collapsed="false">
      <c r="B24" s="27" t="n">
        <v>108</v>
      </c>
      <c r="C24" s="27" t="n">
        <v>35</v>
      </c>
      <c r="D24" s="50" t="s">
        <v>152</v>
      </c>
      <c r="E24" s="50" t="s">
        <v>153</v>
      </c>
      <c r="F24" s="28" t="n">
        <v>560</v>
      </c>
    </row>
    <row r="25" customFormat="false" ht="19.5" hidden="false" customHeight="true" outlineLevel="0" collapsed="false">
      <c r="B25" s="25" t="n">
        <v>102</v>
      </c>
      <c r="C25" s="25" t="n">
        <v>40</v>
      </c>
      <c r="D25" s="50" t="s">
        <v>152</v>
      </c>
      <c r="E25" s="50" t="s">
        <v>153</v>
      </c>
      <c r="F25" s="26" t="n">
        <v>680</v>
      </c>
    </row>
    <row r="26" customFormat="false" ht="19.5" hidden="false" customHeight="true" outlineLevel="0" collapsed="false">
      <c r="B26" s="27" t="n">
        <v>107</v>
      </c>
      <c r="C26" s="27" t="n">
        <v>28</v>
      </c>
      <c r="D26" s="50" t="s">
        <v>152</v>
      </c>
      <c r="E26" s="50" t="s">
        <v>153</v>
      </c>
      <c r="F26" s="28" t="n">
        <v>546</v>
      </c>
    </row>
    <row r="27" customFormat="false" ht="19.5" hidden="false" customHeight="true" outlineLevel="0" collapsed="false">
      <c r="B27" s="25" t="n">
        <v>104</v>
      </c>
      <c r="C27" s="25" t="n">
        <v>36</v>
      </c>
      <c r="D27" s="50" t="s">
        <v>152</v>
      </c>
      <c r="E27" s="50" t="s">
        <v>153</v>
      </c>
      <c r="F27" s="26" t="n">
        <v>675</v>
      </c>
    </row>
    <row r="28" customFormat="false" ht="19.5" hidden="false" customHeight="true" outlineLevel="0" collapsed="false">
      <c r="B28" s="27" t="n">
        <v>110</v>
      </c>
      <c r="C28" s="27" t="n">
        <v>40</v>
      </c>
      <c r="D28" s="50" t="s">
        <v>152</v>
      </c>
      <c r="E28" s="50" t="s">
        <v>153</v>
      </c>
      <c r="F28" s="28" t="n">
        <v>840</v>
      </c>
    </row>
    <row r="29" customFormat="false" ht="19.5" hidden="false" customHeight="true" outlineLevel="0" collapsed="false">
      <c r="B29" s="25" t="n">
        <v>106</v>
      </c>
      <c r="C29" s="25" t="n">
        <v>25</v>
      </c>
      <c r="D29" s="50" t="s">
        <v>152</v>
      </c>
      <c r="E29" s="50" t="s">
        <v>153</v>
      </c>
      <c r="F29" s="26" t="n">
        <v>393.75</v>
      </c>
    </row>
    <row r="30" customFormat="false" ht="19.5" hidden="false" customHeight="true" outlineLevel="0" collapsed="false">
      <c r="B30" s="27" t="n">
        <v>109</v>
      </c>
      <c r="C30" s="27" t="n">
        <v>33</v>
      </c>
      <c r="D30" s="50" t="s">
        <v>152</v>
      </c>
      <c r="E30" s="50" t="s">
        <v>153</v>
      </c>
      <c r="F30" s="28" t="n">
        <v>577.5</v>
      </c>
    </row>
    <row r="31" customFormat="false" ht="19.5" hidden="false" customHeight="true" outlineLevel="0" collapsed="false">
      <c r="B31" s="53" t="s">
        <v>67</v>
      </c>
      <c r="F31" s="51" t="n">
        <v>6149.75</v>
      </c>
    </row>
    <row r="32" customFormat="false" ht="19.5" hidden="false" customHeight="true" outlineLevel="0" collapsed="false">
      <c r="B32" s="31" t="s">
        <v>68</v>
      </c>
      <c r="F32" s="28" t="n">
        <v>614.975</v>
      </c>
    </row>
    <row r="33" customFormat="false" ht="7.5" hidden="false" customHeight="true" outlineLevel="0" collapsed="false"/>
    <row r="34" customFormat="false" ht="23.85" hidden="false" customHeight="true" outlineLevel="0" collapsed="false">
      <c r="B34" s="52" t="s">
        <v>154</v>
      </c>
      <c r="C34" s="52"/>
      <c r="D34" s="52"/>
      <c r="E34" s="52"/>
      <c r="F34" s="52"/>
      <c r="G34" s="52"/>
    </row>
    <row r="35" customFormat="false" ht="7.5" hidden="false" customHeight="true" outlineLevel="0" collapsed="false"/>
    <row r="36" customFormat="false" ht="15" hidden="false" customHeight="true" outlineLevel="0" collapsed="false">
      <c r="A36" s="49" t="s">
        <v>155</v>
      </c>
      <c r="B36" s="49"/>
      <c r="C36" s="49"/>
      <c r="D36" s="49"/>
      <c r="E36" s="49"/>
      <c r="F36" s="49"/>
    </row>
    <row r="37" customFormat="false" ht="15" hidden="false" customHeight="false" outlineLevel="0" collapsed="false">
      <c r="B37" s="3" t="s">
        <v>83</v>
      </c>
      <c r="C37" s="3" t="s">
        <v>156</v>
      </c>
      <c r="D37" s="3" t="s">
        <v>89</v>
      </c>
      <c r="E37" s="3" t="s">
        <v>157</v>
      </c>
      <c r="F37" s="3" t="s">
        <v>87</v>
      </c>
    </row>
    <row r="38" customFormat="false" ht="19.5" hidden="false" customHeight="true" outlineLevel="0" collapsed="false">
      <c r="B38" s="36" t="s">
        <v>90</v>
      </c>
      <c r="C38" s="25" t="n">
        <v>2</v>
      </c>
      <c r="D38" s="26" t="n">
        <v>46.2</v>
      </c>
      <c r="E38" s="26" t="n">
        <v>92.4</v>
      </c>
      <c r="F38" s="26" t="n">
        <v>8.085</v>
      </c>
    </row>
    <row r="39" customFormat="false" ht="19.5" hidden="false" customHeight="true" outlineLevel="0" collapsed="false">
      <c r="B39" s="37" t="s">
        <v>92</v>
      </c>
      <c r="C39" s="27" t="n">
        <v>3</v>
      </c>
      <c r="D39" s="28" t="n">
        <v>18.5</v>
      </c>
      <c r="E39" s="28" t="n">
        <v>55.5</v>
      </c>
      <c r="F39" s="28" t="n">
        <v>4.85625</v>
      </c>
    </row>
    <row r="40" customFormat="false" ht="19.5" hidden="false" customHeight="true" outlineLevel="0" collapsed="false">
      <c r="B40" s="36" t="s">
        <v>95</v>
      </c>
      <c r="C40" s="25" t="n">
        <v>1</v>
      </c>
      <c r="D40" s="26" t="n">
        <v>68</v>
      </c>
      <c r="E40" s="26" t="n">
        <v>68</v>
      </c>
      <c r="F40" s="26" t="n">
        <v>5.95</v>
      </c>
    </row>
    <row r="41" customFormat="false" ht="19.5" hidden="false" customHeight="true" outlineLevel="0" collapsed="false">
      <c r="B41" s="37" t="s">
        <v>93</v>
      </c>
      <c r="C41" s="27" t="n">
        <v>4</v>
      </c>
      <c r="D41" s="28" t="n">
        <v>22</v>
      </c>
      <c r="E41" s="28" t="n">
        <v>88</v>
      </c>
      <c r="F41" s="28" t="n">
        <v>7.7</v>
      </c>
    </row>
    <row r="42" customFormat="false" ht="19.5" hidden="false" customHeight="true" outlineLevel="0" collapsed="false">
      <c r="B42" s="36" t="s">
        <v>99</v>
      </c>
      <c r="C42" s="25" t="n">
        <v>1</v>
      </c>
      <c r="D42" s="26" t="n">
        <v>89</v>
      </c>
      <c r="E42" s="26" t="n">
        <v>89</v>
      </c>
      <c r="F42" s="26" t="n">
        <v>7.7875</v>
      </c>
    </row>
    <row r="43" customFormat="false" ht="19.5" hidden="false" customHeight="true" outlineLevel="0" collapsed="false">
      <c r="B43" s="37" t="s">
        <v>97</v>
      </c>
      <c r="C43" s="27" t="n">
        <v>2</v>
      </c>
      <c r="D43" s="28" t="n">
        <v>54</v>
      </c>
      <c r="E43" s="28" t="n">
        <v>108</v>
      </c>
      <c r="F43" s="28" t="n">
        <v>9.45</v>
      </c>
    </row>
    <row r="44" customFormat="false" ht="19.5" hidden="false" customHeight="true" outlineLevel="0" collapsed="false">
      <c r="B44" s="36" t="s">
        <v>103</v>
      </c>
      <c r="C44" s="25" t="n">
        <v>2</v>
      </c>
      <c r="D44" s="26" t="n">
        <v>38.5</v>
      </c>
      <c r="E44" s="26" t="n">
        <v>77</v>
      </c>
      <c r="F44" s="26" t="n">
        <v>6.7375</v>
      </c>
    </row>
    <row r="45" customFormat="false" ht="19.5" hidden="false" customHeight="true" outlineLevel="0" collapsed="false">
      <c r="B45" s="37" t="s">
        <v>101</v>
      </c>
      <c r="C45" s="27" t="n">
        <v>5</v>
      </c>
      <c r="D45" s="28" t="n">
        <v>16.75</v>
      </c>
      <c r="E45" s="28" t="n">
        <v>83.75</v>
      </c>
      <c r="F45" s="28" t="n">
        <v>7.328125</v>
      </c>
    </row>
    <row r="46" customFormat="false" ht="24" hidden="false" customHeight="true" outlineLevel="0" collapsed="false">
      <c r="B46" s="13" t="s">
        <v>106</v>
      </c>
      <c r="E46" s="51" t="n">
        <v>661.65</v>
      </c>
    </row>
    <row r="47" customFormat="false" ht="24" hidden="false" customHeight="true" outlineLevel="0" collapsed="false">
      <c r="B47" s="54" t="s">
        <v>107</v>
      </c>
      <c r="E47" s="28" t="n">
        <v>57.894375</v>
      </c>
    </row>
    <row r="48" customFormat="false" ht="24" hidden="false" customHeight="true" outlineLevel="0" collapsed="false">
      <c r="B48" s="55" t="s">
        <v>108</v>
      </c>
      <c r="E48" s="56" t="n">
        <v>719.544375</v>
      </c>
    </row>
    <row r="49" customFormat="false" ht="7.5" hidden="false" customHeight="true" outlineLevel="0" collapsed="false"/>
    <row r="50" customFormat="false" ht="15" hidden="false" customHeight="true" outlineLevel="0" collapsed="false">
      <c r="B50" s="52" t="s">
        <v>158</v>
      </c>
      <c r="C50" s="52"/>
      <c r="D50" s="52"/>
      <c r="E50" s="52"/>
      <c r="F50" s="52"/>
      <c r="G50" s="52"/>
    </row>
    <row r="51" customFormat="false" ht="7.5" hidden="false" customHeight="true" outlineLevel="0" collapsed="false"/>
    <row r="52" customFormat="false" ht="15" hidden="false" customHeight="true" outlineLevel="0" collapsed="false">
      <c r="A52" s="49" t="s">
        <v>159</v>
      </c>
      <c r="B52" s="49"/>
      <c r="C52" s="49"/>
      <c r="D52" s="49"/>
      <c r="E52" s="49"/>
      <c r="F52" s="49"/>
    </row>
    <row r="53" customFormat="false" ht="15" hidden="false" customHeight="false" outlineLevel="0" collapsed="false">
      <c r="B53" s="3" t="s">
        <v>61</v>
      </c>
      <c r="C53" s="3" t="s">
        <v>148</v>
      </c>
      <c r="D53" s="3" t="s">
        <v>160</v>
      </c>
      <c r="E53" s="3" t="s">
        <v>161</v>
      </c>
      <c r="F53" s="3" t="s">
        <v>122</v>
      </c>
    </row>
    <row r="54" customFormat="false" ht="19.5" hidden="false" customHeight="true" outlineLevel="0" collapsed="false">
      <c r="B54" s="25" t="n">
        <v>103</v>
      </c>
      <c r="C54" s="25" t="n">
        <v>38</v>
      </c>
      <c r="D54" s="26" t="n">
        <v>617.5</v>
      </c>
      <c r="E54" s="26" t="n">
        <v>0</v>
      </c>
      <c r="F54" s="26" t="n">
        <v>617.5</v>
      </c>
    </row>
    <row r="55" customFormat="false" ht="19.5" hidden="false" customHeight="true" outlineLevel="0" collapsed="false">
      <c r="B55" s="27" t="n">
        <v>105</v>
      </c>
      <c r="C55" s="27" t="n">
        <v>47</v>
      </c>
      <c r="D55" s="28" t="n">
        <v>800</v>
      </c>
      <c r="E55" s="28" t="n">
        <v>210</v>
      </c>
      <c r="F55" s="28" t="n">
        <v>1010</v>
      </c>
    </row>
    <row r="56" customFormat="false" ht="19.5" hidden="false" customHeight="true" outlineLevel="0" collapsed="false">
      <c r="B56" s="25" t="n">
        <v>107</v>
      </c>
      <c r="C56" s="25" t="n">
        <v>42</v>
      </c>
      <c r="D56" s="26" t="n">
        <v>780</v>
      </c>
      <c r="E56" s="26" t="n">
        <v>58.5</v>
      </c>
      <c r="F56" s="26" t="n">
        <v>838.5</v>
      </c>
    </row>
    <row r="57" customFormat="false" ht="19.5" hidden="false" customHeight="true" outlineLevel="0" collapsed="false">
      <c r="B57" s="27" t="n">
        <v>101</v>
      </c>
      <c r="C57" s="27" t="n">
        <v>40</v>
      </c>
      <c r="D57" s="28" t="n">
        <v>620</v>
      </c>
      <c r="E57" s="28" t="n">
        <v>0</v>
      </c>
      <c r="F57" s="28" t="n">
        <v>620</v>
      </c>
    </row>
    <row r="58" customFormat="false" ht="19.5" hidden="false" customHeight="true" outlineLevel="0" collapsed="false">
      <c r="B58" s="25" t="n">
        <v>110</v>
      </c>
      <c r="C58" s="25" t="n">
        <v>50</v>
      </c>
      <c r="D58" s="26" t="n">
        <v>840</v>
      </c>
      <c r="E58" s="26" t="n">
        <v>315</v>
      </c>
      <c r="F58" s="26" t="n">
        <v>1155</v>
      </c>
    </row>
    <row r="60" customFormat="false" ht="21.75" hidden="false" customHeight="true" outlineLevel="0" collapsed="false">
      <c r="B60" s="57" t="s">
        <v>162</v>
      </c>
      <c r="C60" s="57"/>
      <c r="D60" s="57"/>
      <c r="E60" s="57"/>
      <c r="F60" s="57"/>
      <c r="G60" s="57"/>
    </row>
  </sheetData>
  <mergeCells count="10">
    <mergeCell ref="B2:G2"/>
    <mergeCell ref="B3:G3"/>
    <mergeCell ref="A5:F5"/>
    <mergeCell ref="B17:G17"/>
    <mergeCell ref="A19:F19"/>
    <mergeCell ref="B34:G34"/>
    <mergeCell ref="A36:F36"/>
    <mergeCell ref="B50:G50"/>
    <mergeCell ref="A52:F52"/>
    <mergeCell ref="B60:G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2026-03-01T11:41:21Z</dcterms:created>
  <dc:creator>openpyxl</dc:creator>
  <dc:description/>
  <dc:language>en-US</dc:language>
  <cp:lastModifiedBy/>
  <dcterms:modified xsi:type="dcterms:W3CDTF">2026-03-01T11:41:21Z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