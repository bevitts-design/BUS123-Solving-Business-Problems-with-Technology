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aw Data" sheetId="2" state="visible" r:id="rId4"/>
    <sheet name="Event Revenue Analysis" sheetId="3" state="visible" r:id="rId5"/>
    <sheet name="Challenge" sheetId="4" state="visible" r:id="rId6"/>
    <sheet name="INSTRUCTOR_AnswerKey" sheetId="5" state="visible" r:id="rId7"/>
    <sheet name="FormulaReference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<sst xmlns="http://schemas.openxmlformats.org/spreadsheetml/2006/main" count="206" uniqueCount="179">
  <si>
    <t xml:space="preserve">Anchor &amp; Oak Events — Excel Functions Activity</t>
  </si>
  <si>
    <t xml:space="preserve">BUS 123 · Excel M01 · L02 · In-Class Activity</t>
  </si>
  <si>
    <t xml:space="preserve">📋  Learning Objectives</t>
  </si>
  <si>
    <t xml:space="preserve">I Can…</t>
  </si>
  <si>
    <t xml:space="preserve">01</t>
  </si>
  <si>
    <t xml:space="preserve">Use SUM to total a range and explain why it beats manual addition</t>
  </si>
  <si>
    <t xml:space="preserve">02</t>
  </si>
  <si>
    <t xml:space="preserve">Apply AVERAGE, MAX, MIN, and COUNT to analyze business data</t>
  </si>
  <si>
    <t xml:space="preserve">03</t>
  </si>
  <si>
    <t xml:space="preserve">Choose the right function for a given question and interpret the result</t>
  </si>
  <si>
    <t xml:space="preserve">📌  How to Use This Workbook</t>
  </si>
  <si>
    <t xml:space="preserve">Step 1</t>
  </si>
  <si>
    <t xml:space="preserve">Go to the Raw Data tab — review the unformatted data Anchor &amp; Oak gave us</t>
  </si>
  <si>
    <t xml:space="preserve">Step 2</t>
  </si>
  <si>
    <t xml:space="preserve">Go to Event Revenue Analysis — format the data, then write your functions in the yellow cells</t>
  </si>
  <si>
    <t xml:space="preserve">Step 3</t>
  </si>
  <si>
    <t xml:space="preserve">Interpret your results — answer the business questions in the interpretation section</t>
  </si>
  <si>
    <t xml:space="preserve">Step 4</t>
  </si>
  <si>
    <t xml:space="preserve">Challenge tab — attempt the multi-column and variance analysis if you finish early</t>
  </si>
  <si>
    <t xml:space="preserve">🟡  Cell Color Guide</t>
  </si>
  <si>
    <t xml:space="preserve">Yellow cells</t>
  </si>
  <si>
    <t xml:space="preserve">Student input — type your formula here. Never skip a yellow cell.</t>
  </si>
  <si>
    <t xml:space="preserve">Green ✓</t>
  </si>
  <si>
    <t xml:space="preserve">Your answer matches the expected result</t>
  </si>
  <si>
    <t xml:space="preserve">Red ✗</t>
  </si>
  <si>
    <t xml:space="preserve">Your answer doesn't match — recheck your range or function name</t>
  </si>
  <si>
    <t xml:space="preserve">📊  Tabs in This Workbook</t>
  </si>
  <si>
    <t xml:space="preserve">START HERE</t>
  </si>
  <si>
    <t xml:space="preserve">Instructions and learning objectives (this tab)</t>
  </si>
  <si>
    <t xml:space="preserve">Raw Data</t>
  </si>
  <si>
    <t xml:space="preserve">Unformatted source data — your starting point</t>
  </si>
  <si>
    <t xml:space="preserve">Event Revenue Analysis</t>
  </si>
  <si>
    <t xml:space="preserve">Main activity — format + write functions</t>
  </si>
  <si>
    <t xml:space="preserve">Challenge</t>
  </si>
  <si>
    <t xml:space="preserve">Stretch — multi-column analysis + variance</t>
  </si>
  <si>
    <t xml:space="preserve">FormulaReferenceCard</t>
  </si>
  <si>
    <t xml:space="preserve">Quick reference for all five functions</t>
  </si>
  <si>
    <t xml:space="preserve">Anchor &amp; Oak Events · BUS 123 · Gerrish School of Business · Endicott College · Fall 2026</t>
  </si>
  <si>
    <t xml:space="preserve">RAW DATA — Anchor &amp; Oak Events 2025 Revenue Export (unformatted)</t>
  </si>
  <si>
    <t xml:space="preserve">This is exactly how the data came out of the booking system. No formatting has been applied. Use this as your source — do not edit this tab.</t>
  </si>
  <si>
    <t xml:space="preserve">month</t>
  </si>
  <si>
    <t xml:space="preserve">weddings</t>
  </si>
  <si>
    <t xml:space="preserve">corporate</t>
  </si>
  <si>
    <t xml:space="preserve">private</t>
  </si>
  <si>
    <t xml:space="preserve">total_events</t>
  </si>
  <si>
    <t xml:space="preserve">notes</t>
  </si>
  <si>
    <t xml:space="preserve">January</t>
  </si>
  <si>
    <t xml:space="preserve">slowest month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</si>
  <si>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</si>
  <si>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</si>
  <si>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</si>
  <si>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</si>
  <si>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</si>
  <si>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peak wedding season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</si>
  <si>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</si>
  <si>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</si>
  <si>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</si>
  <si>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</si>
  <si>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</si>
  <si>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holiday corporate events</t>
  </si>
  <si>
    <t xml:space="preserve">December</t>
  </si>
  <si>
    <t xml:space="preserve">Budget target (monthly): 55000</t>
  </si>
  <si>
    <t xml:space="preserve">Anchor &amp; Oak Events — 2025 Revenue Analysis</t>
  </si>
  <si>
    <t xml:space="preserve">PART 1 — Format the Data  (connect the raw data, then apply proper formatting)</t>
  </si>
  <si>
    <t xml:space="preserve">The data below was pulled from Raw Data. Column C (Total Revenue) needs a formula. Then apply Currency format to all revenue columns, bold the headers, and right-align all numbers.</t>
  </si>
  <si>
    <t xml:space="preserve">Month</t>
  </si>
  <si>
    <t xml:space="preserve">Weddings</t>
  </si>
  <si>
    <t xml:space="preserve">Corporate</t>
  </si>
  <si>
    <t xml:space="preserve">Private</t>
  </si>
  <si>
    <t xml:space="preserve">Total Revenue</t>
  </si>
  <si>
    <t xml:space="preserve"># Events</t>
  </si>
  <si>
    <t xml:space="preserve">PART 2 — Write the Functions  (yellow cells = your formula)</t>
  </si>
  <si>
    <t xml:space="preserve">Write the correct Excel function in each yellow cell. Use the range F9:F20 for all revenue calculations. Use G9:G20 for event count calculations.</t>
  </si>
  <si>
    <t xml:space="preserve">Function</t>
  </si>
  <si>
    <t xml:space="preserve">Your Formula</t>
  </si>
  <si>
    <t xml:space="preserve">Expected Answer</t>
  </si>
  <si>
    <t xml:space="preserve">Check</t>
  </si>
  <si>
    <t xml:space="preserve">Business Question</t>
  </si>
  <si>
    <t xml:space="preserve">SUM</t>
  </si>
  <si>
    <t xml:space="preserve">✓</t>
  </si>
  <si>
    <t xml:space="preserve">What was total annual revenue from all events?</t>
  </si>
  <si>
    <t xml:space="preserve">AVERAGE</t>
  </si>
  <si>
    <t xml:space="preserve">What was the average monthly revenue?</t>
  </si>
  <si>
    <t xml:space="preserve">MAX</t>
  </si>
  <si>
    <t xml:space="preserve">What was the best revenue month?</t>
  </si>
  <si>
    <t xml:space="preserve">MIN</t>
  </si>
  <si>
    <t xml:space="preserve">What was the slowest revenue month?</t>
  </si>
  <si>
    <t xml:space="preserve">COUNT</t>
  </si>
  <si>
    <t xml:space="preserve">How many months have revenue data entered?</t>
  </si>
  <si>
    <t xml:space="preserve">COUNTA</t>
  </si>
  <si>
    <t xml:space="preserve">How many months are listed (even if revenue is missing)?</t>
  </si>
  <si>
    <t xml:space="preserve">PART 3 — Interpret Your Results  (write answers in the yellow cells)</t>
  </si>
  <si>
    <t xml:space="preserve">Which month had the highest total revenue? (type the month name)</t>
  </si>
  <si>
    <t xml:space="preserve">By how much did the best month exceed the worst month? (formula or number)</t>
  </si>
  <si>
    <t xml:space="preserve">89500-17500  →  $72,000</t>
  </si>
  <si>
    <t xml:space="preserve">How many months were ABOVE the $44,300 average? (use COUNTIF or count manually)</t>
  </si>
  <si>
    <t xml:space="preserve">5 months (March, April, May, June, July)</t>
  </si>
  <si>
    <t xml:space="preserve">What does it mean for Anchor &amp; Oak if 3 months are below half the average revenue?</t>
  </si>
  <si>
    <t xml:space="preserve">Cash flow risk — Anchor &amp; Oak needs reserves to cover Jan/Feb/Dec fixed costs when revenue drops below operating break-even.</t>
  </si>
  <si>
    <t xml:space="preserve">Challenge — Multi-Column Analysis &amp; Budget Variance</t>
  </si>
  <si>
    <t xml:space="preserve">Complete the main activity first. This section uses absolute references and column-by-column analysis.</t>
  </si>
  <si>
    <t xml:space="preserve">PART A — Sum Each Revenue Stream Separately</t>
  </si>
  <si>
    <t xml:space="preserve">Write a SUM formula for each column. Copy the first formula across — do not retype it three times.</t>
  </si>
  <si>
    <t xml:space="preserve">💡 Tip: Write =SUM(C9:C20) in C22, then copy it to D22, E22, F22, and G22. The relative range shifts automatically.</t>
  </si>
  <si>
    <t xml:space="preserve">PART B — Budget Variance (absolute reference required)</t>
  </si>
  <si>
    <t xml:space="preserve">The monthly budget target is $55,000. Store it in cell H28 (already entered). Write a formula in D29 that calculates each month's variance (Total Revenue minus budget). Use an absolute reference to H28 so you can copy the formula down all 12 months.</t>
  </si>
  <si>
    <t xml:space="preserve">Budget Target (monthly)</t>
  </si>
  <si>
    <t xml:space="preserve">Variance vs Budget</t>
  </si>
  <si>
    <t xml:space="preserve">Above/Below?</t>
  </si>
  <si>
    <t xml:space="preserve">💡 Tip: In D30, type =C30-$H$28. The $H$28 is absolute — it always points to the budget. C30 is relative — it shifts to C31, C32... as you copy down. Press F4 after typing H28 to lock it.</t>
  </si>
  <si>
    <t xml:space="preserve">INSTRUCTOR ANSWER KEY — DO NOT DISTRIBUTE</t>
  </si>
  <si>
    <t xml:space="preserve">TAB: Event Revenue Analysis</t>
  </si>
  <si>
    <t xml:space="preserve">Part 1 — Total Revenue formula (each row)</t>
  </si>
  <si>
    <t xml:space="preserve">C9+D9+E9 (relative — copies down to row 20))</t>
  </si>
  <si>
    <t xml:space="preserve">Part 2 — SUM</t>
  </si>
  <si>
    <t xml:space="preserve">SUM(F9:F20)  →  $531,600</t>
  </si>
  <si>
    <t xml:space="preserve">Part 2 — AVERAGE</t>
  </si>
  <si>
    <t xml:space="preserve">AVERAGE(F9:F20)  →  $44,300</t>
  </si>
  <si>
    <t xml:space="preserve">Part 2 — MAX</t>
  </si>
  <si>
    <t xml:space="preserve">MAX(F9:F20)  →  $89,500  (June)</t>
  </si>
  <si>
    <t xml:space="preserve">Part 2 — MIN</t>
  </si>
  <si>
    <t xml:space="preserve">MIN(F9:F20)  →  $17,500  (January)</t>
  </si>
  <si>
    <t xml:space="preserve">Part 2 — COUNT</t>
  </si>
  <si>
    <t xml:space="preserve">COUNT(F9:F20)  →  12</t>
  </si>
  <si>
    <t xml:space="preserve">Part 2 — COUNTA</t>
  </si>
  <si>
    <t xml:space="preserve">COUNTA(B9:B20)  →  12</t>
  </si>
  <si>
    <t xml:space="preserve">Part 3 Q1 — Best month</t>
  </si>
  <si>
    <t xml:space="preserve">Part 3 Q2 — Best minus worst</t>
  </si>
  <si>
    <t xml:space="preserve">89500-17500  =  $72,0</t>
  </si>
  <si>
    <t xml:space="preserve">Part 3 Q3 — Months above average</t>
  </si>
  <si>
    <t xml:space="preserve">5 (March, April, May, June, July)</t>
  </si>
  <si>
    <t xml:space="preserve">Part 3 Q4 — Interpretation</t>
  </si>
  <si>
    <t xml:space="preserve">Cash flow risk; need reserves for slow-season fixed costs</t>
  </si>
  <si>
    <t xml:space="preserve">TAB: Challenge</t>
  </si>
  <si>
    <t xml:space="preserve">Part A — SUM Weddings</t>
  </si>
  <si>
    <t xml:space="preserve">SUM(C9:C20)  →  $339,100</t>
  </si>
  <si>
    <t xml:space="preserve">Part A — SUM Corporate</t>
  </si>
  <si>
    <t xml:space="preserve">SUM(D9:D20)  →  $138,800</t>
  </si>
  <si>
    <t xml:space="preserve">Part A — SUM Private</t>
  </si>
  <si>
    <t xml:space="preserve">SUM(E9:E20)  →  $107,700</t>
  </si>
  <si>
    <t xml:space="preserve">Part A — SUM Total</t>
  </si>
  <si>
    <t xml:space="preserve">Part B — Variance C formula</t>
  </si>
  <si>
    <t xml:space="preserve">C30-$H$28  (absolute ref to $H$28 required)</t>
  </si>
  <si>
    <t xml:space="preserve">Part B — Above budget months</t>
  </si>
  <si>
    <t xml:space="preserve">June, July, August, September  (4 months)</t>
  </si>
  <si>
    <t xml:space="preserve">BUS 123 · Instructor Use Only · Gerrish School of Business · Endicott College · Fall 2026</t>
  </si>
  <si>
    <t xml:space="preserve">Excel Function Reference Card — BUS 123 · M01 · L02</t>
  </si>
  <si>
    <t xml:space="preserve">Syntax</t>
  </si>
  <si>
    <t xml:space="preserve">Returns</t>
  </si>
  <si>
    <t xml:space="preserve">Business Use</t>
  </si>
  <si>
    <t xml:space="preserve">=SUM(range)</t>
  </si>
  <si>
    <t xml:space="preserve">Total of all numbers</t>
  </si>
  <si>
    <t xml:space="preserve">Annual revenue, total costs, headcount</t>
  </si>
  <si>
    <t xml:space="preserve">=AVERAGE(range)</t>
  </si>
  <si>
    <t xml:space="preserve">Mean (total ÷ count)</t>
  </si>
  <si>
    <t xml:space="preserve">Typical month, average order size</t>
  </si>
  <si>
    <t xml:space="preserve">=MAX(range)</t>
  </si>
  <si>
    <t xml:space="preserve">Highest value in range</t>
  </si>
  <si>
    <t xml:space="preserve">Peak month, best sale, highest cost</t>
  </si>
  <si>
    <t xml:space="preserve">=MIN(range)</t>
  </si>
  <si>
    <t xml:space="preserve">Lowest value in range</t>
  </si>
  <si>
    <t xml:space="preserve">Slowest month, minimum order, lowest score</t>
  </si>
  <si>
    <t xml:space="preserve">=COUNT(range)</t>
  </si>
  <si>
    <t xml:space="preserve"># of numeric cells</t>
  </si>
  <si>
    <t xml:space="preserve">Data completeness check, how many entries</t>
  </si>
  <si>
    <t xml:space="preserve">=COUNTA(range)</t>
  </si>
  <si>
    <t xml:space="preserve"># of non-empty cells</t>
  </si>
  <si>
    <t xml:space="preserve">Row count including text labels</t>
  </si>
  <si>
    <t xml:space="preserve">Reference Types (same rules apply inside function arguments)</t>
  </si>
  <si>
    <t xml:space="preserve">Relative</t>
  </si>
  <si>
    <t xml:space="preserve">=SUM(B2:B13)</t>
  </si>
  <si>
    <t xml:space="preserve">Range moves when copied — use for column-by-column analysis</t>
  </si>
  <si>
    <t xml:space="preserve">Absolute</t>
  </si>
  <si>
    <t xml:space="preserve">=SUM($B$2:$B$13)</t>
  </si>
  <si>
    <t xml:space="preserve">Range locked — use when every formula needs the same range</t>
  </si>
  <si>
    <t xml:space="preserve">F4 shortcut</t>
  </si>
  <si>
    <t xml:space="preserve">F4 key after typing range</t>
  </si>
  <si>
    <t xml:space="preserve">Cycles: $B$2:$B$13 → B$2:B$13 → $B2:$B13 → B2:B13</t>
  </si>
  <si>
    <t xml:space="preserve">BUS 123 · Gerrish School of Business · Endicott College · Fall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</si>
</sst>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#,##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2"/>
      <color rgb="FFDDE8F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E1116"/>
      <name val="Calibri"/>
      <family val="0"/>
      <charset val="1"/>
    </font>
    <font>
      <i val="true"/>
      <sz val="9"/>
      <color rgb="FF8899A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0"/>
      <color rgb="FF9C4A2B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DDE8F0"/>
      <name val="Calibri"/>
      <family val="0"/>
      <charset val="1"/>
    </font>
    <font>
      <sz val="11"/>
      <color rgb="FF1A6B3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4A7C5E"/>
      <name val="Calibri"/>
      <family val="0"/>
      <charset val="1"/>
    </font>
    <font>
      <b val="true"/>
      <sz val="11"/>
      <color rgb="FF1A6B3C"/>
      <name val="Calibri"/>
      <family val="0"/>
      <charset val="1"/>
    </font>
    <font>
      <i val="true"/>
      <sz val="11"/>
      <color rgb="FF888888"/>
      <name val="Calibri"/>
      <family val="0"/>
      <charset val="1"/>
    </font>
    <font>
      <b val="true"/>
      <sz val="13"/>
      <color rgb="FF276221"/>
      <name val="Calibri"/>
      <family val="0"/>
      <charset val="1"/>
    </font>
    <font>
      <i val="true"/>
      <sz val="10"/>
      <color rgb="FF4A5567"/>
      <name val="Calibri"/>
      <family val="0"/>
      <charset val="1"/>
    </font>
    <font>
      <sz val="10"/>
      <color rgb="FF0E1116"/>
      <name val="Calibri"/>
      <family val="0"/>
      <charset val="1"/>
    </font>
    <font>
      <sz val="10"/>
      <color rgb="FF1A6B3C"/>
      <name val="Calibri"/>
      <family val="0"/>
      <charset val="1"/>
    </font>
    <font>
      <i val="true"/>
      <sz val="10"/>
      <color rgb="FF4A7C5E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4A7C5E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4A7C5E"/>
      <name val="Calibri"/>
      <family val="0"/>
      <charset val="1"/>
    </font>
    <font>
      <b val="true"/>
      <sz val="11"/>
      <color rgb="FFB8843D"/>
      <name val="Courier New"/>
      <family val="0"/>
      <charset val="1"/>
    </font>
    <font>
      <sz val="11"/>
      <name val="Calibri"/>
      <family val="0"/>
      <charset val="1"/>
    </font>
    <font>
      <sz val="10"/>
      <color rgb="FFB8843D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1A2E"/>
        <bgColor rgb="FF0E1116"/>
      </patternFill>
    </fill>
    <fill>
      <patternFill patternType="solid">
        <fgColor rgb="FFB8843D"/>
        <bgColor rgb="FF888888"/>
      </patternFill>
    </fill>
    <fill>
      <patternFill patternType="solid">
        <fgColor rgb="FF1B2E48"/>
        <bgColor rgb="FF003366"/>
      </patternFill>
    </fill>
    <fill>
      <patternFill patternType="solid">
        <fgColor rgb="FF9C4A2B"/>
        <bgColor rgb="FF993366"/>
      </patternFill>
    </fill>
    <fill>
      <patternFill patternType="solid">
        <fgColor rgb="FFFFFFFF"/>
        <bgColor rgb="FFF2EEE5"/>
      </patternFill>
    </fill>
    <fill>
      <patternFill patternType="solid">
        <fgColor rgb="FFF2EEE5"/>
        <bgColor rgb="FFDDE8F0"/>
      </patternFill>
    </fill>
    <fill>
      <patternFill patternType="solid">
        <fgColor rgb="FFC6EFCE"/>
        <bgColor rgb="FFDDE8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 diagonalUp="false" diagonalDown="false">
      <left style="medium">
        <color rgb="FFB8843D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 diagonalUp="false" diagonalDown="false">
      <left style="thin">
        <color rgb="FFD0D8E0"/>
      </left>
      <right/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B8843D"/>
      <rgbColor rgb="FF800080"/>
      <rgbColor rgb="FF276221"/>
      <rgbColor rgb="FFC0C0C0"/>
      <rgbColor rgb="FF888888"/>
      <rgbColor rgb="FF9999FF"/>
      <rgbColor rgb="FF993366"/>
      <rgbColor rgb="FFF2EEE5"/>
      <rgbColor rgb="FFDDE8F0"/>
      <rgbColor rgb="FF660066"/>
      <rgbColor rgb="FFFF8080"/>
      <rgbColor rgb="FF0066CC"/>
      <rgbColor rgb="FFD0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7"/>
      <rgbColor rgb="FF8899AA"/>
      <rgbColor rgb="FF003366"/>
      <rgbColor rgb="FF4A7C5E"/>
      <rgbColor rgb="FF0C1A2E"/>
      <rgbColor rgb="FF0E1116"/>
      <rgbColor rgb="FF9C4A2B"/>
      <rgbColor rgb="FF993366"/>
      <rgbColor rgb="FF333399"/>
      <rgbColor rgb="FF1B2E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28"/>
    <col collapsed="false" customWidth="true" hidden="false" outlineLevel="0" max="5" min="5" style="1" width="3"/>
  </cols>
  <sheetData>
    <row r="1" customFormat="false" ht="7.5" hidden="false" customHeight="true" outlineLevel="0" collapsed="false"/>
    <row r="2" customFormat="false" ht="54" hidden="false" customHeight="true" outlineLevel="0" collapsed="false">
      <c r="B2" s="2" t="s">
        <v>0</v>
      </c>
      <c r="C2" s="2"/>
      <c r="D2" s="2"/>
    </row>
    <row r="3" customFormat="false" ht="4.5" hidden="false" customHeight="true" outlineLevel="0" collapsed="false">
      <c r="B3" s="3"/>
      <c r="C3" s="3"/>
      <c r="D3" s="3"/>
    </row>
    <row r="4" customFormat="false" ht="27.75" hidden="false" customHeight="true" outlineLevel="0" collapsed="false">
      <c r="B4" s="4" t="s">
        <v>1</v>
      </c>
      <c r="C4" s="4"/>
      <c r="D4" s="4"/>
    </row>
    <row r="5" customFormat="false" ht="12" hidden="false" customHeight="true" outlineLevel="0" collapsed="false"/>
    <row r="6" customFormat="false" ht="25.5" hidden="false" customHeight="true" outlineLevel="0" collapsed="false">
      <c r="B6" s="5" t="s">
        <v>2</v>
      </c>
      <c r="C6" s="5"/>
      <c r="D6" s="5"/>
    </row>
    <row r="7" customFormat="false" ht="18" hidden="false" customHeight="true" outlineLevel="0" collapsed="false">
      <c r="B7" s="6" t="s">
        <v>3</v>
      </c>
    </row>
    <row r="8" customFormat="false" ht="19.5" hidden="false" customHeight="true" outlineLevel="0" collapsed="false">
      <c r="B8" s="6" t="s">
        <v>4</v>
      </c>
      <c r="C8" s="7" t="s">
        <v>5</v>
      </c>
    </row>
    <row r="9" customFormat="false" ht="19.5" hidden="false" customHeight="true" outlineLevel="0" collapsed="false">
      <c r="B9" s="6" t="s">
        <v>6</v>
      </c>
      <c r="C9" s="7" t="s">
        <v>7</v>
      </c>
    </row>
    <row r="10" customFormat="false" ht="19.5" hidden="false" customHeight="true" outlineLevel="0" collapsed="false">
      <c r="B10" s="6" t="s">
        <v>8</v>
      </c>
      <c r="C10" s="7" t="s">
        <v>9</v>
      </c>
    </row>
    <row r="11" customFormat="false" ht="9.75" hidden="false" customHeight="true" outlineLevel="0" collapsed="false"/>
    <row r="12" customFormat="false" ht="25.5" hidden="false" customHeight="true" outlineLevel="0" collapsed="false">
      <c r="B12" s="5" t="s">
        <v>10</v>
      </c>
      <c r="C12" s="5"/>
      <c r="D12" s="5"/>
    </row>
    <row r="13" customFormat="false" ht="21.75" hidden="false" customHeight="true" outlineLevel="0" collapsed="false">
      <c r="B13" s="6" t="s">
        <v>11</v>
      </c>
      <c r="C13" s="7" t="s">
        <v>12</v>
      </c>
    </row>
    <row r="14" customFormat="false" ht="21.75" hidden="false" customHeight="true" outlineLevel="0" collapsed="false">
      <c r="B14" s="6" t="s">
        <v>13</v>
      </c>
      <c r="C14" s="7" t="s">
        <v>14</v>
      </c>
    </row>
    <row r="15" customFormat="false" ht="21.75" hidden="false" customHeight="true" outlineLevel="0" collapsed="false">
      <c r="B15" s="6" t="s">
        <v>15</v>
      </c>
      <c r="C15" s="7" t="s">
        <v>16</v>
      </c>
    </row>
    <row r="16" customFormat="false" ht="21.75" hidden="false" customHeight="true" outlineLevel="0" collapsed="false">
      <c r="B16" s="6" t="s">
        <v>17</v>
      </c>
      <c r="C16" s="7" t="s">
        <v>18</v>
      </c>
    </row>
    <row r="17" customFormat="false" ht="9.75" hidden="false" customHeight="true" outlineLevel="0" collapsed="false"/>
    <row r="18" customFormat="false" ht="25.5" hidden="false" customHeight="true" outlineLevel="0" collapsed="false">
      <c r="B18" s="5" t="s">
        <v>19</v>
      </c>
      <c r="C18" s="5"/>
      <c r="D18" s="5"/>
    </row>
    <row r="19" customFormat="false" ht="21.75" hidden="false" customHeight="true" outlineLevel="0" collapsed="false">
      <c r="B19" s="6" t="s">
        <v>20</v>
      </c>
      <c r="C19" s="7" t="s">
        <v>21</v>
      </c>
    </row>
    <row r="20" customFormat="false" ht="19.5" hidden="false" customHeight="true" outlineLevel="0" collapsed="false">
      <c r="B20" s="6" t="s">
        <v>22</v>
      </c>
      <c r="C20" s="7" t="s">
        <v>23</v>
      </c>
    </row>
    <row r="21" customFormat="false" ht="19.5" hidden="false" customHeight="true" outlineLevel="0" collapsed="false">
      <c r="B21" s="6" t="s">
        <v>24</v>
      </c>
      <c r="C21" s="7" t="s">
        <v>25</v>
      </c>
    </row>
    <row r="22" customFormat="false" ht="9.75" hidden="false" customHeight="true" outlineLevel="0" collapsed="false"/>
    <row r="23" customFormat="false" ht="25.5" hidden="false" customHeight="true" outlineLevel="0" collapsed="false">
      <c r="B23" s="5" t="s">
        <v>26</v>
      </c>
      <c r="C23" s="5"/>
      <c r="D23" s="5"/>
    </row>
    <row r="24" customFormat="false" ht="19.5" hidden="false" customHeight="true" outlineLevel="0" collapsed="false">
      <c r="B24" s="6" t="s">
        <v>27</v>
      </c>
      <c r="C24" s="7" t="s">
        <v>28</v>
      </c>
    </row>
    <row r="25" customFormat="false" ht="19.5" hidden="false" customHeight="true" outlineLevel="0" collapsed="false">
      <c r="B25" s="6" t="s">
        <v>29</v>
      </c>
      <c r="C25" s="7" t="s">
        <v>30</v>
      </c>
    </row>
    <row r="26" customFormat="false" ht="19.5" hidden="false" customHeight="true" outlineLevel="0" collapsed="false">
      <c r="B26" s="6" t="s">
        <v>31</v>
      </c>
      <c r="C26" s="7" t="s">
        <v>32</v>
      </c>
    </row>
    <row r="27" customFormat="false" ht="19.5" hidden="false" customHeight="true" outlineLevel="0" collapsed="false">
      <c r="B27" s="6" t="s">
        <v>33</v>
      </c>
      <c r="C27" s="7" t="s">
        <v>34</v>
      </c>
    </row>
    <row r="28" customFormat="false" ht="19.5" hidden="false" customHeight="true" outlineLevel="0" collapsed="false">
      <c r="B28" s="6" t="s">
        <v>35</v>
      </c>
      <c r="C28" s="7" t="s">
        <v>36</v>
      </c>
    </row>
    <row r="29" customFormat="false" ht="9.75" hidden="false" customHeight="true" outlineLevel="0" collapsed="false"/>
    <row r="30" customFormat="false" ht="19.5" hidden="false" customHeight="true" outlineLevel="0" collapsed="false">
      <c r="B30" s="8" t="s">
        <v>37</v>
      </c>
      <c r="C30" s="8"/>
      <c r="D30" s="8"/>
    </row>
  </sheetData>
  <mergeCells count="7">
    <mergeCell ref="B2:D2"/>
    <mergeCell ref="B4:D4"/>
    <mergeCell ref="B6:D6"/>
    <mergeCell ref="B12:D12"/>
    <mergeCell ref="B18:D18"/>
    <mergeCell ref="B23:D23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4"/>
    <col collapsed="false" customWidth="true" hidden="false" outlineLevel="0" max="6" min="6" style="1" width="22"/>
  </cols>
  <sheetData>
    <row r="1" customFormat="false" ht="31.5" hidden="false" customHeight="true" outlineLevel="0" collapsed="false">
      <c r="A1" s="9" t="s">
        <v>38</v>
      </c>
      <c r="B1" s="9"/>
      <c r="C1" s="9"/>
      <c r="D1" s="9"/>
      <c r="E1" s="9"/>
      <c r="F1" s="9"/>
    </row>
    <row r="2" customFormat="false" ht="18" hidden="false" customHeight="true" outlineLevel="0" collapsed="false">
      <c r="A2" s="10" t="s">
        <v>39</v>
      </c>
      <c r="B2" s="10"/>
      <c r="C2" s="10"/>
      <c r="D2" s="10"/>
      <c r="E2" s="10"/>
      <c r="F2" s="10"/>
    </row>
    <row r="3" customFormat="false" ht="7.5" hidden="false" customHeight="true" outlineLevel="0" collapsed="false"/>
    <row r="4" customFormat="false" ht="18" hidden="false" customHeight="true" outlineLevel="0" collapsed="false">
      <c r="A4" s="11" t="s">
        <v>40</v>
      </c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</row>
    <row r="5" customFormat="false" ht="15.75" hidden="false" customHeight="true" outlineLevel="0" collapsed="false">
      <c r="A5" s="11" t="s">
        <v>46</v>
      </c>
      <c r="B5" s="11" t="n">
        <v>8200</v>
      </c>
      <c r="C5" s="11" t="n">
        <v>6400</v>
      </c>
      <c r="D5" s="11" t="n">
        <v>3800</v>
      </c>
      <c r="E5" s="11" t="n">
        <v>4</v>
      </c>
      <c r="F5" s="11" t="s">
        <v>47</v>
      </c>
    </row>
    <row r="6" customFormat="false" ht="15.75" hidden="false" customHeight="true" outlineLevel="0" collapsed="false">
      <c r="A6" s="11" t="s">
        <v>48</v>
      </c>
      <c r="B6" s="11" t="n">
        <v>10100</v>
      </c>
      <c r="C6" s="11" t="n">
        <v>7900</v>
      </c>
      <c r="D6" s="11" t="n">
        <v>4100</v>
      </c>
      <c r="E6" s="11" t="n">
        <v>3</v>
      </c>
      <c r="F6" s="11"/>
    </row>
    <row r="7" customFormat="false" ht="15.75" hidden="false" customHeight="true" outlineLevel="0" collapsed="false">
      <c r="A7" s="11" t="s">
        <v>49</v>
      </c>
      <c r="B7" s="11" t="n">
        <v>14500</v>
      </c>
      <c r="C7" s="11" t="n">
        <v>9600</v>
      </c>
      <c r="D7" s="11" t="n">
        <v>7500</v>
      </c>
      <c r="E7" s="11" t="n">
        <v>6</v>
      </c>
      <c r="F7" s="11"/>
    </row>
    <row r="8" customFormat="false" ht="15.75" hidden="false" customHeight="true" outlineLevel="0" collapsed="false">
      <c r="A8" s="11" t="s">
        <v>50</v>
      </c>
      <c r="B8" s="11" t="n">
        <v>23800</v>
      </c>
      <c r="C8" s="11" t="n">
        <v>11200</v>
      </c>
      <c r="D8" s="11" t="n">
        <v>9200</v>
      </c>
      <c r="E8" s="11" t="n">
        <v>8</v>
      </c>
      <c r="F8" s="11"/>
    </row>
    <row r="9" customFormat="false" ht="15.75" hidden="false" customHeight="true" outlineLevel="0" collapsed="false">
      <c r="A9" s="11" t="s">
        <v>51</v>
      </c>
      <c r="B9" s="11" t="n">
        <v>41200</v>
      </c>
      <c r="C9" s="11" t="n">
        <v>14600</v>
      </c>
      <c r="D9" s="11" t="n">
        <v>12000</v>
      </c>
      <c r="E9" s="11" t="n">
        <v>12</v>
      </c>
      <c r="F9" s="11"/>
    </row>
    <row r="10" customFormat="false" ht="15.75" hidden="false" customHeight="true" outlineLevel="0" collapsed="false">
      <c r="A10" s="11" t="s">
        <v>52</v>
      </c>
      <c r="B10" s="11" t="n">
        <v>58400</v>
      </c>
      <c r="C10" s="11" t="n">
        <v>18300</v>
      </c>
      <c r="D10" s="11" t="n">
        <v>12800</v>
      </c>
      <c r="E10" s="11" t="n">
        <v>16</v>
      </c>
      <c r="F10" s="11" t="s">
        <v>53</v>
      </c>
    </row>
    <row r="11" customFormat="false" ht="15.75" hidden="false" customHeight="true" outlineLevel="0" collapsed="false">
      <c r="A11" s="11" t="s">
        <v>54</v>
      </c>
      <c r="B11" s="11" t="n">
        <v>52100</v>
      </c>
      <c r="C11" s="11" t="n">
        <v>16800</v>
      </c>
      <c r="D11" s="11" t="n">
        <v>11600</v>
      </c>
      <c r="E11" s="11" t="n">
        <v>14</v>
      </c>
      <c r="F11" s="11"/>
    </row>
    <row r="12" customFormat="false" ht="15.75" hidden="false" customHeight="true" outlineLevel="0" collapsed="false">
      <c r="A12" s="11" t="s">
        <v>55</v>
      </c>
      <c r="B12" s="11" t="n">
        <v>48300</v>
      </c>
      <c r="C12" s="11" t="n">
        <v>15200</v>
      </c>
      <c r="D12" s="11" t="n">
        <v>10800</v>
      </c>
      <c r="E12" s="11" t="n">
        <v>13</v>
      </c>
      <c r="F12" s="11"/>
    </row>
    <row r="13" customFormat="false" ht="15.75" hidden="false" customHeight="true" outlineLevel="0" collapsed="false">
      <c r="A13" s="11" t="s">
        <v>56</v>
      </c>
      <c r="B13" s="11" t="n">
        <v>38600</v>
      </c>
      <c r="C13" s="11" t="n">
        <v>13400</v>
      </c>
      <c r="D13" s="11" t="n">
        <v>9400</v>
      </c>
      <c r="E13" s="11" t="n">
        <v>11</v>
      </c>
      <c r="F13" s="11"/>
    </row>
    <row r="14" customFormat="false" ht="15.75" hidden="false" customHeight="true" outlineLevel="0" collapsed="false">
      <c r="A14" s="11" t="s">
        <v>57</v>
      </c>
      <c r="B14" s="11" t="n">
        <v>21400</v>
      </c>
      <c r="C14" s="11" t="n">
        <v>10100</v>
      </c>
      <c r="D14" s="11" t="n">
        <v>7900</v>
      </c>
      <c r="E14" s="11" t="n">
        <v>7</v>
      </c>
      <c r="F14" s="11"/>
    </row>
    <row r="15" customFormat="false" ht="15.75" hidden="false" customHeight="true" outlineLevel="0" collapsed="false">
      <c r="A15" s="11" t="s">
        <v>58</v>
      </c>
      <c r="B15" s="11" t="n">
        <v>12800</v>
      </c>
      <c r="C15" s="11" t="n">
        <v>8200</v>
      </c>
      <c r="D15" s="11" t="n">
        <v>5300</v>
      </c>
      <c r="E15" s="11" t="n">
        <v>5</v>
      </c>
      <c r="F15" s="11" t="s">
        <v>59</v>
      </c>
    </row>
    <row r="16" customFormat="false" ht="15.75" hidden="false" customHeight="true" outlineLevel="0" collapsed="false">
      <c r="A16" s="11" t="s">
        <v>60</v>
      </c>
      <c r="B16" s="11" t="n">
        <v>9700</v>
      </c>
      <c r="C16" s="11" t="n">
        <v>7100</v>
      </c>
      <c r="D16" s="11" t="n">
        <v>4200</v>
      </c>
      <c r="E16" s="11" t="n">
        <v>4</v>
      </c>
      <c r="F16" s="11" t="s">
        <v>59</v>
      </c>
    </row>
    <row r="17" customFormat="false" ht="7.5" hidden="false" customHeight="true" outlineLevel="0" collapsed="false"/>
    <row r="18" customFormat="false" ht="15" hidden="false" customHeight="true" outlineLevel="0" collapsed="false">
      <c r="A18" s="12" t="s">
        <v>61</v>
      </c>
      <c r="B18" s="12"/>
      <c r="C18" s="12"/>
      <c r="D18" s="12"/>
      <c r="E18" s="12"/>
      <c r="F18" s="12"/>
    </row>
  </sheetData>
  <mergeCells count="3">
    <mergeCell ref="A1:F1"/>
    <mergeCell ref="A2:F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3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13" t="s">
        <v>62</v>
      </c>
      <c r="C2" s="13"/>
      <c r="D2" s="13"/>
      <c r="E2" s="13"/>
      <c r="F2" s="13"/>
      <c r="G2" s="13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</row>
    <row r="4" customFormat="false" ht="21.75" hidden="false" customHeight="true" outlineLevel="0" collapsed="false">
      <c r="B4" s="14" t="s">
        <v>1</v>
      </c>
      <c r="C4" s="14"/>
      <c r="D4" s="14"/>
      <c r="E4" s="14"/>
      <c r="F4" s="14"/>
      <c r="G4" s="14"/>
    </row>
    <row r="5" customFormat="false" ht="9.75" hidden="false" customHeight="true" outlineLevel="0" collapsed="false"/>
    <row r="6" customFormat="false" ht="24" hidden="false" customHeight="true" outlineLevel="0" collapsed="false">
      <c r="B6" s="5" t="s">
        <v>63</v>
      </c>
      <c r="C6" s="5"/>
      <c r="D6" s="5"/>
      <c r="E6" s="5"/>
      <c r="F6" s="5"/>
      <c r="G6" s="5"/>
    </row>
    <row r="7" customFormat="false" ht="19.5" hidden="false" customHeight="true" outlineLevel="0" collapsed="false">
      <c r="B7" s="10" t="s">
        <v>64</v>
      </c>
      <c r="C7" s="10"/>
      <c r="D7" s="10"/>
      <c r="E7" s="10"/>
      <c r="F7" s="10"/>
      <c r="G7" s="10"/>
    </row>
    <row r="8" customFormat="false" ht="24" hidden="false" customHeight="true" outlineLevel="0" collapsed="false">
      <c r="B8" s="15"/>
      <c r="C8" s="15" t="s">
        <v>65</v>
      </c>
      <c r="D8" s="16" t="s">
        <v>66</v>
      </c>
      <c r="E8" s="16" t="s">
        <v>67</v>
      </c>
      <c r="F8" s="16" t="s">
        <v>68</v>
      </c>
      <c r="G8" s="16" t="s">
        <v>69</v>
      </c>
      <c r="H8" s="16" t="s">
        <v>70</v>
      </c>
    </row>
    <row r="9" customFormat="false" ht="15" hidden="false" customHeight="true" outlineLevel="0" collapsed="false">
      <c r="B9" s="17" t="str">
        <f aca="false">'Raw Data'!A5</f>
        <v>January</v>
      </c>
      <c r="C9" s="18" t="n">
        <f aca="false">'Raw Data'!B5</f>
        <v>8200</v>
      </c>
      <c r="D9" s="18" t="n">
        <f aca="false">'Raw Data'!C5</f>
        <v>6400</v>
      </c>
      <c r="E9" s="18" t="n">
        <f aca="false">'Raw Data'!D5</f>
        <v>3800</v>
      </c>
      <c r="F9" s="19" t="n">
        <f aca="false">C9+D9+E9</f>
        <v>18400</v>
      </c>
      <c r="G9" s="18" t="n">
        <f aca="false">'Raw Data'!E5</f>
        <v>4</v>
      </c>
    </row>
    <row r="10" customFormat="false" ht="15" hidden="false" customHeight="true" outlineLevel="0" collapsed="false">
      <c r="B10" s="20" t="str">
        <f aca="false">'Raw Data'!A6</f>
        <v>February</v>
      </c>
      <c r="C10" s="21" t="n">
        <f aca="false">'Raw Data'!B6</f>
        <v>10100</v>
      </c>
      <c r="D10" s="21" t="n">
        <f aca="false">'Raw Data'!C6</f>
        <v>7900</v>
      </c>
      <c r="E10" s="21" t="n">
        <f aca="false">'Raw Data'!D6</f>
        <v>4100</v>
      </c>
      <c r="F10" s="19" t="n">
        <f aca="false">C10+D10+E10</f>
        <v>22100</v>
      </c>
      <c r="G10" s="21" t="n">
        <f aca="false">'Raw Data'!E6</f>
        <v>3</v>
      </c>
    </row>
    <row r="11" customFormat="false" ht="15" hidden="false" customHeight="true" outlineLevel="0" collapsed="false">
      <c r="B11" s="17" t="str">
        <f aca="false">'Raw Data'!A7</f>
        <v>March</v>
      </c>
      <c r="C11" s="18" t="n">
        <f aca="false">'Raw Data'!B7</f>
        <v>14500</v>
      </c>
      <c r="D11" s="18" t="n">
        <f aca="false">'Raw Data'!C7</f>
        <v>9600</v>
      </c>
      <c r="E11" s="18" t="n">
        <f aca="false">'Raw Data'!D7</f>
        <v>7500</v>
      </c>
      <c r="F11" s="19" t="n">
        <f aca="false">C11+D11+E11</f>
        <v>31600</v>
      </c>
      <c r="G11" s="18" t="n">
        <f aca="false">'Raw Data'!E7</f>
        <v>6</v>
      </c>
    </row>
    <row r="12" customFormat="false" ht="15" hidden="false" customHeight="true" outlineLevel="0" collapsed="false">
      <c r="B12" s="20" t="str">
        <f aca="false">'Raw Data'!A8</f>
        <v>April</v>
      </c>
      <c r="C12" s="21" t="n">
        <f aca="false">'Raw Data'!B8</f>
        <v>23800</v>
      </c>
      <c r="D12" s="21" t="n">
        <f aca="false">'Raw Data'!C8</f>
        <v>11200</v>
      </c>
      <c r="E12" s="21" t="n">
        <f aca="false">'Raw Data'!D8</f>
        <v>9200</v>
      </c>
      <c r="F12" s="19" t="n">
        <f aca="false">C12+D12+E12</f>
        <v>44200</v>
      </c>
      <c r="G12" s="21" t="n">
        <f aca="false">'Raw Data'!E8</f>
        <v>8</v>
      </c>
    </row>
    <row r="13" customFormat="false" ht="15" hidden="false" customHeight="true" outlineLevel="0" collapsed="false">
      <c r="B13" s="17" t="str">
        <f aca="false">'Raw Data'!A9</f>
        <v>May</v>
      </c>
      <c r="C13" s="18" t="n">
        <f aca="false">'Raw Data'!B9</f>
        <v>41200</v>
      </c>
      <c r="D13" s="18" t="n">
        <f aca="false">'Raw Data'!C9</f>
        <v>14600</v>
      </c>
      <c r="E13" s="18" t="n">
        <f aca="false">'Raw Data'!D9</f>
        <v>12000</v>
      </c>
      <c r="F13" s="19" t="n">
        <f aca="false">C13+D13+E13</f>
        <v>67800</v>
      </c>
      <c r="G13" s="18" t="n">
        <f aca="false">'Raw Data'!E9</f>
        <v>12</v>
      </c>
    </row>
    <row r="14" customFormat="false" ht="15" hidden="false" customHeight="true" outlineLevel="0" collapsed="false">
      <c r="B14" s="20" t="str">
        <f aca="false">'Raw Data'!A10</f>
        <v>June</v>
      </c>
      <c r="C14" s="21" t="n">
        <f aca="false">'Raw Data'!B10</f>
        <v>58400</v>
      </c>
      <c r="D14" s="21" t="n">
        <f aca="false">'Raw Data'!C10</f>
        <v>18300</v>
      </c>
      <c r="E14" s="21" t="n">
        <f aca="false">'Raw Data'!D10</f>
        <v>12800</v>
      </c>
      <c r="F14" s="19" t="n">
        <f aca="false">C14+D14+E14</f>
        <v>89500</v>
      </c>
      <c r="G14" s="21" t="n">
        <f aca="false">'Raw Data'!E10</f>
        <v>16</v>
      </c>
    </row>
    <row r="15" customFormat="false" ht="15" hidden="false" customHeight="true" outlineLevel="0" collapsed="false">
      <c r="B15" s="17" t="str">
        <f aca="false">'Raw Data'!A11</f>
        <v>July</v>
      </c>
      <c r="C15" s="18" t="n">
        <f aca="false">'Raw Data'!B11</f>
        <v>52100</v>
      </c>
      <c r="D15" s="18" t="n">
        <f aca="false">'Raw Data'!C11</f>
        <v>16800</v>
      </c>
      <c r="E15" s="18" t="n">
        <f aca="false">'Raw Data'!D11</f>
        <v>11600</v>
      </c>
      <c r="F15" s="19" t="n">
        <f aca="false">C15+D15+E15</f>
        <v>80500</v>
      </c>
      <c r="G15" s="18" t="n">
        <f aca="false">'Raw Data'!E11</f>
        <v>14</v>
      </c>
    </row>
    <row r="16" customFormat="false" ht="15" hidden="false" customHeight="true" outlineLevel="0" collapsed="false">
      <c r="B16" s="20" t="str">
        <f aca="false">'Raw Data'!A12</f>
        <v>August</v>
      </c>
      <c r="C16" s="21" t="n">
        <f aca="false">'Raw Data'!B12</f>
        <v>48300</v>
      </c>
      <c r="D16" s="21" t="n">
        <f aca="false">'Raw Data'!C12</f>
        <v>15200</v>
      </c>
      <c r="E16" s="21" t="n">
        <f aca="false">'Raw Data'!D12</f>
        <v>10800</v>
      </c>
      <c r="F16" s="19" t="n">
        <f aca="false">C16+D16+E16</f>
        <v>74300</v>
      </c>
      <c r="G16" s="21" t="n">
        <f aca="false">'Raw Data'!E12</f>
        <v>13</v>
      </c>
    </row>
    <row r="17" customFormat="false" ht="15" hidden="false" customHeight="true" outlineLevel="0" collapsed="false">
      <c r="B17" s="17" t="str">
        <f aca="false">'Raw Data'!A13</f>
        <v>September</v>
      </c>
      <c r="C17" s="18" t="n">
        <f aca="false">'Raw Data'!B13</f>
        <v>38600</v>
      </c>
      <c r="D17" s="18" t="n">
        <f aca="false">'Raw Data'!C13</f>
        <v>13400</v>
      </c>
      <c r="E17" s="18" t="n">
        <f aca="false">'Raw Data'!D13</f>
        <v>9400</v>
      </c>
      <c r="F17" s="19" t="n">
        <f aca="false">C17+D17+E17</f>
        <v>61400</v>
      </c>
      <c r="G17" s="18" t="n">
        <f aca="false">'Raw Data'!E13</f>
        <v>11</v>
      </c>
    </row>
    <row r="18" customFormat="false" ht="15" hidden="false" customHeight="true" outlineLevel="0" collapsed="false">
      <c r="B18" s="20" t="str">
        <f aca="false">'Raw Data'!A14</f>
        <v>October</v>
      </c>
      <c r="C18" s="21" t="n">
        <f aca="false">'Raw Data'!B14</f>
        <v>21400</v>
      </c>
      <c r="D18" s="21" t="n">
        <f aca="false">'Raw Data'!C14</f>
        <v>10100</v>
      </c>
      <c r="E18" s="21" t="n">
        <f aca="false">'Raw Data'!D14</f>
        <v>7900</v>
      </c>
      <c r="F18" s="19" t="n">
        <f aca="false">C18+D18+E18</f>
        <v>39400</v>
      </c>
      <c r="G18" s="21" t="n">
        <f aca="false">'Raw Data'!E14</f>
        <v>7</v>
      </c>
    </row>
    <row r="19" customFormat="false" ht="15" hidden="false" customHeight="true" outlineLevel="0" collapsed="false">
      <c r="B19" s="17" t="str">
        <f aca="false">'Raw Data'!A15</f>
        <v>November</v>
      </c>
      <c r="C19" s="18" t="n">
        <f aca="false">'Raw Data'!B15</f>
        <v>12800</v>
      </c>
      <c r="D19" s="18" t="n">
        <f aca="false">'Raw Data'!C15</f>
        <v>8200</v>
      </c>
      <c r="E19" s="18" t="n">
        <f aca="false">'Raw Data'!D15</f>
        <v>5300</v>
      </c>
      <c r="F19" s="19" t="n">
        <f aca="false">C19+D19+E19</f>
        <v>26300</v>
      </c>
      <c r="G19" s="18" t="n">
        <f aca="false">'Raw Data'!E15</f>
        <v>5</v>
      </c>
    </row>
    <row r="20" customFormat="false" ht="15" hidden="false" customHeight="true" outlineLevel="0" collapsed="false">
      <c r="B20" s="20" t="str">
        <f aca="false">'Raw Data'!A16</f>
        <v>December</v>
      </c>
      <c r="C20" s="21" t="n">
        <f aca="false">'Raw Data'!B16</f>
        <v>9700</v>
      </c>
      <c r="D20" s="21" t="n">
        <f aca="false">'Raw Data'!C16</f>
        <v>7100</v>
      </c>
      <c r="E20" s="21" t="n">
        <f aca="false">'Raw Data'!D16</f>
        <v>4200</v>
      </c>
      <c r="F20" s="19" t="n">
        <f aca="false">C20+D20+E20</f>
        <v>21000</v>
      </c>
      <c r="G20" s="21" t="n">
        <f aca="false">'Raw Data'!E16</f>
        <v>4</v>
      </c>
    </row>
    <row r="21" customFormat="false" ht="7.5" hidden="false" customHeight="true" outlineLevel="0" collapsed="false"/>
    <row r="22" customFormat="false" ht="24" hidden="false" customHeight="true" outlineLevel="0" collapsed="false">
      <c r="B22" s="5" t="s">
        <v>71</v>
      </c>
      <c r="C22" s="5"/>
      <c r="D22" s="5"/>
      <c r="E22" s="5"/>
      <c r="F22" s="5"/>
      <c r="G22" s="5"/>
    </row>
    <row r="23" customFormat="false" ht="19.5" hidden="false" customHeight="true" outlineLevel="0" collapsed="false">
      <c r="B23" s="10" t="s">
        <v>72</v>
      </c>
      <c r="C23" s="10"/>
      <c r="D23" s="10"/>
      <c r="E23" s="10"/>
      <c r="F23" s="10"/>
      <c r="G23" s="10"/>
    </row>
    <row r="24" customFormat="false" ht="25.5" hidden="false" customHeight="true" outlineLevel="0" collapsed="false">
      <c r="B24" s="22" t="s">
        <v>73</v>
      </c>
      <c r="C24" s="22" t="s">
        <v>74</v>
      </c>
      <c r="D24" s="22" t="s">
        <v>75</v>
      </c>
      <c r="E24" s="22" t="s">
        <v>76</v>
      </c>
      <c r="F24" s="22" t="s">
        <v>77</v>
      </c>
    </row>
    <row r="25" customFormat="false" ht="24" hidden="false" customHeight="true" outlineLevel="0" collapsed="false">
      <c r="B25" s="23" t="s">
        <v>78</v>
      </c>
      <c r="C25" s="24" t="n">
        <f aca="false">SUM(F9:F20)</f>
        <v>576500</v>
      </c>
      <c r="D25" s="25" t="n">
        <v>531600</v>
      </c>
      <c r="E25" s="26" t="s">
        <v>79</v>
      </c>
      <c r="F25" s="27" t="s">
        <v>80</v>
      </c>
    </row>
    <row r="26" customFormat="false" ht="24" hidden="false" customHeight="true" outlineLevel="0" collapsed="false">
      <c r="B26" s="28" t="s">
        <v>81</v>
      </c>
      <c r="C26" s="24" t="n">
        <f aca="false">AVERAGE(F9:F20)</f>
        <v>48041.6666666667</v>
      </c>
      <c r="D26" s="29" t="n">
        <v>44300</v>
      </c>
      <c r="E26" s="26" t="s">
        <v>79</v>
      </c>
      <c r="F26" s="30" t="s">
        <v>82</v>
      </c>
    </row>
    <row r="27" customFormat="false" ht="24" hidden="false" customHeight="true" outlineLevel="0" collapsed="false">
      <c r="B27" s="23" t="s">
        <v>83</v>
      </c>
      <c r="C27" s="24" t="n">
        <f aca="false">MAX(F9:F20)</f>
        <v>89500</v>
      </c>
      <c r="D27" s="25" t="n">
        <v>89500</v>
      </c>
      <c r="E27" s="26" t="s">
        <v>79</v>
      </c>
      <c r="F27" s="27" t="s">
        <v>84</v>
      </c>
    </row>
    <row r="28" customFormat="false" ht="24" hidden="false" customHeight="true" outlineLevel="0" collapsed="false">
      <c r="B28" s="28" t="s">
        <v>85</v>
      </c>
      <c r="C28" s="24" t="n">
        <f aca="false">MIN(F9:F20)</f>
        <v>18400</v>
      </c>
      <c r="D28" s="29" t="n">
        <v>17500</v>
      </c>
      <c r="E28" s="26" t="s">
        <v>79</v>
      </c>
      <c r="F28" s="30" t="s">
        <v>86</v>
      </c>
    </row>
    <row r="29" customFormat="false" ht="24" hidden="false" customHeight="true" outlineLevel="0" collapsed="false">
      <c r="B29" s="23" t="s">
        <v>87</v>
      </c>
      <c r="C29" s="31" t="n">
        <f aca="false">COUNT(F9:F20)</f>
        <v>12</v>
      </c>
      <c r="D29" s="32" t="n">
        <v>12</v>
      </c>
      <c r="E29" s="26" t="s">
        <v>79</v>
      </c>
      <c r="F29" s="27" t="s">
        <v>88</v>
      </c>
    </row>
    <row r="30" customFormat="false" ht="24" hidden="false" customHeight="true" outlineLevel="0" collapsed="false">
      <c r="B30" s="28" t="s">
        <v>89</v>
      </c>
      <c r="C30" s="31" t="n">
        <f aca="false">COUNTA(B9:B20)</f>
        <v>12</v>
      </c>
      <c r="D30" s="33" t="n">
        <v>12</v>
      </c>
      <c r="E30" s="26" t="s">
        <v>79</v>
      </c>
      <c r="F30" s="30" t="s">
        <v>90</v>
      </c>
    </row>
    <row r="31" customFormat="false" ht="9.75" hidden="false" customHeight="true" outlineLevel="0" collapsed="false"/>
    <row r="32" customFormat="false" ht="24" hidden="false" customHeight="true" outlineLevel="0" collapsed="false">
      <c r="B32" s="5" t="s">
        <v>91</v>
      </c>
      <c r="C32" s="5"/>
      <c r="D32" s="5"/>
      <c r="E32" s="5"/>
      <c r="F32" s="5"/>
      <c r="G32" s="5"/>
    </row>
    <row r="33" customFormat="false" ht="36" hidden="false" customHeight="true" outlineLevel="0" collapsed="false">
      <c r="B33" s="34" t="s">
        <v>92</v>
      </c>
      <c r="C33" s="35" t="s">
        <v>52</v>
      </c>
      <c r="D33" s="35"/>
      <c r="E33" s="35"/>
      <c r="F33" s="35"/>
      <c r="G33" s="35"/>
    </row>
    <row r="34" customFormat="false" ht="36" hidden="false" customHeight="true" outlineLevel="0" collapsed="false">
      <c r="B34" s="34" t="s">
        <v>93</v>
      </c>
      <c r="C34" s="35" t="s">
        <v>94</v>
      </c>
      <c r="D34" s="35"/>
      <c r="E34" s="35"/>
      <c r="F34" s="35"/>
      <c r="G34" s="35"/>
    </row>
    <row r="35" customFormat="false" ht="36" hidden="false" customHeight="true" outlineLevel="0" collapsed="false">
      <c r="B35" s="34" t="s">
        <v>95</v>
      </c>
      <c r="C35" s="35" t="s">
        <v>96</v>
      </c>
      <c r="D35" s="35"/>
      <c r="E35" s="35"/>
      <c r="F35" s="35"/>
      <c r="G35" s="35"/>
    </row>
    <row r="36" customFormat="false" ht="36" hidden="false" customHeight="true" outlineLevel="0" collapsed="false">
      <c r="B36" s="34" t="s">
        <v>97</v>
      </c>
      <c r="C36" s="35" t="s">
        <v>98</v>
      </c>
      <c r="D36" s="35"/>
      <c r="E36" s="35"/>
      <c r="F36" s="35"/>
      <c r="G36" s="35"/>
    </row>
    <row r="37" customFormat="false" ht="9.75" hidden="false" customHeight="true" outlineLevel="0" collapsed="false"/>
    <row r="38" customFormat="false" ht="18" hidden="false" customHeight="true" outlineLevel="0" collapsed="false">
      <c r="B38" s="8" t="s">
        <v>37</v>
      </c>
      <c r="C38" s="8"/>
      <c r="D38" s="8"/>
      <c r="E38" s="8"/>
      <c r="F38" s="8"/>
      <c r="G38" s="8"/>
    </row>
  </sheetData>
  <mergeCells count="12">
    <mergeCell ref="B2:G2"/>
    <mergeCell ref="B4:G4"/>
    <mergeCell ref="B6:G6"/>
    <mergeCell ref="B7:G7"/>
    <mergeCell ref="B22:G22"/>
    <mergeCell ref="B23:G23"/>
    <mergeCell ref="B32:G32"/>
    <mergeCell ref="C33:G33"/>
    <mergeCell ref="C34:G34"/>
    <mergeCell ref="C35:G35"/>
    <mergeCell ref="C36:G36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7" min="3" style="1" width="16"/>
    <col collapsed="false" customWidth="true" hidden="false" outlineLevel="0" max="8" min="8" style="1" width="14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13" t="s">
        <v>99</v>
      </c>
      <c r="C2" s="13"/>
      <c r="D2" s="13"/>
      <c r="E2" s="13"/>
      <c r="F2" s="13"/>
      <c r="G2" s="13"/>
      <c r="H2" s="13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14" t="s">
        <v>100</v>
      </c>
      <c r="C4" s="14"/>
      <c r="D4" s="14"/>
      <c r="E4" s="14"/>
      <c r="F4" s="14"/>
      <c r="G4" s="14"/>
      <c r="H4" s="14"/>
    </row>
    <row r="5" customFormat="false" ht="9.75" hidden="false" customHeight="true" outlineLevel="0" collapsed="false"/>
    <row r="6" customFormat="false" ht="24" hidden="false" customHeight="true" outlineLevel="0" collapsed="false">
      <c r="B6" s="5" t="s">
        <v>101</v>
      </c>
      <c r="C6" s="5"/>
      <c r="D6" s="5"/>
      <c r="E6" s="5"/>
      <c r="F6" s="5"/>
      <c r="G6" s="5"/>
      <c r="H6" s="5"/>
    </row>
    <row r="7" customFormat="false" ht="19.5" hidden="false" customHeight="true" outlineLevel="0" collapsed="false">
      <c r="B7" s="10" t="s">
        <v>102</v>
      </c>
      <c r="C7" s="10"/>
      <c r="D7" s="10"/>
      <c r="E7" s="10"/>
      <c r="F7" s="10"/>
      <c r="G7" s="10"/>
      <c r="H7" s="10"/>
    </row>
    <row r="8" customFormat="false" ht="24" hidden="false" customHeight="true" outlineLevel="0" collapsed="false">
      <c r="B8" s="15"/>
      <c r="C8" s="15" t="s">
        <v>65</v>
      </c>
      <c r="D8" s="16" t="s">
        <v>66</v>
      </c>
      <c r="E8" s="16" t="s">
        <v>67</v>
      </c>
      <c r="F8" s="16" t="s">
        <v>68</v>
      </c>
      <c r="G8" s="16" t="s">
        <v>69</v>
      </c>
      <c r="H8" s="16" t="s">
        <v>70</v>
      </c>
      <c r="I8" s="16"/>
    </row>
    <row r="9" customFormat="false" ht="19.5" hidden="false" customHeight="true" outlineLevel="0" collapsed="false">
      <c r="B9" s="17" t="str">
        <f aca="false">'Raw Data'!A5</f>
        <v>January</v>
      </c>
      <c r="C9" s="36" t="n">
        <f aca="false">'Raw Data'!B5</f>
        <v>8200</v>
      </c>
      <c r="D9" s="36" t="n">
        <f aca="false">'Raw Data'!C5</f>
        <v>6400</v>
      </c>
      <c r="E9" s="36" t="n">
        <f aca="false">'Raw Data'!D5</f>
        <v>3800</v>
      </c>
      <c r="F9" s="36" t="n">
        <f aca="false">'Raw Data'!B5+'Raw Data'!C5+'Raw Data'!D5</f>
        <v>18400</v>
      </c>
      <c r="G9" s="37" t="n">
        <f aca="false">'Raw Data'!E5</f>
        <v>4</v>
      </c>
    </row>
    <row r="10" customFormat="false" ht="19.5" hidden="false" customHeight="true" outlineLevel="0" collapsed="false">
      <c r="B10" s="20" t="str">
        <f aca="false">'Raw Data'!A6</f>
        <v>February</v>
      </c>
      <c r="C10" s="38" t="n">
        <f aca="false">'Raw Data'!B6</f>
        <v>10100</v>
      </c>
      <c r="D10" s="38" t="n">
        <f aca="false">'Raw Data'!C6</f>
        <v>7900</v>
      </c>
      <c r="E10" s="38" t="n">
        <f aca="false">'Raw Data'!D6</f>
        <v>4100</v>
      </c>
      <c r="F10" s="38" t="n">
        <f aca="false">'Raw Data'!B6+'Raw Data'!C6+'Raw Data'!D6</f>
        <v>22100</v>
      </c>
      <c r="G10" s="39" t="n">
        <f aca="false">'Raw Data'!E6</f>
        <v>3</v>
      </c>
    </row>
    <row r="11" customFormat="false" ht="19.5" hidden="false" customHeight="true" outlineLevel="0" collapsed="false">
      <c r="B11" s="17" t="str">
        <f aca="false">'Raw Data'!A7</f>
        <v>March</v>
      </c>
      <c r="C11" s="36" t="n">
        <f aca="false">'Raw Data'!B7</f>
        <v>14500</v>
      </c>
      <c r="D11" s="36" t="n">
        <f aca="false">'Raw Data'!C7</f>
        <v>9600</v>
      </c>
      <c r="E11" s="36" t="n">
        <f aca="false">'Raw Data'!D7</f>
        <v>7500</v>
      </c>
      <c r="F11" s="36" t="n">
        <f aca="false">'Raw Data'!B7+'Raw Data'!C7+'Raw Data'!D7</f>
        <v>31600</v>
      </c>
      <c r="G11" s="37" t="n">
        <f aca="false">'Raw Data'!E7</f>
        <v>6</v>
      </c>
    </row>
    <row r="12" customFormat="false" ht="19.5" hidden="false" customHeight="true" outlineLevel="0" collapsed="false">
      <c r="B12" s="20" t="str">
        <f aca="false">'Raw Data'!A8</f>
        <v>April</v>
      </c>
      <c r="C12" s="38" t="n">
        <f aca="false">'Raw Data'!B8</f>
        <v>23800</v>
      </c>
      <c r="D12" s="38" t="n">
        <f aca="false">'Raw Data'!C8</f>
        <v>11200</v>
      </c>
      <c r="E12" s="38" t="n">
        <f aca="false">'Raw Data'!D8</f>
        <v>9200</v>
      </c>
      <c r="F12" s="38" t="n">
        <f aca="false">'Raw Data'!B8+'Raw Data'!C8+'Raw Data'!D8</f>
        <v>44200</v>
      </c>
      <c r="G12" s="39" t="n">
        <f aca="false">'Raw Data'!E8</f>
        <v>8</v>
      </c>
    </row>
    <row r="13" customFormat="false" ht="19.5" hidden="false" customHeight="true" outlineLevel="0" collapsed="false">
      <c r="B13" s="17" t="str">
        <f aca="false">'Raw Data'!A9</f>
        <v>May</v>
      </c>
      <c r="C13" s="36" t="n">
        <f aca="false">'Raw Data'!B9</f>
        <v>41200</v>
      </c>
      <c r="D13" s="36" t="n">
        <f aca="false">'Raw Data'!C9</f>
        <v>14600</v>
      </c>
      <c r="E13" s="36" t="n">
        <f aca="false">'Raw Data'!D9</f>
        <v>12000</v>
      </c>
      <c r="F13" s="36" t="n">
        <f aca="false">'Raw Data'!B9+'Raw Data'!C9+'Raw Data'!D9</f>
        <v>67800</v>
      </c>
      <c r="G13" s="37" t="n">
        <f aca="false">'Raw Data'!E9</f>
        <v>12</v>
      </c>
    </row>
    <row r="14" customFormat="false" ht="19.5" hidden="false" customHeight="true" outlineLevel="0" collapsed="false">
      <c r="B14" s="20" t="str">
        <f aca="false">'Raw Data'!A10</f>
        <v>June</v>
      </c>
      <c r="C14" s="38" t="n">
        <f aca="false">'Raw Data'!B10</f>
        <v>58400</v>
      </c>
      <c r="D14" s="38" t="n">
        <f aca="false">'Raw Data'!C10</f>
        <v>18300</v>
      </c>
      <c r="E14" s="38" t="n">
        <f aca="false">'Raw Data'!D10</f>
        <v>12800</v>
      </c>
      <c r="F14" s="38" t="n">
        <f aca="false">'Raw Data'!B10+'Raw Data'!C10+'Raw Data'!D10</f>
        <v>89500</v>
      </c>
      <c r="G14" s="39" t="n">
        <f aca="false">'Raw Data'!E10</f>
        <v>16</v>
      </c>
    </row>
    <row r="15" customFormat="false" ht="19.5" hidden="false" customHeight="true" outlineLevel="0" collapsed="false">
      <c r="B15" s="17" t="str">
        <f aca="false">'Raw Data'!A11</f>
        <v>July</v>
      </c>
      <c r="C15" s="36" t="n">
        <f aca="false">'Raw Data'!B11</f>
        <v>52100</v>
      </c>
      <c r="D15" s="36" t="n">
        <f aca="false">'Raw Data'!C11</f>
        <v>16800</v>
      </c>
      <c r="E15" s="36" t="n">
        <f aca="false">'Raw Data'!D11</f>
        <v>11600</v>
      </c>
      <c r="F15" s="36" t="n">
        <f aca="false">'Raw Data'!B11+'Raw Data'!C11+'Raw Data'!D11</f>
        <v>80500</v>
      </c>
      <c r="G15" s="37" t="n">
        <f aca="false">'Raw Data'!E11</f>
        <v>14</v>
      </c>
    </row>
    <row r="16" customFormat="false" ht="19.5" hidden="false" customHeight="true" outlineLevel="0" collapsed="false">
      <c r="B16" s="20" t="str">
        <f aca="false">'Raw Data'!A12</f>
        <v>August</v>
      </c>
      <c r="C16" s="38" t="n">
        <f aca="false">'Raw Data'!B12</f>
        <v>48300</v>
      </c>
      <c r="D16" s="38" t="n">
        <f aca="false">'Raw Data'!C12</f>
        <v>15200</v>
      </c>
      <c r="E16" s="38" t="n">
        <f aca="false">'Raw Data'!D12</f>
        <v>10800</v>
      </c>
      <c r="F16" s="38" t="n">
        <f aca="false">'Raw Data'!B12+'Raw Data'!C12+'Raw Data'!D12</f>
        <v>74300</v>
      </c>
      <c r="G16" s="39" t="n">
        <f aca="false">'Raw Data'!E12</f>
        <v>13</v>
      </c>
    </row>
    <row r="17" customFormat="false" ht="19.5" hidden="false" customHeight="true" outlineLevel="0" collapsed="false">
      <c r="B17" s="17" t="str">
        <f aca="false">'Raw Data'!A13</f>
        <v>September</v>
      </c>
      <c r="C17" s="36" t="n">
        <f aca="false">'Raw Data'!B13</f>
        <v>38600</v>
      </c>
      <c r="D17" s="36" t="n">
        <f aca="false">'Raw Data'!C13</f>
        <v>13400</v>
      </c>
      <c r="E17" s="36" t="n">
        <f aca="false">'Raw Data'!D13</f>
        <v>9400</v>
      </c>
      <c r="F17" s="36" t="n">
        <f aca="false">'Raw Data'!B13+'Raw Data'!C13+'Raw Data'!D13</f>
        <v>61400</v>
      </c>
      <c r="G17" s="37" t="n">
        <f aca="false">'Raw Data'!E13</f>
        <v>11</v>
      </c>
    </row>
    <row r="18" customFormat="false" ht="19.5" hidden="false" customHeight="true" outlineLevel="0" collapsed="false">
      <c r="B18" s="20" t="str">
        <f aca="false">'Raw Data'!A14</f>
        <v>October</v>
      </c>
      <c r="C18" s="38" t="n">
        <f aca="false">'Raw Data'!B14</f>
        <v>21400</v>
      </c>
      <c r="D18" s="38" t="n">
        <f aca="false">'Raw Data'!C14</f>
        <v>10100</v>
      </c>
      <c r="E18" s="38" t="n">
        <f aca="false">'Raw Data'!D14</f>
        <v>7900</v>
      </c>
      <c r="F18" s="38" t="n">
        <f aca="false">'Raw Data'!B14+'Raw Data'!C14+'Raw Data'!D14</f>
        <v>39400</v>
      </c>
      <c r="G18" s="39" t="n">
        <f aca="false">'Raw Data'!E14</f>
        <v>7</v>
      </c>
    </row>
    <row r="19" customFormat="false" ht="19.5" hidden="false" customHeight="true" outlineLevel="0" collapsed="false">
      <c r="B19" s="17" t="str">
        <f aca="false">'Raw Data'!A15</f>
        <v>November</v>
      </c>
      <c r="C19" s="36" t="n">
        <f aca="false">'Raw Data'!B15</f>
        <v>12800</v>
      </c>
      <c r="D19" s="36" t="n">
        <f aca="false">'Raw Data'!C15</f>
        <v>8200</v>
      </c>
      <c r="E19" s="36" t="n">
        <f aca="false">'Raw Data'!D15</f>
        <v>5300</v>
      </c>
      <c r="F19" s="36" t="n">
        <f aca="false">'Raw Data'!B15+'Raw Data'!C15+'Raw Data'!D15</f>
        <v>26300</v>
      </c>
      <c r="G19" s="37" t="n">
        <f aca="false">'Raw Data'!E15</f>
        <v>5</v>
      </c>
    </row>
    <row r="20" customFormat="false" ht="19.5" hidden="false" customHeight="true" outlineLevel="0" collapsed="false">
      <c r="B20" s="20" t="str">
        <f aca="false">'Raw Data'!A16</f>
        <v>December</v>
      </c>
      <c r="C20" s="38" t="n">
        <f aca="false">'Raw Data'!B16</f>
        <v>9700</v>
      </c>
      <c r="D20" s="38" t="n">
        <f aca="false">'Raw Data'!C16</f>
        <v>7100</v>
      </c>
      <c r="E20" s="38" t="n">
        <f aca="false">'Raw Data'!D16</f>
        <v>4200</v>
      </c>
      <c r="F20" s="38" t="n">
        <f aca="false">'Raw Data'!B16+'Raw Data'!C16+'Raw Data'!D16</f>
        <v>21000</v>
      </c>
      <c r="G20" s="39" t="n">
        <f aca="false">'Raw Data'!E16</f>
        <v>4</v>
      </c>
    </row>
    <row r="21" customFormat="false" ht="3.75" hidden="false" customHeight="true" outlineLevel="0" collapsed="false">
      <c r="B21" s="3"/>
      <c r="C21" s="3"/>
      <c r="D21" s="3"/>
      <c r="E21" s="3"/>
      <c r="F21" s="3"/>
      <c r="G21" s="3"/>
      <c r="H21" s="3"/>
    </row>
    <row r="22" customFormat="false" ht="25.5" hidden="false" customHeight="true" outlineLevel="0" collapsed="false">
      <c r="B22" s="15"/>
      <c r="C22" s="40" t="n">
        <f aca="false">SUM(C9:C20)</f>
        <v>339100</v>
      </c>
      <c r="D22" s="41" t="n">
        <f aca="false">SUM(D9:D20)</f>
        <v>138800</v>
      </c>
      <c r="E22" s="41" t="n">
        <f aca="false">SUM(E9:E20)</f>
        <v>98600</v>
      </c>
      <c r="F22" s="41" t="n">
        <f aca="false">SUM(F9:F20)</f>
        <v>576500</v>
      </c>
      <c r="G22" s="42" t="n">
        <f aca="false">SUM(G9:G20)</f>
        <v>103</v>
      </c>
      <c r="H22" s="16"/>
      <c r="I22" s="16"/>
    </row>
    <row r="23" customFormat="false" ht="19.5" hidden="false" customHeight="true" outlineLevel="0" collapsed="false">
      <c r="B23" s="43" t="s">
        <v>103</v>
      </c>
      <c r="C23" s="43"/>
      <c r="D23" s="43"/>
      <c r="E23" s="43"/>
      <c r="F23" s="43"/>
      <c r="G23" s="43"/>
      <c r="H23" s="43"/>
    </row>
    <row r="24" customFormat="false" ht="9.75" hidden="false" customHeight="true" outlineLevel="0" collapsed="false"/>
    <row r="25" customFormat="false" ht="24" hidden="false" customHeight="true" outlineLevel="0" collapsed="false">
      <c r="B25" s="5" t="s">
        <v>104</v>
      </c>
      <c r="C25" s="5"/>
      <c r="D25" s="5"/>
      <c r="E25" s="5"/>
      <c r="F25" s="5"/>
      <c r="G25" s="5"/>
      <c r="H25" s="5"/>
    </row>
    <row r="26" customFormat="false" ht="19.5" hidden="false" customHeight="true" outlineLevel="0" collapsed="false">
      <c r="B26" s="10" t="s">
        <v>105</v>
      </c>
      <c r="C26" s="10"/>
      <c r="D26" s="10"/>
      <c r="E26" s="10"/>
      <c r="F26" s="10"/>
      <c r="G26" s="10"/>
      <c r="H26" s="10"/>
    </row>
    <row r="27" customFormat="false" ht="24" hidden="false" customHeight="true" outlineLevel="0" collapsed="false">
      <c r="B27" s="15"/>
      <c r="C27" s="16"/>
      <c r="D27" s="16"/>
      <c r="E27" s="16"/>
      <c r="F27" s="16"/>
      <c r="G27" s="16"/>
      <c r="H27" s="16"/>
    </row>
    <row r="28" customFormat="false" ht="24" hidden="false" customHeight="true" outlineLevel="0" collapsed="false">
      <c r="B28" s="44" t="s">
        <v>106</v>
      </c>
      <c r="C28" s="44"/>
      <c r="D28" s="44"/>
      <c r="E28" s="44"/>
      <c r="F28" s="44"/>
      <c r="G28" s="44"/>
      <c r="H28" s="45" t="n">
        <v>55000</v>
      </c>
    </row>
    <row r="29" customFormat="false" ht="24" hidden="false" customHeight="true" outlineLevel="0" collapsed="false">
      <c r="B29" s="15" t="s">
        <v>65</v>
      </c>
      <c r="C29" s="16" t="s">
        <v>69</v>
      </c>
      <c r="D29" s="16" t="s">
        <v>107</v>
      </c>
      <c r="E29" s="16" t="s">
        <v>108</v>
      </c>
    </row>
    <row r="30" customFormat="false" ht="19.5" hidden="false" customHeight="true" outlineLevel="0" collapsed="false">
      <c r="B30" s="17" t="str">
        <f aca="false">'Raw Data'!A5</f>
        <v>January</v>
      </c>
      <c r="C30" s="36" t="n">
        <f aca="false">'Raw Data'!B5+'Raw Data'!C5+'Raw Data'!D5</f>
        <v>18400</v>
      </c>
      <c r="D30" s="19" t="n">
        <f aca="false">C30-$H$28</f>
        <v>-36600</v>
      </c>
      <c r="E30" s="46" t="str">
        <f aca="false">IF(D30&gt;=0,"Above","Below")</f>
        <v>Below</v>
      </c>
    </row>
    <row r="31" customFormat="false" ht="19.5" hidden="false" customHeight="true" outlineLevel="0" collapsed="false">
      <c r="B31" s="20" t="str">
        <f aca="false">'Raw Data'!A6</f>
        <v>February</v>
      </c>
      <c r="C31" s="38" t="n">
        <f aca="false">'Raw Data'!B6+'Raw Data'!C6+'Raw Data'!D6</f>
        <v>22100</v>
      </c>
      <c r="D31" s="19" t="n">
        <f aca="false">C31-$H$28</f>
        <v>-32900</v>
      </c>
      <c r="E31" s="46" t="str">
        <f aca="false">IF(D31&gt;=0,"Above","Below")</f>
        <v>Below</v>
      </c>
    </row>
    <row r="32" customFormat="false" ht="19.5" hidden="false" customHeight="true" outlineLevel="0" collapsed="false">
      <c r="B32" s="17" t="str">
        <f aca="false">'Raw Data'!A7</f>
        <v>March</v>
      </c>
      <c r="C32" s="36" t="n">
        <f aca="false">'Raw Data'!B7+'Raw Data'!C7+'Raw Data'!D7</f>
        <v>31600</v>
      </c>
      <c r="D32" s="19" t="n">
        <f aca="false">C32-$H$28</f>
        <v>-23400</v>
      </c>
      <c r="E32" s="46" t="str">
        <f aca="false">IF(D32&gt;=0,"Above","Below")</f>
        <v>Below</v>
      </c>
    </row>
    <row r="33" customFormat="false" ht="19.5" hidden="false" customHeight="true" outlineLevel="0" collapsed="false">
      <c r="B33" s="20" t="str">
        <f aca="false">'Raw Data'!A8</f>
        <v>April</v>
      </c>
      <c r="C33" s="38" t="n">
        <f aca="false">'Raw Data'!B8+'Raw Data'!C8+'Raw Data'!D8</f>
        <v>44200</v>
      </c>
      <c r="D33" s="19" t="n">
        <f aca="false">C33-$H$28</f>
        <v>-10800</v>
      </c>
      <c r="E33" s="46" t="str">
        <f aca="false">IF(D33&gt;=0,"Above","Below")</f>
        <v>Below</v>
      </c>
    </row>
    <row r="34" customFormat="false" ht="19.5" hidden="false" customHeight="true" outlineLevel="0" collapsed="false">
      <c r="B34" s="17" t="str">
        <f aca="false">'Raw Data'!A9</f>
        <v>May</v>
      </c>
      <c r="C34" s="36" t="n">
        <f aca="false">'Raw Data'!B9+'Raw Data'!C9+'Raw Data'!D9</f>
        <v>67800</v>
      </c>
      <c r="D34" s="19" t="n">
        <f aca="false">C34-$H$28</f>
        <v>12800</v>
      </c>
      <c r="E34" s="46" t="str">
        <f aca="false">IF(D34&gt;=0,"Above","Below")</f>
        <v>Above</v>
      </c>
    </row>
    <row r="35" customFormat="false" ht="19.5" hidden="false" customHeight="true" outlineLevel="0" collapsed="false">
      <c r="B35" s="20" t="str">
        <f aca="false">'Raw Data'!A10</f>
        <v>June</v>
      </c>
      <c r="C35" s="38" t="n">
        <f aca="false">'Raw Data'!B10+'Raw Data'!C10+'Raw Data'!D10</f>
        <v>89500</v>
      </c>
      <c r="D35" s="19" t="n">
        <f aca="false">C35-$H$28</f>
        <v>34500</v>
      </c>
      <c r="E35" s="46" t="str">
        <f aca="false">IF(D35&gt;=0,"Above","Below")</f>
        <v>Above</v>
      </c>
    </row>
    <row r="36" customFormat="false" ht="19.5" hidden="false" customHeight="true" outlineLevel="0" collapsed="false">
      <c r="B36" s="17" t="str">
        <f aca="false">'Raw Data'!A11</f>
        <v>July</v>
      </c>
      <c r="C36" s="36" t="n">
        <f aca="false">'Raw Data'!B11+'Raw Data'!C11+'Raw Data'!D11</f>
        <v>80500</v>
      </c>
      <c r="D36" s="19" t="n">
        <f aca="false">C36-$H$28</f>
        <v>25500</v>
      </c>
      <c r="E36" s="46" t="str">
        <f aca="false">IF(D36&gt;=0,"Above","Below")</f>
        <v>Above</v>
      </c>
    </row>
    <row r="37" customFormat="false" ht="19.5" hidden="false" customHeight="true" outlineLevel="0" collapsed="false">
      <c r="B37" s="20" t="str">
        <f aca="false">'Raw Data'!A12</f>
        <v>August</v>
      </c>
      <c r="C37" s="38" t="n">
        <f aca="false">'Raw Data'!B12+'Raw Data'!C12+'Raw Data'!D12</f>
        <v>74300</v>
      </c>
      <c r="D37" s="19" t="n">
        <f aca="false">C37-$H$28</f>
        <v>19300</v>
      </c>
      <c r="E37" s="46" t="str">
        <f aca="false">IF(D37&gt;=0,"Above","Below")</f>
        <v>Above</v>
      </c>
    </row>
    <row r="38" customFormat="false" ht="19.5" hidden="false" customHeight="true" outlineLevel="0" collapsed="false">
      <c r="B38" s="17" t="str">
        <f aca="false">'Raw Data'!A13</f>
        <v>September</v>
      </c>
      <c r="C38" s="36" t="n">
        <f aca="false">'Raw Data'!B13+'Raw Data'!C13+'Raw Data'!D13</f>
        <v>61400</v>
      </c>
      <c r="D38" s="19" t="n">
        <f aca="false">C38-$H$28</f>
        <v>6400</v>
      </c>
      <c r="E38" s="46" t="str">
        <f aca="false">IF(D38&gt;=0,"Above","Below")</f>
        <v>Above</v>
      </c>
    </row>
    <row r="39" customFormat="false" ht="19.5" hidden="false" customHeight="true" outlineLevel="0" collapsed="false">
      <c r="B39" s="20" t="str">
        <f aca="false">'Raw Data'!A14</f>
        <v>October</v>
      </c>
      <c r="C39" s="38" t="n">
        <f aca="false">'Raw Data'!B14+'Raw Data'!C14+'Raw Data'!D14</f>
        <v>39400</v>
      </c>
      <c r="D39" s="19" t="n">
        <f aca="false">C39-$H$28</f>
        <v>-15600</v>
      </c>
      <c r="E39" s="46" t="str">
        <f aca="false">IF(D39&gt;=0,"Above","Below")</f>
        <v>Below</v>
      </c>
    </row>
    <row r="40" customFormat="false" ht="19.5" hidden="false" customHeight="true" outlineLevel="0" collapsed="false">
      <c r="B40" s="17" t="str">
        <f aca="false">'Raw Data'!A15</f>
        <v>November</v>
      </c>
      <c r="C40" s="36" t="n">
        <f aca="false">'Raw Data'!B15+'Raw Data'!C15+'Raw Data'!D15</f>
        <v>26300</v>
      </c>
      <c r="D40" s="19" t="n">
        <f aca="false">C40-$H$28</f>
        <v>-28700</v>
      </c>
      <c r="E40" s="46" t="str">
        <f aca="false">IF(D40&gt;=0,"Above","Below")</f>
        <v>Below</v>
      </c>
    </row>
    <row r="41" customFormat="false" ht="19.5" hidden="false" customHeight="true" outlineLevel="0" collapsed="false">
      <c r="B41" s="20" t="str">
        <f aca="false">'Raw Data'!A16</f>
        <v>December</v>
      </c>
      <c r="C41" s="38" t="n">
        <f aca="false">'Raw Data'!B16+'Raw Data'!C16+'Raw Data'!D16</f>
        <v>21000</v>
      </c>
      <c r="D41" s="19" t="n">
        <f aca="false">C41-$H$28</f>
        <v>-34000</v>
      </c>
      <c r="E41" s="46" t="str">
        <f aca="false">IF(D41&gt;=0,"Above","Below")</f>
        <v>Below</v>
      </c>
    </row>
    <row r="42" customFormat="false" ht="9.75" hidden="false" customHeight="true" outlineLevel="0" collapsed="false"/>
    <row r="43" customFormat="false" ht="21.75" hidden="false" customHeight="true" outlineLevel="0" collapsed="false">
      <c r="B43" s="43" t="s">
        <v>109</v>
      </c>
      <c r="C43" s="43"/>
      <c r="D43" s="43"/>
      <c r="E43" s="43"/>
      <c r="F43" s="43"/>
      <c r="G43" s="43"/>
      <c r="H43" s="43"/>
    </row>
    <row r="44" customFormat="false" ht="9.75" hidden="false" customHeight="true" outlineLevel="0" collapsed="false"/>
    <row r="45" customFormat="false" ht="18" hidden="false" customHeight="true" outlineLevel="0" collapsed="false">
      <c r="B45" s="8" t="s">
        <v>37</v>
      </c>
      <c r="C45" s="8"/>
      <c r="D45" s="8"/>
      <c r="E45" s="8"/>
      <c r="F45" s="8"/>
      <c r="G45" s="8"/>
      <c r="H45" s="8"/>
    </row>
  </sheetData>
  <mergeCells count="10">
    <mergeCell ref="B2:H2"/>
    <mergeCell ref="B4:H4"/>
    <mergeCell ref="B6:H6"/>
    <mergeCell ref="B7:H7"/>
    <mergeCell ref="B23:H23"/>
    <mergeCell ref="B25:H25"/>
    <mergeCell ref="B26:H26"/>
    <mergeCell ref="B28:G28"/>
    <mergeCell ref="B43:H43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24"/>
    <col collapsed="false" customWidth="true" hidden="false" outlineLevel="0" max="4" min="4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47" t="s">
        <v>110</v>
      </c>
      <c r="C2" s="47"/>
    </row>
    <row r="3" customFormat="false" ht="3.75" hidden="false" customHeight="true" outlineLevel="0" collapsed="false">
      <c r="B3" s="3"/>
      <c r="C3" s="3"/>
    </row>
    <row r="4" customFormat="false" ht="27.75" hidden="false" customHeight="true" outlineLevel="0" collapsed="false">
      <c r="B4" s="48" t="s">
        <v>111</v>
      </c>
      <c r="C4" s="48"/>
    </row>
    <row r="5" customFormat="false" ht="24" hidden="false" customHeight="true" outlineLevel="0" collapsed="false">
      <c r="B5" s="49" t="s">
        <v>112</v>
      </c>
      <c r="C5" s="50" t="s">
        <v>113</v>
      </c>
    </row>
    <row r="6" customFormat="false" ht="24" hidden="false" customHeight="true" outlineLevel="0" collapsed="false">
      <c r="B6" s="51" t="s">
        <v>114</v>
      </c>
      <c r="C6" s="52" t="s">
        <v>115</v>
      </c>
    </row>
    <row r="7" customFormat="false" ht="24" hidden="false" customHeight="true" outlineLevel="0" collapsed="false">
      <c r="B7" s="49" t="s">
        <v>116</v>
      </c>
      <c r="C7" s="50" t="s">
        <v>117</v>
      </c>
    </row>
    <row r="8" customFormat="false" ht="24" hidden="false" customHeight="true" outlineLevel="0" collapsed="false">
      <c r="B8" s="51" t="s">
        <v>118</v>
      </c>
      <c r="C8" s="52" t="s">
        <v>119</v>
      </c>
    </row>
    <row r="9" customFormat="false" ht="24" hidden="false" customHeight="true" outlineLevel="0" collapsed="false">
      <c r="B9" s="49" t="s">
        <v>120</v>
      </c>
      <c r="C9" s="50" t="s">
        <v>121</v>
      </c>
    </row>
    <row r="10" customFormat="false" ht="24" hidden="false" customHeight="true" outlineLevel="0" collapsed="false">
      <c r="B10" s="51" t="s">
        <v>122</v>
      </c>
      <c r="C10" s="52" t="s">
        <v>123</v>
      </c>
    </row>
    <row r="11" customFormat="false" ht="24" hidden="false" customHeight="true" outlineLevel="0" collapsed="false">
      <c r="B11" s="49" t="s">
        <v>124</v>
      </c>
      <c r="C11" s="50" t="s">
        <v>125</v>
      </c>
    </row>
    <row r="12" customFormat="false" ht="24" hidden="false" customHeight="true" outlineLevel="0" collapsed="false">
      <c r="B12" s="51" t="s">
        <v>126</v>
      </c>
      <c r="C12" s="52" t="s">
        <v>52</v>
      </c>
    </row>
    <row r="13" customFormat="false" ht="24" hidden="false" customHeight="true" outlineLevel="0" collapsed="false">
      <c r="B13" s="49" t="s">
        <v>127</v>
      </c>
      <c r="C13" s="50" t="s">
        <v>128</v>
      </c>
    </row>
    <row r="14" customFormat="false" ht="24" hidden="false" customHeight="true" outlineLevel="0" collapsed="false">
      <c r="B14" s="51" t="s">
        <v>129</v>
      </c>
      <c r="C14" s="52" t="s">
        <v>130</v>
      </c>
    </row>
    <row r="15" customFormat="false" ht="24" hidden="false" customHeight="true" outlineLevel="0" collapsed="false">
      <c r="B15" s="49" t="s">
        <v>131</v>
      </c>
      <c r="C15" s="50" t="s">
        <v>132</v>
      </c>
    </row>
    <row r="16" customFormat="false" ht="27.75" hidden="false" customHeight="true" outlineLevel="0" collapsed="false">
      <c r="B16" s="48" t="s">
        <v>133</v>
      </c>
      <c r="C16" s="48"/>
    </row>
    <row r="17" customFormat="false" ht="24" hidden="false" customHeight="true" outlineLevel="0" collapsed="false">
      <c r="B17" s="49" t="s">
        <v>134</v>
      </c>
      <c r="C17" s="50" t="s">
        <v>135</v>
      </c>
    </row>
    <row r="18" customFormat="false" ht="24" hidden="false" customHeight="true" outlineLevel="0" collapsed="false">
      <c r="B18" s="51" t="s">
        <v>136</v>
      </c>
      <c r="C18" s="52" t="s">
        <v>137</v>
      </c>
    </row>
    <row r="19" customFormat="false" ht="24" hidden="false" customHeight="true" outlineLevel="0" collapsed="false">
      <c r="B19" s="49" t="s">
        <v>138</v>
      </c>
      <c r="C19" s="50" t="s">
        <v>139</v>
      </c>
    </row>
    <row r="20" customFormat="false" ht="24" hidden="false" customHeight="true" outlineLevel="0" collapsed="false">
      <c r="B20" s="51" t="s">
        <v>140</v>
      </c>
      <c r="C20" s="52" t="s">
        <v>115</v>
      </c>
    </row>
    <row r="21" customFormat="false" ht="24" hidden="false" customHeight="true" outlineLevel="0" collapsed="false">
      <c r="B21" s="49" t="s">
        <v>141</v>
      </c>
      <c r="C21" s="50" t="s">
        <v>142</v>
      </c>
    </row>
    <row r="22" customFormat="false" ht="24" hidden="false" customHeight="true" outlineLevel="0" collapsed="false">
      <c r="B22" s="51" t="s">
        <v>143</v>
      </c>
      <c r="C22" s="52" t="s">
        <v>144</v>
      </c>
    </row>
    <row r="23" customFormat="false" ht="18" hidden="false" customHeight="true" outlineLevel="0" collapsed="false">
      <c r="B23" s="8" t="s">
        <v>145</v>
      </c>
      <c r="C23" s="8"/>
    </row>
  </sheetData>
  <mergeCells count="2">
    <mergeCell ref="B2:C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36"/>
    <col collapsed="false" customWidth="true" hidden="false" outlineLevel="0" max="6" min="6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53" t="s">
        <v>146</v>
      </c>
      <c r="C2" s="53"/>
      <c r="D2" s="53"/>
      <c r="E2" s="53"/>
    </row>
    <row r="3" customFormat="false" ht="3.75" hidden="false" customHeight="true" outlineLevel="0" collapsed="false">
      <c r="B3" s="3"/>
      <c r="C3" s="3"/>
      <c r="D3" s="3"/>
      <c r="E3" s="3"/>
    </row>
    <row r="4" customFormat="false" ht="25.5" hidden="false" customHeight="true" outlineLevel="0" collapsed="false">
      <c r="B4" s="15" t="s">
        <v>73</v>
      </c>
      <c r="C4" s="15" t="s">
        <v>147</v>
      </c>
      <c r="D4" s="15" t="s">
        <v>148</v>
      </c>
      <c r="E4" s="15" t="s">
        <v>149</v>
      </c>
    </row>
    <row r="5" customFormat="false" ht="25.5" hidden="false" customHeight="true" outlineLevel="0" collapsed="false">
      <c r="B5" s="54" t="s">
        <v>78</v>
      </c>
      <c r="C5" s="55" t="s">
        <v>150</v>
      </c>
      <c r="D5" s="56" t="s">
        <v>151</v>
      </c>
      <c r="E5" s="27" t="s">
        <v>152</v>
      </c>
    </row>
    <row r="6" customFormat="false" ht="25.5" hidden="false" customHeight="true" outlineLevel="0" collapsed="false">
      <c r="B6" s="57" t="s">
        <v>81</v>
      </c>
      <c r="C6" s="55" t="s">
        <v>153</v>
      </c>
      <c r="D6" s="58" t="s">
        <v>154</v>
      </c>
      <c r="E6" s="30" t="s">
        <v>155</v>
      </c>
    </row>
    <row r="7" customFormat="false" ht="25.5" hidden="false" customHeight="true" outlineLevel="0" collapsed="false">
      <c r="B7" s="54" t="s">
        <v>83</v>
      </c>
      <c r="C7" s="55" t="s">
        <v>156</v>
      </c>
      <c r="D7" s="56" t="s">
        <v>157</v>
      </c>
      <c r="E7" s="27" t="s">
        <v>158</v>
      </c>
    </row>
    <row r="8" customFormat="false" ht="25.5" hidden="false" customHeight="true" outlineLevel="0" collapsed="false">
      <c r="B8" s="57" t="s">
        <v>85</v>
      </c>
      <c r="C8" s="55" t="s">
        <v>159</v>
      </c>
      <c r="D8" s="58" t="s">
        <v>160</v>
      </c>
      <c r="E8" s="30" t="s">
        <v>161</v>
      </c>
    </row>
    <row r="9" customFormat="false" ht="25.5" hidden="false" customHeight="true" outlineLevel="0" collapsed="false">
      <c r="B9" s="54" t="s">
        <v>87</v>
      </c>
      <c r="C9" s="55" t="s">
        <v>162</v>
      </c>
      <c r="D9" s="56" t="s">
        <v>163</v>
      </c>
      <c r="E9" s="27" t="s">
        <v>164</v>
      </c>
    </row>
    <row r="10" customFormat="false" ht="25.5" hidden="false" customHeight="true" outlineLevel="0" collapsed="false">
      <c r="B10" s="57" t="s">
        <v>89</v>
      </c>
      <c r="C10" s="55" t="s">
        <v>165</v>
      </c>
      <c r="D10" s="58" t="s">
        <v>166</v>
      </c>
      <c r="E10" s="30" t="s">
        <v>167</v>
      </c>
    </row>
    <row r="11" customFormat="false" ht="9.75" hidden="false" customHeight="true" outlineLevel="0" collapsed="false"/>
    <row r="12" customFormat="false" ht="25.5" hidden="false" customHeight="true" outlineLevel="0" collapsed="false">
      <c r="B12" s="5" t="s">
        <v>168</v>
      </c>
      <c r="C12" s="5"/>
      <c r="D12" s="5"/>
      <c r="E12" s="5"/>
    </row>
    <row r="13" customFormat="false" ht="24" hidden="false" customHeight="true" outlineLevel="0" collapsed="false">
      <c r="B13" s="23" t="s">
        <v>169</v>
      </c>
      <c r="C13" s="59" t="s">
        <v>170</v>
      </c>
      <c r="D13" s="60" t="s">
        <v>171</v>
      </c>
      <c r="E13" s="60"/>
    </row>
    <row r="14" customFormat="false" ht="24" hidden="false" customHeight="true" outlineLevel="0" collapsed="false">
      <c r="B14" s="28" t="s">
        <v>172</v>
      </c>
      <c r="C14" s="59" t="s">
        <v>173</v>
      </c>
      <c r="D14" s="61" t="s">
        <v>174</v>
      </c>
      <c r="E14" s="61"/>
    </row>
    <row r="15" customFormat="false" ht="24" hidden="false" customHeight="true" outlineLevel="0" collapsed="false">
      <c r="B15" s="23" t="s">
        <v>175</v>
      </c>
      <c r="C15" s="59" t="s">
        <v>176</v>
      </c>
      <c r="D15" s="60" t="s">
        <v>177</v>
      </c>
      <c r="E15" s="60"/>
    </row>
    <row r="16" customFormat="false" ht="9.75" hidden="false" customHeight="true" outlineLevel="0" collapsed="false"/>
    <row r="17" customFormat="false" ht="18" hidden="false" customHeight="true" outlineLevel="0" collapsed="false">
      <c r="B17" s="8" t="s">
        <v>178</v>
      </c>
      <c r="C17" s="8"/>
      <c r="D17" s="8"/>
      <c r="E17" s="8"/>
    </row>
  </sheetData>
  <mergeCells count="6">
    <mergeCell ref="B2:E2"/>
    <mergeCell ref="B12:E12"/>
    <mergeCell ref="D13:E13"/>
    <mergeCell ref="D14:E14"/>
    <mergeCell ref="D15:E15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2026-05-25T13:06:40Z</dcterms:created>
  <dc:creator>openpyxl</dc:creator>
  <dc:description/>
  <dc:language>en-US</dc:language>
  <cp:lastModifiedBy/>
  <dcterms:modified xsi:type="dcterms:W3CDTF">2026-05-25T13:07:10Z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