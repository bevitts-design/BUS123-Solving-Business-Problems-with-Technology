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10/"/>
    </mc:Choice>
  </mc:AlternateContent>
  <xr:revisionPtr revIDLastSave="0" documentId="13_ncr:1_{0EA66661-F369-7E40-9C62-2B410971A60F}" xr6:coauthVersionLast="47" xr6:coauthVersionMax="47" xr10:uidLastSave="{00000000-0000-0000-0000-000000000000}"/>
  <bookViews>
    <workbookView xWindow="0" yWindow="580" windowWidth="23080" windowHeight="15980" tabRatio="500" xr2:uid="{00000000-000D-0000-FFFF-FFFF00000000}"/>
  </bookViews>
  <sheets>
    <sheet name="START HERE" sheetId="1" r:id="rId1"/>
    <sheet name="Part A — Stock Analysis" sheetId="2" r:id="rId2"/>
    <sheet name="Part B — Bond Calculations" sheetId="3" r:id="rId3"/>
    <sheet name="Part C — Mutual Fund NAV" sheetId="4" r:id="rId4"/>
    <sheet name="FormulaReferenceC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</calcChain>
</file>

<file path=xl/sharedStrings.xml><?xml version="1.0" encoding="utf-8"?>
<sst xmlns="http://schemas.openxmlformats.org/spreadsheetml/2006/main" count="204" uniqueCount="169">
  <si>
    <t>BUS123 · MATH-M10-L01 · Foundations of Investing</t>
  </si>
  <si>
    <t>Meridian Advisory Group Case Study  |  Student Workbook</t>
  </si>
  <si>
    <t xml:space="preserve">  HOW TO USE THIS WORKBOOK</t>
  </si>
  <si>
    <t>This workbook has three activity tabs and a formula reference card.</t>
  </si>
  <si>
    <t>Work through each tab in order. Yellow cells  ▶  are your input cells — enter your answers there.</t>
  </si>
  <si>
    <t>Formulas are visible and unlocked — you can see exactly how each calculation works.</t>
  </si>
  <si>
    <t>Do NOT enter values in white cells that already contain formulas.</t>
  </si>
  <si>
    <t>If you are unsure which Excel function to use, check the FormulaReferenceCard tab.</t>
  </si>
  <si>
    <t xml:space="preserve">  I CAN STATEMENTS — WHAT YOU WILL BE ABLE TO DO</t>
  </si>
  <si>
    <t>1.  Read and interpret a stock quote — including Last Price, Bid/Ask, P/E ratio, and Dividend Yield.</t>
  </si>
  <si>
    <t>2.  Calculate dividends for preferred and common stockholders and compute Return on Investment (ROI).</t>
  </si>
  <si>
    <t>3.  Explain how bonds work, calculate bond price from a quoted percent of par, and determine current bond yield.</t>
  </si>
  <si>
    <t>4.  Calculate Net Asset Value (NAV) for a mutual fund and explain the difference between mutual funds and ETFs.</t>
  </si>
  <si>
    <t xml:space="preserve">  ACTIVITY OVERVIEW</t>
  </si>
  <si>
    <t>Part A — Stock Analysis</t>
  </si>
  <si>
    <t>Read a Meridian stock quote, calculate dividends, and compute ROI</t>
  </si>
  <si>
    <t>Part B — Bond Calculations</t>
  </si>
  <si>
    <t>Convert bond quotes, calculate purchase price and current yield</t>
  </si>
  <si>
    <t>Part C — Mutual Fund NAV</t>
  </si>
  <si>
    <t>Calculate Net Asset Value for a Meridian model portfolio fund</t>
  </si>
  <si>
    <t>FormulaReferenceCard</t>
  </si>
  <si>
    <t>Quick-reference for all Excel functions used in this activity</t>
  </si>
  <si>
    <t>Part A — Stock Analysis  |  Meridian Advisory Group (MAGH)</t>
  </si>
  <si>
    <t>Use the Meridian stock data below to answer each question. Enter your answers in the yellow cells.</t>
  </si>
  <si>
    <t xml:space="preserve">  A1 · READING THE STOCK QUOTE</t>
  </si>
  <si>
    <t>Symbol</t>
  </si>
  <si>
    <t>Last Price</t>
  </si>
  <si>
    <t>Bid</t>
  </si>
  <si>
    <t>Ask</t>
  </si>
  <si>
    <t>52-Wk High</t>
  </si>
  <si>
    <t>52-Wk Low</t>
  </si>
  <si>
    <t>P/E Ratio</t>
  </si>
  <si>
    <t>Div/Share</t>
  </si>
  <si>
    <t>Div Yield</t>
  </si>
  <si>
    <t>MAGH</t>
  </si>
  <si>
    <t xml:space="preserve">  A1 · QUESTIONS — Answer in the yellow cells</t>
  </si>
  <si>
    <t>Q1</t>
  </si>
  <si>
    <t>What is the Bid-Ask Spread? (Ask − Bid)</t>
  </si>
  <si>
    <t>Your Answer:</t>
  </si>
  <si>
    <t>Q2</t>
  </si>
  <si>
    <t>How much ABOVE the 52-week low is the current price? (Last − 52-Wk Low)</t>
  </si>
  <si>
    <t>Q3</t>
  </si>
  <si>
    <t>Interpret the P/E Ratio: for every $1 MAGH earns, investors pay $___</t>
  </si>
  <si>
    <t xml:space="preserve">  A2 · DIVIDENDS — Preferred vs. Common Stockholders</t>
  </si>
  <si>
    <t>Preferred Stock Rate</t>
  </si>
  <si>
    <t>Preferred Stock Par Value</t>
  </si>
  <si>
    <t>Preferred Shares Outstanding</t>
  </si>
  <si>
    <t>Common Shares Outstanding</t>
  </si>
  <si>
    <t>Total Dividends Declared</t>
  </si>
  <si>
    <t>Step 1</t>
  </si>
  <si>
    <t>Annual preferred dividend per share (Rate × Par Value)</t>
  </si>
  <si>
    <t>Step 2</t>
  </si>
  <si>
    <t>Total preferred dividend (Per Share × Preferred Shares)</t>
  </si>
  <si>
    <t>Step 3</t>
  </si>
  <si>
    <t>Remainder available for common shareholders (Total − Preferred)</t>
  </si>
  <si>
    <t>Step 4</t>
  </si>
  <si>
    <t>Dividend per common share (Remainder ÷ Common Shares)</t>
  </si>
  <si>
    <t xml:space="preserve">  A3 · RETURN ON INVESTMENT (ROI)</t>
  </si>
  <si>
    <t>Shares Purchased</t>
  </si>
  <si>
    <t>Purchase Price per Share</t>
  </si>
  <si>
    <t>Sale Price per Share</t>
  </si>
  <si>
    <t>Commission Rate (Buy &amp; Sell)</t>
  </si>
  <si>
    <t>Annual Dividend per Share</t>
  </si>
  <si>
    <t>Total Purchase Cost before commission (Shares × Purchase Price)</t>
  </si>
  <si>
    <t>Commission paid on purchase (Total Cost × Commission Rate)</t>
  </si>
  <si>
    <t>Total cost including buy commission (Step 1 + Step 2)</t>
  </si>
  <si>
    <t>Total Sale Proceeds before commission (Shares × Sale Price)</t>
  </si>
  <si>
    <t>Step 5</t>
  </si>
  <si>
    <t>Commission paid on sale (Total Proceeds × Commission Rate)</t>
  </si>
  <si>
    <t>Step 6</t>
  </si>
  <si>
    <t>Net proceeds after sell commission (Step 4 − Step 5)</t>
  </si>
  <si>
    <t>Step 7</t>
  </si>
  <si>
    <t>Total dividends received (Shares × Dividend per Share)</t>
  </si>
  <si>
    <t>Step 8</t>
  </si>
  <si>
    <t>ROI = (Net Proceeds − Total Cost + Dividends) ÷ Total Cost</t>
  </si>
  <si>
    <t>Part B — Bond Calculations  |  Meridian Advisory Group Portfolio</t>
  </si>
  <si>
    <t>Remember: Bond prices are quoted as a PERCENT of face value. Always convert to dollars first.</t>
  </si>
  <si>
    <t xml:space="preserve">  B1 · BOND PRICE CONVERSION  (Quote % → Dollar Price)</t>
  </si>
  <si>
    <t>Face Value (Par)</t>
  </si>
  <si>
    <t>Stated Interest Rate</t>
  </si>
  <si>
    <t>Quoted Price (%)</t>
  </si>
  <si>
    <t>Number of Bonds</t>
  </si>
  <si>
    <t>Dollar price per bond  (Quoted % ÷ 100 × Face Value)</t>
  </si>
  <si>
    <t>Total cost for all bonds  (Price per Bond × Number of Bonds)</t>
  </si>
  <si>
    <t>Annual interest per bond  (Stated Rate × Face Value)</t>
  </si>
  <si>
    <t>Total annual interest received  (Interest per Bond × Number of Bonds)</t>
  </si>
  <si>
    <t>Current yield per bond  (Annual Interest per Bond ÷ Dollar Price per Bond)</t>
  </si>
  <si>
    <t xml:space="preserve">  B2 · PREMIUM OR DISCOUNT? — Classify each bond</t>
  </si>
  <si>
    <t>Instruction: For each bond below, determine (a) the dollar price per bond and (b) whether it trades at a PREMIUM, DISCOUNT, or PAR.</t>
  </si>
  <si>
    <t>Bond</t>
  </si>
  <si>
    <t>Quoted Price</t>
  </si>
  <si>
    <t>Face Value</t>
  </si>
  <si>
    <t>Dollar Price</t>
  </si>
  <si>
    <t>vs. Par</t>
  </si>
  <si>
    <t>Premium / Discount / Par</t>
  </si>
  <si>
    <t>Bond A</t>
  </si>
  <si>
    <t>Bond B</t>
  </si>
  <si>
    <t>Bond C</t>
  </si>
  <si>
    <t>Bond D</t>
  </si>
  <si>
    <t>Part C — Mutual Fund NAV  |  Meridian Advisory Group Model Portfolio</t>
  </si>
  <si>
    <t>NAV = (Total Market Value of Holdings − Total Liabilities) ÷ Shares Outstanding</t>
  </si>
  <si>
    <t xml:space="preserve">  C1 · CALCULATE NAV  —  Meridian Growth &amp; Income Fund</t>
  </si>
  <si>
    <t>Market Value of Fund Holdings</t>
  </si>
  <si>
    <t>Current Liabilities</t>
  </si>
  <si>
    <t>Shares Outstanding</t>
  </si>
  <si>
    <t>Net Assets  (Market Value − Liabilities)</t>
  </si>
  <si>
    <t>NAV per Share  (Net Assets ÷ Shares Outstanding)</t>
  </si>
  <si>
    <t>Cost to buy 80 shares at this NAV  (NAV × 80)</t>
  </si>
  <si>
    <t xml:space="preserve">  C2 · COMPARE THREE MERIDIAN FUNDS — Calculate NAV for each</t>
  </si>
  <si>
    <t>Instruction: Use the formula NAV = (Assets − Liabilities) ÷ Shares to complete the table.</t>
  </si>
  <si>
    <t>Fund Name</t>
  </si>
  <si>
    <t>Market Value ($)</t>
  </si>
  <si>
    <t>Liabilities ($)</t>
  </si>
  <si>
    <t>NAV per Share</t>
  </si>
  <si>
    <t>MAG Balanced Fund</t>
  </si>
  <si>
    <t>MAG Growth Fund</t>
  </si>
  <si>
    <t>MAG Income Fund</t>
  </si>
  <si>
    <t>Formula Reference Card  —  BUS123 MATH-M10-L01  |  Foundations of Investing</t>
  </si>
  <si>
    <t>These are the formulas you need for this activity. Refer here whenever you are unsure.</t>
  </si>
  <si>
    <t>Concept</t>
  </si>
  <si>
    <t>Formula</t>
  </si>
  <si>
    <t>Excel Function / Syntax</t>
  </si>
  <si>
    <t>Example</t>
  </si>
  <si>
    <t>Result</t>
  </si>
  <si>
    <t>Bid-Ask Spread</t>
  </si>
  <si>
    <t>Ask Price − Bid Price</t>
  </si>
  <si>
    <t xml:space="preserve"> =Ask_Cell - Bid_Cell</t>
  </si>
  <si>
    <t>$39.68 − $39.55</t>
  </si>
  <si>
    <t>$0.13</t>
  </si>
  <si>
    <t>Dividend Yield</t>
  </si>
  <si>
    <t>Annual Dividend ÷ Stock Price</t>
  </si>
  <si>
    <t xml:space="preserve"> =Div_Cell / Price_Cell</t>
  </si>
  <si>
    <t>$1.21 ÷ $39.62</t>
  </si>
  <si>
    <t>3.05%</t>
  </si>
  <si>
    <t>Preferred Dividend (total)</t>
  </si>
  <si>
    <t>Rate × Par Value × Shares</t>
  </si>
  <si>
    <t xml:space="preserve"> =rate * par * shares</t>
  </si>
  <si>
    <t>8% × $50 × 1,000</t>
  </si>
  <si>
    <t>$4,000</t>
  </si>
  <si>
    <t>Common Dividend per Share</t>
  </si>
  <si>
    <t>(Total Div − Preferred Div) ÷ Common Shares</t>
  </si>
  <si>
    <t xml:space="preserve"> =(TotalDiv - PrefDiv) / CommonShares</t>
  </si>
  <si>
    <t>($10,000 − $4,000) ÷ 4,000</t>
  </si>
  <si>
    <t>$1.50</t>
  </si>
  <si>
    <t>Return on Investment (ROI)</t>
  </si>
  <si>
    <t>(Net Proceeds − Cost + Dividends) ÷ Cost</t>
  </si>
  <si>
    <t xml:space="preserve"> =(NetProceeds - Cost + Div) / Cost</t>
  </si>
  <si>
    <t>($8,137.80 − $7,896.18 + $242) ÷ $7,896.18</t>
  </si>
  <si>
    <t>6.12%</t>
  </si>
  <si>
    <t>Bond Dollar Price</t>
  </si>
  <si>
    <t>99.59% × $1,000</t>
  </si>
  <si>
    <t>$995.90</t>
  </si>
  <si>
    <t>Bond Current Yield</t>
  </si>
  <si>
    <t>Annual Interest ÷ Dollar Price</t>
  </si>
  <si>
    <t xml:space="preserve"> =AnnualInterest / DollarPrice</t>
  </si>
  <si>
    <t>$40 ÷ $995.90</t>
  </si>
  <si>
    <t>4.02%</t>
  </si>
  <si>
    <t>Net Asset Value (NAV)</t>
  </si>
  <si>
    <t>(Assets − Liabilities) ÷ Shares Outstanding</t>
  </si>
  <si>
    <t xml:space="preserve"> =(Assets - Liabilities) / Shares</t>
  </si>
  <si>
    <t>($5,550,000 − $770,000) ÷ 600,000</t>
  </si>
  <si>
    <t>$7.97</t>
  </si>
  <si>
    <t>Cost to Buy Fund Shares</t>
  </si>
  <si>
    <t>NAV per Share × Number of Shares</t>
  </si>
  <si>
    <t xml:space="preserve"> =NAV * Shares</t>
  </si>
  <si>
    <t>$7.97 × 80</t>
  </si>
  <si>
    <t>$637.60</t>
  </si>
  <si>
    <t>Quoted % ÷ 100 × Face Value</t>
  </si>
  <si>
    <t xml:space="preserve"> =QuotedPct / 100 * FaceValue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</si>
</sst>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0.0"/>
    <numFmt numFmtId="166" formatCode="0.0%"/>
  </numFmts>
  <fonts count="19" x14ac:knownFonts="1">
    <font>
      <sz val="11"/>
      <color theme="1"/>
      <name val="Calibri"/>
      <family val="2"/>
      <charset val="1"/>
    </font>
    <font>
      <b/>
      <sz val="14"/>
      <color rgb="FFFAF8F3"/>
      <name val="Arial"/>
      <family val="2"/>
    </font>
    <font>
      <i/>
      <sz val="11"/>
      <color rgb="FFB8843D"/>
      <name val="Arial"/>
      <family val="2"/>
    </font>
    <font>
      <b/>
      <sz val="11"/>
      <color rgb="FFB8843D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rgb="FF4A7C5E"/>
      <name val="Arial"/>
      <family val="2"/>
    </font>
    <font>
      <b/>
      <sz val="13"/>
      <color rgb="FFFAF8F3"/>
      <name val="Arial"/>
      <family val="2"/>
    </font>
    <font>
      <i/>
      <sz val="10"/>
      <color rgb="FFB8843D"/>
      <name val="Arial"/>
      <family val="2"/>
    </font>
    <font>
      <b/>
      <sz val="10"/>
      <color rgb="FFFAF8F3"/>
      <name val="Arial"/>
      <family val="2"/>
    </font>
    <font>
      <b/>
      <sz val="11"/>
      <color rgb="FF0A3D6B"/>
      <name val="Arial"/>
      <family val="2"/>
    </font>
    <font>
      <b/>
      <sz val="11"/>
      <color rgb="FF1A6B3C"/>
      <name val="Arial"/>
      <family val="2"/>
    </font>
    <font>
      <b/>
      <sz val="10"/>
      <color rgb="FFB8843D"/>
      <name val="Arial"/>
      <family val="2"/>
    </font>
    <font>
      <sz val="11"/>
      <color rgb="FF555555"/>
      <name val="Arial"/>
      <family val="2"/>
    </font>
    <font>
      <sz val="11"/>
      <color rgb="FF0A3D6B"/>
      <name val="Arial"/>
      <family val="2"/>
    </font>
    <font>
      <sz val="11"/>
      <color rgb="FF444444"/>
      <name val="Arial"/>
      <family val="2"/>
    </font>
    <font>
      <b/>
      <sz val="10"/>
      <color rgb="FF4A7C5E"/>
      <name val="Arial"/>
      <family val="2"/>
    </font>
    <font>
      <sz val="10"/>
      <color rgb="FF1A5C3A"/>
      <name val="Courier New"/>
      <family val="1"/>
    </font>
    <font>
      <b/>
      <sz val="10"/>
      <color rgb="FF1A6B3C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E1116"/>
        <bgColor rgb="FF1A1F2C"/>
      </patternFill>
    </fill>
    <fill>
      <patternFill patternType="solid">
        <fgColor rgb="FF1A1F2C"/>
        <bgColor rgb="FF0E1116"/>
      </patternFill>
    </fill>
    <fill>
      <patternFill patternType="solid">
        <fgColor rgb="FFFFFFFF"/>
        <bgColor rgb="FFFAF8F3"/>
      </patternFill>
    </fill>
    <fill>
      <patternFill patternType="solid">
        <fgColor rgb="FFF2EEE5"/>
        <bgColor rgb="FFFAF8F3"/>
      </patternFill>
    </fill>
    <fill>
      <patternFill patternType="solid">
        <fgColor rgb="FF2C3E50"/>
        <bgColor rgb="FF444444"/>
      </patternFill>
    </fill>
    <fill>
      <patternFill patternType="solid">
        <fgColor rgb="FFFFD966"/>
        <bgColor rgb="FFFFFF99"/>
      </patternFill>
    </fill>
  </fills>
  <borders count="5">
    <border>
      <left/>
      <right/>
      <top/>
      <bottom/>
      <diagonal/>
    </border>
    <border>
      <left style="thin">
        <color rgb="FFC9A84C"/>
      </left>
      <right/>
      <top style="thin">
        <color rgb="FFC9A84C"/>
      </top>
      <bottom style="thin">
        <color rgb="FFC9A84C"/>
      </bottom>
      <diagonal/>
    </border>
    <border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>
      <left style="thin">
        <color rgb="FFD0CBBE"/>
      </left>
      <right style="thin">
        <color rgb="FFD0CBBE"/>
      </right>
      <top style="thin">
        <color rgb="FFD0CBBE"/>
      </top>
      <bottom style="thin">
        <color rgb="FFD0CBBE"/>
      </bottom>
      <diagonal/>
    </border>
    <border>
      <left style="thin">
        <color rgb="FFD0CBBE"/>
      </left>
      <right/>
      <top style="thin">
        <color rgb="FFD0CBBE"/>
      </top>
      <bottom style="thin">
        <color rgb="FFD0CBBE"/>
      </bottom>
      <diagonal/>
    </border>
  </borders>
  <cellStyleXfs count="1">
    <xf numFmtId="0" fontId="0" fillId="0" borderId="0"/>
  </cellStyleXfs>
  <cellXfs count="58">
    <xf numFmtId="0" fontId="0" fillId="0" borderId="0" xfId="0"/>
    <xf numFmtId="164" fontId="10" fillId="4" borderId="3" xfId="0" applyNumberFormat="1" applyFont="1" applyFill="1" applyBorder="1" applyAlignment="1">
      <alignment horizontal="right" vertical="center"/>
    </xf>
    <xf numFmtId="9" fontId="10" fillId="5" borderId="3" xfId="0" applyNumberFormat="1" applyFont="1" applyFill="1" applyBorder="1" applyAlignment="1">
      <alignment horizontal="right" vertical="center"/>
    </xf>
    <xf numFmtId="0" fontId="4" fillId="5" borderId="4" xfId="0" applyFont="1" applyFill="1" applyBorder="1" applyAlignment="1">
      <alignment horizontal="left" vertical="center" wrapText="1" indent="1"/>
    </xf>
    <xf numFmtId="164" fontId="14" fillId="7" borderId="3" xfId="0" applyNumberFormat="1" applyFont="1" applyFill="1" applyBorder="1" applyAlignment="1">
      <alignment horizontal="right" vertical="center"/>
    </xf>
    <xf numFmtId="0" fontId="4" fillId="4" borderId="4" xfId="0" applyFont="1" applyFill="1" applyBorder="1" applyAlignment="1">
      <alignment horizontal="left" vertical="center" wrapText="1" indent="1"/>
    </xf>
    <xf numFmtId="0" fontId="8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vertical="center" indent="1"/>
    </xf>
    <xf numFmtId="0" fontId="4" fillId="5" borderId="0" xfId="0" applyFont="1" applyFill="1" applyAlignment="1">
      <alignment vertical="center" indent="1"/>
    </xf>
    <xf numFmtId="0" fontId="4" fillId="4" borderId="0" xfId="0" applyFont="1" applyFill="1" applyAlignment="1">
      <alignment horizontal="left" vertical="center" wrapText="1" indent="2"/>
    </xf>
    <xf numFmtId="0" fontId="5" fillId="5" borderId="0" xfId="0" applyFont="1" applyFill="1" applyAlignment="1">
      <alignment horizontal="left" vertical="center" wrapText="1" indent="2"/>
    </xf>
    <xf numFmtId="0" fontId="3" fillId="3" borderId="1" xfId="0" applyFont="1" applyFill="1" applyBorder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 wrapText="1" indent="2"/>
    </xf>
    <xf numFmtId="0" fontId="6" fillId="5" borderId="0" xfId="0" applyFont="1" applyFill="1" applyAlignment="1">
      <alignment vertical="center" indent="2"/>
    </xf>
    <xf numFmtId="0" fontId="6" fillId="4" borderId="0" xfId="0" applyFont="1" applyFill="1" applyAlignment="1">
      <alignment vertical="center" indent="2"/>
    </xf>
    <xf numFmtId="0" fontId="9" fillId="6" borderId="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164" fontId="10" fillId="4" borderId="3" xfId="0" applyNumberFormat="1" applyFont="1" applyFill="1" applyBorder="1" applyAlignment="1">
      <alignment horizontal="center" vertical="center"/>
    </xf>
    <xf numFmtId="165" fontId="10" fillId="4" borderId="3" xfId="0" applyNumberFormat="1" applyFont="1" applyFill="1" applyBorder="1" applyAlignment="1">
      <alignment horizontal="center" vertical="center"/>
    </xf>
    <xf numFmtId="166" fontId="11" fillId="4" borderId="3" xfId="0" applyNumberFormat="1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right" vertical="center"/>
    </xf>
    <xf numFmtId="164" fontId="14" fillId="7" borderId="3" xfId="0" applyNumberFormat="1" applyFont="1" applyFill="1" applyBorder="1" applyAlignment="1">
      <alignment horizontal="right" vertical="center"/>
    </xf>
    <xf numFmtId="0" fontId="13" fillId="5" borderId="3" xfId="0" applyFont="1" applyFill="1" applyBorder="1" applyAlignment="1">
      <alignment horizontal="right" vertical="center"/>
    </xf>
    <xf numFmtId="0" fontId="4" fillId="5" borderId="3" xfId="0" applyFont="1" applyFill="1" applyBorder="1" applyAlignment="1">
      <alignment vertical="center" indent="2"/>
    </xf>
    <xf numFmtId="0" fontId="4" fillId="4" borderId="3" xfId="0" applyFont="1" applyFill="1" applyBorder="1" applyAlignment="1">
      <alignment vertical="center" indent="2"/>
    </xf>
    <xf numFmtId="0" fontId="5" fillId="5" borderId="3" xfId="0" applyFont="1" applyFill="1" applyBorder="1" applyAlignment="1">
      <alignment horizontal="center" vertical="center"/>
    </xf>
    <xf numFmtId="2" fontId="14" fillId="5" borderId="3" xfId="0" applyNumberFormat="1" applyFont="1" applyFill="1" applyBorder="1" applyAlignment="1">
      <alignment horizontal="center" vertical="center"/>
    </xf>
    <xf numFmtId="164" fontId="14" fillId="5" borderId="3" xfId="0" applyNumberFormat="1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2" fontId="14" fillId="4" borderId="3" xfId="0" applyNumberFormat="1" applyFont="1" applyFill="1" applyBorder="1" applyAlignment="1">
      <alignment horizontal="center" vertical="center"/>
    </xf>
    <xf numFmtId="164" fontId="14" fillId="4" borderId="3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vertical="center" indent="1"/>
    </xf>
    <xf numFmtId="164" fontId="14" fillId="4" borderId="3" xfId="0" applyNumberFormat="1" applyFont="1" applyFill="1" applyBorder="1" applyAlignment="1">
      <alignment horizontal="right" vertical="center"/>
    </xf>
    <xf numFmtId="3" fontId="14" fillId="4" borderId="3" xfId="0" applyNumberFormat="1" applyFont="1" applyFill="1" applyBorder="1" applyAlignment="1">
      <alignment horizontal="right" vertical="center"/>
    </xf>
    <xf numFmtId="0" fontId="5" fillId="5" borderId="3" xfId="0" applyFont="1" applyFill="1" applyBorder="1" applyAlignment="1">
      <alignment vertical="center" indent="1"/>
    </xf>
    <xf numFmtId="164" fontId="14" fillId="5" borderId="3" xfId="0" applyNumberFormat="1" applyFont="1" applyFill="1" applyBorder="1" applyAlignment="1">
      <alignment horizontal="right" vertical="center"/>
    </xf>
    <xf numFmtId="3" fontId="14" fillId="5" borderId="3" xfId="0" applyNumberFormat="1" applyFont="1" applyFill="1" applyBorder="1" applyAlignment="1">
      <alignment horizontal="right" vertical="center"/>
    </xf>
    <xf numFmtId="0" fontId="16" fillId="4" borderId="3" xfId="0" applyFont="1" applyFill="1" applyBorder="1" applyAlignment="1">
      <alignment horizontal="left" vertical="center" wrapText="1" indent="1"/>
    </xf>
    <xf numFmtId="0" fontId="4" fillId="4" borderId="3" xfId="0" applyFont="1" applyFill="1" applyBorder="1" applyAlignment="1">
      <alignment horizontal="left" vertical="center" wrapText="1" indent="1"/>
    </xf>
    <xf numFmtId="0" fontId="17" fillId="4" borderId="3" xfId="0" applyFont="1" applyFill="1" applyBorder="1" applyAlignment="1">
      <alignment horizontal="left" vertical="center" wrapText="1" indent="1"/>
    </xf>
    <xf numFmtId="0" fontId="18" fillId="4" borderId="3" xfId="0" applyFont="1" applyFill="1" applyBorder="1" applyAlignment="1">
      <alignment horizontal="left" vertical="center" wrapText="1" indent="1"/>
    </xf>
    <xf numFmtId="0" fontId="16" fillId="5" borderId="3" xfId="0" applyFont="1" applyFill="1" applyBorder="1" applyAlignment="1">
      <alignment horizontal="left" vertical="center" wrapText="1" indent="1"/>
    </xf>
    <xf numFmtId="0" fontId="4" fillId="5" borderId="3" xfId="0" applyFont="1" applyFill="1" applyBorder="1" applyAlignment="1">
      <alignment horizontal="left" vertical="center" wrapText="1" indent="1"/>
    </xf>
    <xf numFmtId="0" fontId="17" fillId="5" borderId="3" xfId="0" applyFont="1" applyFill="1" applyBorder="1" applyAlignment="1">
      <alignment horizontal="left" vertical="center" wrapText="1" indent="1"/>
    </xf>
    <xf numFmtId="0" fontId="18" fillId="5" borderId="3" xfId="0" applyFont="1" applyFill="1" applyBorder="1" applyAlignment="1">
      <alignment horizontal="left" vertical="center" wrapText="1" indent="1"/>
    </xf>
    <xf numFmtId="3" fontId="10" fillId="5" borderId="3" xfId="0" applyNumberFormat="1" applyFont="1" applyFill="1" applyBorder="1" applyAlignment="1">
      <alignment horizontal="right" vertical="center"/>
    </xf>
    <xf numFmtId="3" fontId="10" fillId="4" borderId="3" xfId="0" applyNumberFormat="1" applyFont="1" applyFill="1" applyBorder="1" applyAlignment="1">
      <alignment horizontal="right" vertical="center"/>
    </xf>
    <xf numFmtId="164" fontId="10" fillId="5" borderId="3" xfId="0" applyNumberFormat="1" applyFont="1" applyFill="1" applyBorder="1" applyAlignment="1">
      <alignment horizontal="right" vertical="center"/>
    </xf>
    <xf numFmtId="10" fontId="14" fillId="7" borderId="3" xfId="0" applyNumberFormat="1" applyFont="1" applyFill="1" applyBorder="1" applyAlignment="1">
      <alignment horizontal="right" vertical="center"/>
    </xf>
    <xf numFmtId="10" fontId="10" fillId="5" borderId="3" xfId="0" applyNumberFormat="1" applyFont="1" applyFill="1" applyBorder="1" applyAlignment="1">
      <alignment horizontal="right" vertical="center"/>
    </xf>
    <xf numFmtId="2" fontId="10" fillId="4" borderId="3" xfId="0" applyNumberFormat="1" applyFont="1" applyFill="1" applyBorder="1" applyAlignment="1">
      <alignment horizontal="right" vertical="center"/>
    </xf>
    <xf numFmtId="0" fontId="15" fillId="4" borderId="0" xfId="0" applyFont="1" applyFill="1" applyAlignment="1">
      <alignment vertical="center" wrapText="1" indent="2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1A5C3A"/>
      <rgbColor rgb="FFD0CBBE"/>
      <rgbColor rgb="FF808080"/>
      <rgbColor rgb="FF9999FF"/>
      <rgbColor rgb="FF993366"/>
      <rgbColor rgb="FFFAF8F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555555"/>
      <rgbColor rgb="FFC9A84C"/>
      <rgbColor rgb="FF0A3D6B"/>
      <rgbColor rgb="FF4A7C5E"/>
      <rgbColor rgb="FF0E1116"/>
      <rgbColor rgb="FF1A1F2C"/>
      <rgbColor rgb="FF993300"/>
      <rgbColor rgb="FF993366"/>
      <rgbColor rgb="FF444444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834DDCD-403F-E544-BF66-065072952408}">
  <we:reference id="wa200010215" version="2.0.0.0" store="en-U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tabSelected="1" zoomScaleNormal="100" workbookViewId="0">
      <selection sqref="A1:H1"/>
    </sheetView>
  </sheetViews>
  <sheetFormatPr baseColWidth="10" defaultColWidth="8.6640625" defaultRowHeight="15" x14ac:dyDescent="0.2"/>
  <cols>
    <col min="1" max="1" width="38" customWidth="1"/>
    <col min="2" max="8" width="16" customWidth="1"/>
  </cols>
  <sheetData>
    <row r="1" spans="1:8" ht="31.5" customHeight="1" x14ac:dyDescent="0.2">
      <c r="A1" s="14" t="s">
        <v>0</v>
      </c>
      <c r="B1" s="14"/>
      <c r="C1" s="14"/>
      <c r="D1" s="14"/>
      <c r="E1" s="14"/>
      <c r="F1" s="14"/>
      <c r="G1" s="14"/>
      <c r="H1" s="14"/>
    </row>
    <row r="2" spans="1:8" ht="19.5" customHeight="1" x14ac:dyDescent="0.2">
      <c r="A2" s="13" t="s">
        <v>1</v>
      </c>
      <c r="B2" s="13"/>
      <c r="C2" s="13"/>
      <c r="D2" s="13"/>
      <c r="E2" s="13"/>
      <c r="F2" s="13"/>
      <c r="G2" s="13"/>
      <c r="H2" s="13"/>
    </row>
    <row r="3" spans="1:8" ht="7.5" customHeight="1" x14ac:dyDescent="0.2"/>
    <row r="4" spans="1:8" ht="18" customHeight="1" x14ac:dyDescent="0.2">
      <c r="A4" s="12" t="s">
        <v>2</v>
      </c>
      <c r="B4" s="12"/>
      <c r="C4" s="12"/>
      <c r="D4" s="12"/>
      <c r="E4" s="12"/>
      <c r="F4" s="12"/>
      <c r="G4" s="12"/>
      <c r="H4" s="12"/>
    </row>
    <row r="5" spans="1:8" ht="30" x14ac:dyDescent="0.2">
      <c r="A5" s="15" t="s">
        <v>3</v>
      </c>
    </row>
    <row r="6" spans="1:8" ht="45" x14ac:dyDescent="0.2">
      <c r="A6" s="15" t="s">
        <v>4</v>
      </c>
    </row>
    <row r="7" spans="1:8" ht="45" x14ac:dyDescent="0.2">
      <c r="A7" s="15" t="s">
        <v>5</v>
      </c>
    </row>
    <row r="8" spans="1:8" ht="30" x14ac:dyDescent="0.2">
      <c r="A8" s="15" t="s">
        <v>6</v>
      </c>
    </row>
    <row r="9" spans="1:8" ht="45" x14ac:dyDescent="0.2">
      <c r="A9" s="15" t="s">
        <v>7</v>
      </c>
    </row>
    <row r="10" spans="1:8" ht="7.5" customHeight="1" x14ac:dyDescent="0.2"/>
    <row r="11" spans="1:8" ht="18" customHeight="1" x14ac:dyDescent="0.2">
      <c r="A11" s="12" t="s">
        <v>8</v>
      </c>
      <c r="B11" s="12"/>
      <c r="C11" s="12"/>
      <c r="D11" s="12"/>
      <c r="E11" s="12"/>
      <c r="F11" s="12"/>
      <c r="G11" s="12"/>
      <c r="H11" s="12"/>
    </row>
    <row r="12" spans="1:8" ht="18" customHeight="1" x14ac:dyDescent="0.2">
      <c r="A12" s="11" t="s">
        <v>9</v>
      </c>
      <c r="B12" s="11"/>
      <c r="C12" s="11"/>
      <c r="D12" s="11"/>
      <c r="E12" s="11"/>
      <c r="F12" s="11"/>
      <c r="G12" s="11"/>
      <c r="H12" s="11"/>
    </row>
    <row r="13" spans="1:8" ht="18" customHeight="1" x14ac:dyDescent="0.2">
      <c r="A13" s="10" t="s">
        <v>10</v>
      </c>
      <c r="B13" s="10"/>
      <c r="C13" s="10"/>
      <c r="D13" s="10"/>
      <c r="E13" s="10"/>
      <c r="F13" s="10"/>
      <c r="G13" s="10"/>
      <c r="H13" s="10"/>
    </row>
    <row r="14" spans="1:8" ht="18" customHeight="1" x14ac:dyDescent="0.2">
      <c r="A14" s="11" t="s">
        <v>11</v>
      </c>
      <c r="B14" s="11"/>
      <c r="C14" s="11"/>
      <c r="D14" s="11"/>
      <c r="E14" s="11"/>
      <c r="F14" s="11"/>
      <c r="G14" s="11"/>
      <c r="H14" s="11"/>
    </row>
    <row r="15" spans="1:8" ht="18" customHeight="1" x14ac:dyDescent="0.2">
      <c r="A15" s="10" t="s">
        <v>12</v>
      </c>
      <c r="B15" s="10"/>
      <c r="C15" s="10"/>
      <c r="D15" s="10"/>
      <c r="E15" s="10"/>
      <c r="F15" s="10"/>
      <c r="G15" s="10"/>
      <c r="H15" s="10"/>
    </row>
    <row r="16" spans="1:8" ht="7.5" customHeight="1" x14ac:dyDescent="0.2"/>
    <row r="17" spans="1:8" ht="18" customHeight="1" x14ac:dyDescent="0.2">
      <c r="A17" s="12" t="s">
        <v>13</v>
      </c>
      <c r="B17" s="12"/>
      <c r="C17" s="12"/>
      <c r="D17" s="12"/>
      <c r="E17" s="12"/>
      <c r="F17" s="12"/>
      <c r="G17" s="12"/>
      <c r="H17" s="12"/>
    </row>
    <row r="18" spans="1:8" ht="18" customHeight="1" x14ac:dyDescent="0.2">
      <c r="A18" s="16" t="s">
        <v>14</v>
      </c>
      <c r="B18" s="9" t="s">
        <v>15</v>
      </c>
      <c r="C18" s="9"/>
      <c r="D18" s="9"/>
      <c r="E18" s="9"/>
      <c r="F18" s="9"/>
      <c r="G18" s="9"/>
      <c r="H18" s="9"/>
    </row>
    <row r="19" spans="1:8" ht="18" customHeight="1" x14ac:dyDescent="0.2">
      <c r="A19" s="17" t="s">
        <v>16</v>
      </c>
      <c r="B19" s="8" t="s">
        <v>17</v>
      </c>
      <c r="C19" s="8"/>
      <c r="D19" s="8"/>
      <c r="E19" s="8"/>
      <c r="F19" s="8"/>
      <c r="G19" s="8"/>
      <c r="H19" s="8"/>
    </row>
    <row r="20" spans="1:8" ht="18" customHeight="1" x14ac:dyDescent="0.2">
      <c r="A20" s="16" t="s">
        <v>18</v>
      </c>
      <c r="B20" s="9" t="s">
        <v>19</v>
      </c>
      <c r="C20" s="9"/>
      <c r="D20" s="9"/>
      <c r="E20" s="9"/>
      <c r="F20" s="9"/>
      <c r="G20" s="9"/>
      <c r="H20" s="9"/>
    </row>
    <row r="21" spans="1:8" ht="18" customHeight="1" x14ac:dyDescent="0.2">
      <c r="A21" s="17" t="s">
        <v>20</v>
      </c>
      <c r="B21" s="8" t="s">
        <v>21</v>
      </c>
      <c r="C21" s="8"/>
      <c r="D21" s="8"/>
      <c r="E21" s="8"/>
      <c r="F21" s="8"/>
      <c r="G21" s="8"/>
      <c r="H21" s="8"/>
    </row>
  </sheetData>
  <mergeCells count="13">
    <mergeCell ref="B19:H19"/>
    <mergeCell ref="B20:H20"/>
    <mergeCell ref="B21:H21"/>
    <mergeCell ref="A13:H13"/>
    <mergeCell ref="A14:H14"/>
    <mergeCell ref="A15:H15"/>
    <mergeCell ref="A17:H17"/>
    <mergeCell ref="B18:H18"/>
    <mergeCell ref="A1:H1"/>
    <mergeCell ref="A2:H2"/>
    <mergeCell ref="A4:H4"/>
    <mergeCell ref="A11:H11"/>
    <mergeCell ref="A12:H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showGridLines="0" zoomScaleNormal="100" workbookViewId="0"/>
  </sheetViews>
  <sheetFormatPr baseColWidth="10" defaultColWidth="8.6640625" defaultRowHeight="15" x14ac:dyDescent="0.2"/>
  <cols>
    <col min="1" max="1" width="30" customWidth="1"/>
    <col min="2" max="2" width="16" customWidth="1"/>
    <col min="3" max="4" width="12" customWidth="1"/>
    <col min="5" max="6" width="13" customWidth="1"/>
    <col min="7" max="9" width="14" customWidth="1"/>
  </cols>
  <sheetData>
    <row r="1" spans="1:9" ht="30" customHeight="1" x14ac:dyDescent="0.2">
      <c r="A1" s="7" t="s">
        <v>22</v>
      </c>
      <c r="B1" s="7"/>
      <c r="C1" s="7"/>
      <c r="D1" s="7"/>
      <c r="E1" s="7"/>
      <c r="F1" s="7"/>
      <c r="G1" s="7"/>
      <c r="H1" s="7"/>
      <c r="I1" s="7"/>
    </row>
    <row r="2" spans="1:9" ht="18" customHeight="1" x14ac:dyDescent="0.2">
      <c r="A2" s="6" t="s">
        <v>23</v>
      </c>
      <c r="B2" s="6"/>
      <c r="C2" s="6"/>
      <c r="D2" s="6"/>
      <c r="E2" s="6"/>
      <c r="F2" s="6"/>
      <c r="G2" s="6"/>
      <c r="H2" s="6"/>
      <c r="I2" s="6"/>
    </row>
    <row r="3" spans="1:9" ht="7.5" customHeight="1" x14ac:dyDescent="0.2"/>
    <row r="4" spans="1:9" ht="18" customHeight="1" x14ac:dyDescent="0.2">
      <c r="A4" s="12" t="s">
        <v>24</v>
      </c>
      <c r="B4" s="12"/>
      <c r="C4" s="12"/>
      <c r="D4" s="12"/>
      <c r="E4" s="12"/>
      <c r="F4" s="12"/>
      <c r="G4" s="12"/>
      <c r="H4" s="12"/>
      <c r="I4" s="12"/>
    </row>
    <row r="5" spans="1:9" ht="18" customHeight="1" x14ac:dyDescent="0.2">
      <c r="A5" s="18" t="s">
        <v>25</v>
      </c>
      <c r="B5" s="18" t="s">
        <v>26</v>
      </c>
      <c r="C5" s="18" t="s">
        <v>27</v>
      </c>
      <c r="D5" s="18" t="s">
        <v>28</v>
      </c>
      <c r="E5" s="18" t="s">
        <v>29</v>
      </c>
      <c r="F5" s="18" t="s">
        <v>30</v>
      </c>
      <c r="G5" s="18" t="s">
        <v>31</v>
      </c>
      <c r="H5" s="18" t="s">
        <v>32</v>
      </c>
      <c r="I5" s="18" t="s">
        <v>33</v>
      </c>
    </row>
    <row r="6" spans="1:9" ht="19.5" customHeight="1" x14ac:dyDescent="0.2">
      <c r="A6" s="19" t="s">
        <v>34</v>
      </c>
      <c r="B6" s="20">
        <v>39.619999999999997</v>
      </c>
      <c r="C6" s="20">
        <v>39.549999999999997</v>
      </c>
      <c r="D6" s="20">
        <v>39.68</v>
      </c>
      <c r="E6" s="20">
        <v>44.1</v>
      </c>
      <c r="F6" s="20">
        <v>31.2</v>
      </c>
      <c r="G6" s="21">
        <v>18.399999999999999</v>
      </c>
      <c r="H6" s="20">
        <v>1.21</v>
      </c>
      <c r="I6" s="22">
        <f>H6/B6</f>
        <v>3.0540131246845029E-2</v>
      </c>
    </row>
    <row r="7" spans="1:9" ht="7.5" customHeight="1" x14ac:dyDescent="0.2"/>
    <row r="8" spans="1:9" ht="18" customHeight="1" x14ac:dyDescent="0.2">
      <c r="A8" s="12" t="s">
        <v>35</v>
      </c>
      <c r="B8" s="12"/>
      <c r="C8" s="12"/>
      <c r="D8" s="12"/>
      <c r="E8" s="12"/>
      <c r="F8" s="12"/>
      <c r="G8" s="12"/>
      <c r="H8" s="12"/>
      <c r="I8" s="12"/>
    </row>
    <row r="9" spans="1:9" ht="19.5" customHeight="1" x14ac:dyDescent="0.2">
      <c r="A9" s="23" t="s">
        <v>36</v>
      </c>
      <c r="B9" s="5" t="s">
        <v>37</v>
      </c>
      <c r="C9" s="5"/>
      <c r="D9" s="5"/>
      <c r="E9" s="5"/>
      <c r="F9" s="5"/>
      <c r="G9" s="24" t="s">
        <v>38</v>
      </c>
      <c r="H9" s="4"/>
      <c r="I9" s="4"/>
    </row>
    <row r="10" spans="1:9" ht="19.5" customHeight="1" x14ac:dyDescent="0.2">
      <c r="A10" s="23" t="s">
        <v>39</v>
      </c>
      <c r="B10" s="3" t="s">
        <v>40</v>
      </c>
      <c r="C10" s="3"/>
      <c r="D10" s="3"/>
      <c r="E10" s="3"/>
      <c r="F10" s="3"/>
      <c r="G10" s="26" t="s">
        <v>38</v>
      </c>
      <c r="H10" s="4"/>
      <c r="I10" s="4"/>
    </row>
    <row r="11" spans="1:9" ht="19.5" customHeight="1" x14ac:dyDescent="0.2">
      <c r="A11" s="23" t="s">
        <v>41</v>
      </c>
      <c r="B11" s="5" t="s">
        <v>42</v>
      </c>
      <c r="C11" s="5"/>
      <c r="D11" s="5"/>
      <c r="E11" s="5"/>
      <c r="F11" s="5"/>
      <c r="G11" s="24" t="s">
        <v>38</v>
      </c>
      <c r="H11" s="4"/>
      <c r="I11" s="4"/>
    </row>
    <row r="12" spans="1:9" ht="7.5" customHeight="1" x14ac:dyDescent="0.2"/>
    <row r="13" spans="1:9" ht="18" customHeight="1" x14ac:dyDescent="0.2">
      <c r="A13" s="12" t="s">
        <v>43</v>
      </c>
      <c r="B13" s="12"/>
      <c r="C13" s="12"/>
      <c r="D13" s="12"/>
      <c r="E13" s="12"/>
      <c r="F13" s="12"/>
      <c r="G13" s="12"/>
      <c r="H13" s="12"/>
      <c r="I13" s="12"/>
    </row>
    <row r="14" spans="1:9" ht="18" customHeight="1" x14ac:dyDescent="0.2">
      <c r="A14" s="27" t="s">
        <v>44</v>
      </c>
      <c r="B14" s="2">
        <v>0.08</v>
      </c>
      <c r="C14" s="2"/>
      <c r="D14" s="2"/>
    </row>
    <row r="15" spans="1:9" ht="18" customHeight="1" x14ac:dyDescent="0.2">
      <c r="A15" s="28" t="s">
        <v>45</v>
      </c>
      <c r="B15" s="1">
        <v>50</v>
      </c>
      <c r="C15" s="1"/>
      <c r="D15" s="1"/>
    </row>
    <row r="16" spans="1:9" ht="18" customHeight="1" x14ac:dyDescent="0.2">
      <c r="A16" s="27" t="s">
        <v>46</v>
      </c>
      <c r="B16" s="51">
        <v>1000</v>
      </c>
      <c r="C16" s="51"/>
      <c r="D16" s="51"/>
    </row>
    <row r="17" spans="1:9" ht="18" customHeight="1" x14ac:dyDescent="0.2">
      <c r="A17" s="28" t="s">
        <v>47</v>
      </c>
      <c r="B17" s="52">
        <v>4000</v>
      </c>
      <c r="C17" s="52"/>
      <c r="D17" s="52"/>
    </row>
    <row r="18" spans="1:9" ht="18" customHeight="1" x14ac:dyDescent="0.2">
      <c r="A18" s="27" t="s">
        <v>48</v>
      </c>
      <c r="B18" s="53">
        <v>10000</v>
      </c>
      <c r="C18" s="53"/>
      <c r="D18" s="53"/>
    </row>
    <row r="19" spans="1:9" ht="19.5" customHeight="1" x14ac:dyDescent="0.2">
      <c r="A19" s="23" t="s">
        <v>49</v>
      </c>
      <c r="B19" s="5" t="s">
        <v>50</v>
      </c>
      <c r="C19" s="5"/>
      <c r="D19" s="5"/>
      <c r="E19" s="5"/>
      <c r="F19" s="5"/>
      <c r="G19" s="24" t="s">
        <v>38</v>
      </c>
      <c r="H19" s="4"/>
      <c r="I19" s="4"/>
    </row>
    <row r="20" spans="1:9" ht="19.5" customHeight="1" x14ac:dyDescent="0.2">
      <c r="A20" s="23" t="s">
        <v>51</v>
      </c>
      <c r="B20" s="3" t="s">
        <v>52</v>
      </c>
      <c r="C20" s="3"/>
      <c r="D20" s="3"/>
      <c r="E20" s="3"/>
      <c r="F20" s="3"/>
      <c r="G20" s="26" t="s">
        <v>38</v>
      </c>
      <c r="H20" s="4"/>
      <c r="I20" s="4"/>
    </row>
    <row r="21" spans="1:9" ht="19.5" customHeight="1" x14ac:dyDescent="0.2">
      <c r="A21" s="23" t="s">
        <v>53</v>
      </c>
      <c r="B21" s="5" t="s">
        <v>54</v>
      </c>
      <c r="C21" s="5"/>
      <c r="D21" s="5"/>
      <c r="E21" s="5"/>
      <c r="F21" s="5"/>
      <c r="G21" s="24" t="s">
        <v>38</v>
      </c>
      <c r="H21" s="4"/>
      <c r="I21" s="4"/>
    </row>
    <row r="22" spans="1:9" ht="19.5" customHeight="1" x14ac:dyDescent="0.2">
      <c r="A22" s="23" t="s">
        <v>55</v>
      </c>
      <c r="B22" s="3" t="s">
        <v>56</v>
      </c>
      <c r="C22" s="3"/>
      <c r="D22" s="3"/>
      <c r="E22" s="3"/>
      <c r="F22" s="3"/>
      <c r="G22" s="26" t="s">
        <v>38</v>
      </c>
      <c r="H22" s="4"/>
      <c r="I22" s="4"/>
    </row>
    <row r="23" spans="1:9" ht="7.5" customHeight="1" x14ac:dyDescent="0.2"/>
    <row r="24" spans="1:9" ht="18" customHeight="1" x14ac:dyDescent="0.2">
      <c r="A24" s="12" t="s">
        <v>57</v>
      </c>
      <c r="B24" s="12"/>
      <c r="C24" s="12"/>
      <c r="D24" s="12"/>
      <c r="E24" s="12"/>
      <c r="F24" s="12"/>
      <c r="G24" s="12"/>
      <c r="H24" s="12"/>
      <c r="I24" s="12"/>
    </row>
    <row r="25" spans="1:9" ht="18" customHeight="1" x14ac:dyDescent="0.2">
      <c r="A25" s="28" t="s">
        <v>58</v>
      </c>
      <c r="B25" s="52">
        <v>200</v>
      </c>
      <c r="C25" s="52"/>
      <c r="D25" s="52"/>
    </row>
    <row r="26" spans="1:9" ht="18" customHeight="1" x14ac:dyDescent="0.2">
      <c r="A26" s="27" t="s">
        <v>59</v>
      </c>
      <c r="B26" s="53">
        <v>39.090000000000003</v>
      </c>
      <c r="C26" s="53"/>
      <c r="D26" s="53"/>
    </row>
    <row r="27" spans="1:9" ht="18" customHeight="1" x14ac:dyDescent="0.2">
      <c r="A27" s="28" t="s">
        <v>60</v>
      </c>
      <c r="B27" s="1">
        <v>41.1</v>
      </c>
      <c r="C27" s="1"/>
      <c r="D27" s="1"/>
    </row>
    <row r="28" spans="1:9" ht="18" customHeight="1" x14ac:dyDescent="0.2">
      <c r="A28" s="27" t="s">
        <v>61</v>
      </c>
      <c r="B28" s="2">
        <v>0.01</v>
      </c>
      <c r="C28" s="2"/>
      <c r="D28" s="2"/>
    </row>
    <row r="29" spans="1:9" ht="18" customHeight="1" x14ac:dyDescent="0.2">
      <c r="A29" s="28" t="s">
        <v>62</v>
      </c>
      <c r="B29" s="1">
        <v>1.21</v>
      </c>
      <c r="C29" s="1"/>
      <c r="D29" s="1"/>
    </row>
    <row r="30" spans="1:9" ht="19.5" customHeight="1" x14ac:dyDescent="0.2">
      <c r="A30" s="23" t="s">
        <v>49</v>
      </c>
      <c r="B30" s="3" t="s">
        <v>63</v>
      </c>
      <c r="C30" s="3"/>
      <c r="D30" s="3"/>
      <c r="E30" s="3"/>
      <c r="F30" s="3"/>
      <c r="G30" s="26" t="s">
        <v>38</v>
      </c>
      <c r="H30" s="4"/>
      <c r="I30" s="4"/>
    </row>
    <row r="31" spans="1:9" ht="19.5" customHeight="1" x14ac:dyDescent="0.2">
      <c r="A31" s="23" t="s">
        <v>51</v>
      </c>
      <c r="B31" s="5" t="s">
        <v>64</v>
      </c>
      <c r="C31" s="5"/>
      <c r="D31" s="5"/>
      <c r="E31" s="5"/>
      <c r="F31" s="5"/>
      <c r="G31" s="24" t="s">
        <v>38</v>
      </c>
      <c r="H31" s="4"/>
      <c r="I31" s="4"/>
    </row>
    <row r="32" spans="1:9" ht="19.5" customHeight="1" x14ac:dyDescent="0.2">
      <c r="A32" s="23" t="s">
        <v>53</v>
      </c>
      <c r="B32" s="3" t="s">
        <v>65</v>
      </c>
      <c r="C32" s="3"/>
      <c r="D32" s="3"/>
      <c r="E32" s="3"/>
      <c r="F32" s="3"/>
      <c r="G32" s="26" t="s">
        <v>38</v>
      </c>
      <c r="H32" s="4"/>
      <c r="I32" s="4"/>
    </row>
    <row r="33" spans="1:9" ht="19.5" customHeight="1" x14ac:dyDescent="0.2">
      <c r="A33" s="23" t="s">
        <v>55</v>
      </c>
      <c r="B33" s="5" t="s">
        <v>66</v>
      </c>
      <c r="C33" s="5"/>
      <c r="D33" s="5"/>
      <c r="E33" s="5"/>
      <c r="F33" s="5"/>
      <c r="G33" s="24" t="s">
        <v>38</v>
      </c>
      <c r="H33" s="4"/>
      <c r="I33" s="4"/>
    </row>
    <row r="34" spans="1:9" ht="19.5" customHeight="1" x14ac:dyDescent="0.2">
      <c r="A34" s="23" t="s">
        <v>67</v>
      </c>
      <c r="B34" s="3" t="s">
        <v>68</v>
      </c>
      <c r="C34" s="3"/>
      <c r="D34" s="3"/>
      <c r="E34" s="3"/>
      <c r="F34" s="3"/>
      <c r="G34" s="26" t="s">
        <v>38</v>
      </c>
      <c r="H34" s="4"/>
      <c r="I34" s="4"/>
    </row>
    <row r="35" spans="1:9" ht="19.5" customHeight="1" x14ac:dyDescent="0.2">
      <c r="A35" s="23" t="s">
        <v>69</v>
      </c>
      <c r="B35" s="5" t="s">
        <v>70</v>
      </c>
      <c r="C35" s="5"/>
      <c r="D35" s="5"/>
      <c r="E35" s="5"/>
      <c r="F35" s="5"/>
      <c r="G35" s="24" t="s">
        <v>38</v>
      </c>
      <c r="H35" s="4"/>
      <c r="I35" s="4"/>
    </row>
    <row r="36" spans="1:9" ht="19.5" customHeight="1" x14ac:dyDescent="0.2">
      <c r="A36" s="23" t="s">
        <v>71</v>
      </c>
      <c r="B36" s="3" t="s">
        <v>72</v>
      </c>
      <c r="C36" s="3"/>
      <c r="D36" s="3"/>
      <c r="E36" s="3"/>
      <c r="F36" s="3"/>
      <c r="G36" s="26" t="s">
        <v>38</v>
      </c>
      <c r="H36" s="4"/>
      <c r="I36" s="4"/>
    </row>
    <row r="37" spans="1:9" ht="19.5" customHeight="1" x14ac:dyDescent="0.2">
      <c r="A37" s="23" t="s">
        <v>73</v>
      </c>
      <c r="B37" s="5" t="s">
        <v>74</v>
      </c>
      <c r="C37" s="5"/>
      <c r="D37" s="5"/>
      <c r="E37" s="5"/>
      <c r="F37" s="5"/>
      <c r="G37" s="24" t="s">
        <v>38</v>
      </c>
      <c r="H37" s="54"/>
      <c r="I37" s="54"/>
    </row>
  </sheetData>
  <mergeCells count="46">
    <mergeCell ref="B37:F37"/>
    <mergeCell ref="H37:I37"/>
    <mergeCell ref="B34:F34"/>
    <mergeCell ref="H34:I34"/>
    <mergeCell ref="B35:F35"/>
    <mergeCell ref="H35:I35"/>
    <mergeCell ref="B36:F36"/>
    <mergeCell ref="H36:I36"/>
    <mergeCell ref="B31:F31"/>
    <mergeCell ref="H31:I31"/>
    <mergeCell ref="B32:F32"/>
    <mergeCell ref="H32:I32"/>
    <mergeCell ref="B33:F33"/>
    <mergeCell ref="H33:I33"/>
    <mergeCell ref="B27:D27"/>
    <mergeCell ref="B28:D28"/>
    <mergeCell ref="B29:D29"/>
    <mergeCell ref="B30:F30"/>
    <mergeCell ref="H30:I30"/>
    <mergeCell ref="B22:F22"/>
    <mergeCell ref="H22:I22"/>
    <mergeCell ref="A24:I24"/>
    <mergeCell ref="B25:D25"/>
    <mergeCell ref="B26:D26"/>
    <mergeCell ref="B19:F19"/>
    <mergeCell ref="H19:I19"/>
    <mergeCell ref="B20:F20"/>
    <mergeCell ref="H20:I20"/>
    <mergeCell ref="B21:F21"/>
    <mergeCell ref="H21:I21"/>
    <mergeCell ref="B14:D14"/>
    <mergeCell ref="B15:D15"/>
    <mergeCell ref="B16:D16"/>
    <mergeCell ref="B17:D17"/>
    <mergeCell ref="B18:D18"/>
    <mergeCell ref="B10:F10"/>
    <mergeCell ref="H10:I10"/>
    <mergeCell ref="B11:F11"/>
    <mergeCell ref="H11:I11"/>
    <mergeCell ref="A13:I13"/>
    <mergeCell ref="A1:I1"/>
    <mergeCell ref="A2:I2"/>
    <mergeCell ref="A4:I4"/>
    <mergeCell ref="A8:I8"/>
    <mergeCell ref="B9:F9"/>
    <mergeCell ref="H9:I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showGridLines="0" zoomScaleNormal="100" workbookViewId="0"/>
  </sheetViews>
  <sheetFormatPr baseColWidth="10" defaultColWidth="8.6640625" defaultRowHeight="15" x14ac:dyDescent="0.2"/>
  <cols>
    <col min="1" max="1" width="22" customWidth="1"/>
    <col min="2" max="2" width="16" customWidth="1"/>
    <col min="3" max="3" width="14" customWidth="1"/>
    <col min="4" max="5" width="16" customWidth="1"/>
    <col min="6" max="6" width="24" customWidth="1"/>
    <col min="7" max="8" width="16" customWidth="1"/>
  </cols>
  <sheetData>
    <row r="1" spans="1:8" ht="30" customHeight="1" x14ac:dyDescent="0.2">
      <c r="A1" s="7" t="s">
        <v>75</v>
      </c>
      <c r="B1" s="7"/>
      <c r="C1" s="7"/>
      <c r="D1" s="7"/>
      <c r="E1" s="7"/>
      <c r="F1" s="7"/>
      <c r="G1" s="7"/>
      <c r="H1" s="7"/>
    </row>
    <row r="2" spans="1:8" ht="18" customHeight="1" x14ac:dyDescent="0.2">
      <c r="A2" s="6" t="s">
        <v>76</v>
      </c>
      <c r="B2" s="6"/>
      <c r="C2" s="6"/>
      <c r="D2" s="6"/>
      <c r="E2" s="6"/>
      <c r="F2" s="6"/>
      <c r="G2" s="6"/>
      <c r="H2" s="6"/>
    </row>
    <row r="3" spans="1:8" ht="7.5" customHeight="1" x14ac:dyDescent="0.2"/>
    <row r="4" spans="1:8" ht="18" customHeight="1" x14ac:dyDescent="0.2">
      <c r="A4" s="12" t="s">
        <v>77</v>
      </c>
      <c r="B4" s="12"/>
      <c r="C4" s="12"/>
      <c r="D4" s="12"/>
      <c r="E4" s="12"/>
      <c r="F4" s="12"/>
      <c r="G4" s="12"/>
      <c r="H4" s="12"/>
    </row>
    <row r="5" spans="1:8" ht="18" customHeight="1" x14ac:dyDescent="0.2">
      <c r="A5" s="28" t="s">
        <v>78</v>
      </c>
      <c r="B5" s="1">
        <v>1000</v>
      </c>
      <c r="C5" s="1"/>
      <c r="D5" s="1"/>
    </row>
    <row r="6" spans="1:8" ht="18" customHeight="1" x14ac:dyDescent="0.2">
      <c r="A6" s="27" t="s">
        <v>79</v>
      </c>
      <c r="B6" s="55">
        <v>0.04</v>
      </c>
      <c r="C6" s="55"/>
      <c r="D6" s="55"/>
    </row>
    <row r="7" spans="1:8" ht="18" customHeight="1" x14ac:dyDescent="0.2">
      <c r="A7" s="28" t="s">
        <v>80</v>
      </c>
      <c r="B7" s="56">
        <v>99.59</v>
      </c>
      <c r="C7" s="56"/>
      <c r="D7" s="56"/>
    </row>
    <row r="8" spans="1:8" ht="18" customHeight="1" x14ac:dyDescent="0.2">
      <c r="A8" s="27" t="s">
        <v>81</v>
      </c>
      <c r="B8" s="51">
        <v>5</v>
      </c>
      <c r="C8" s="51"/>
      <c r="D8" s="51"/>
    </row>
    <row r="9" spans="1:8" ht="19.5" customHeight="1" x14ac:dyDescent="0.2">
      <c r="A9" s="23" t="s">
        <v>49</v>
      </c>
      <c r="B9" s="5" t="s">
        <v>82</v>
      </c>
      <c r="C9" s="5"/>
      <c r="D9" s="5"/>
      <c r="E9" s="5"/>
      <c r="F9" s="24" t="s">
        <v>38</v>
      </c>
      <c r="G9" s="4"/>
      <c r="H9" s="4"/>
    </row>
    <row r="10" spans="1:8" ht="19.5" customHeight="1" x14ac:dyDescent="0.2">
      <c r="A10" s="23" t="s">
        <v>51</v>
      </c>
      <c r="B10" s="3" t="s">
        <v>83</v>
      </c>
      <c r="C10" s="3"/>
      <c r="D10" s="3"/>
      <c r="E10" s="3"/>
      <c r="F10" s="26" t="s">
        <v>38</v>
      </c>
      <c r="G10" s="4"/>
      <c r="H10" s="4"/>
    </row>
    <row r="11" spans="1:8" ht="19.5" customHeight="1" x14ac:dyDescent="0.2">
      <c r="A11" s="23" t="s">
        <v>53</v>
      </c>
      <c r="B11" s="5" t="s">
        <v>84</v>
      </c>
      <c r="C11" s="5"/>
      <c r="D11" s="5"/>
      <c r="E11" s="5"/>
      <c r="F11" s="24" t="s">
        <v>38</v>
      </c>
      <c r="G11" s="4"/>
      <c r="H11" s="4"/>
    </row>
    <row r="12" spans="1:8" ht="19.5" customHeight="1" x14ac:dyDescent="0.2">
      <c r="A12" s="23" t="s">
        <v>55</v>
      </c>
      <c r="B12" s="3" t="s">
        <v>85</v>
      </c>
      <c r="C12" s="3"/>
      <c r="D12" s="3"/>
      <c r="E12" s="3"/>
      <c r="F12" s="26" t="s">
        <v>38</v>
      </c>
      <c r="G12" s="4"/>
      <c r="H12" s="4"/>
    </row>
    <row r="13" spans="1:8" ht="19.5" customHeight="1" x14ac:dyDescent="0.2">
      <c r="A13" s="23" t="s">
        <v>67</v>
      </c>
      <c r="B13" s="5" t="s">
        <v>86</v>
      </c>
      <c r="C13" s="5"/>
      <c r="D13" s="5"/>
      <c r="E13" s="5"/>
      <c r="F13" s="24" t="s">
        <v>38</v>
      </c>
      <c r="G13" s="54"/>
      <c r="H13" s="54"/>
    </row>
    <row r="14" spans="1:8" ht="7.5" customHeight="1" x14ac:dyDescent="0.2"/>
    <row r="15" spans="1:8" ht="18" customHeight="1" x14ac:dyDescent="0.2">
      <c r="A15" s="12" t="s">
        <v>87</v>
      </c>
      <c r="B15" s="12"/>
      <c r="C15" s="12"/>
      <c r="D15" s="12"/>
      <c r="E15" s="12"/>
      <c r="F15" s="12"/>
      <c r="G15" s="12"/>
      <c r="H15" s="12"/>
    </row>
    <row r="16" spans="1:8" ht="19.5" customHeight="1" x14ac:dyDescent="0.2">
      <c r="A16" s="57" t="s">
        <v>88</v>
      </c>
      <c r="B16" s="57"/>
      <c r="C16" s="57"/>
      <c r="D16" s="57"/>
      <c r="E16" s="57"/>
      <c r="F16" s="57"/>
      <c r="G16" s="57"/>
      <c r="H16" s="57"/>
    </row>
    <row r="17" spans="1:6" ht="18" customHeight="1" x14ac:dyDescent="0.2">
      <c r="A17" s="18" t="s">
        <v>89</v>
      </c>
      <c r="B17" s="18" t="s">
        <v>90</v>
      </c>
      <c r="C17" s="18" t="s">
        <v>91</v>
      </c>
      <c r="D17" s="18" t="s">
        <v>92</v>
      </c>
      <c r="E17" s="18" t="s">
        <v>93</v>
      </c>
      <c r="F17" s="18" t="s">
        <v>94</v>
      </c>
    </row>
    <row r="18" spans="1:6" ht="19.5" customHeight="1" x14ac:dyDescent="0.2">
      <c r="A18" s="29" t="s">
        <v>95</v>
      </c>
      <c r="B18" s="30">
        <v>105.25</v>
      </c>
      <c r="C18" s="31">
        <v>1000</v>
      </c>
      <c r="D18" s="25"/>
      <c r="E18" s="25"/>
      <c r="F18" s="32"/>
    </row>
    <row r="19" spans="1:6" ht="19.5" customHeight="1" x14ac:dyDescent="0.2">
      <c r="A19" s="33" t="s">
        <v>96</v>
      </c>
      <c r="B19" s="34">
        <v>98</v>
      </c>
      <c r="C19" s="35">
        <v>1000</v>
      </c>
      <c r="D19" s="25"/>
      <c r="E19" s="25"/>
      <c r="F19" s="32"/>
    </row>
    <row r="20" spans="1:6" ht="19.5" customHeight="1" x14ac:dyDescent="0.2">
      <c r="A20" s="29" t="s">
        <v>97</v>
      </c>
      <c r="B20" s="30">
        <v>100</v>
      </c>
      <c r="C20" s="31">
        <v>1000</v>
      </c>
      <c r="D20" s="25"/>
      <c r="E20" s="25"/>
      <c r="F20" s="32"/>
    </row>
    <row r="21" spans="1:6" ht="19.5" customHeight="1" x14ac:dyDescent="0.2">
      <c r="A21" s="33" t="s">
        <v>98</v>
      </c>
      <c r="B21" s="34">
        <v>112.5</v>
      </c>
      <c r="C21" s="35">
        <v>1000</v>
      </c>
      <c r="D21" s="25"/>
      <c r="E21" s="25"/>
      <c r="F21" s="32"/>
    </row>
  </sheetData>
  <mergeCells count="19">
    <mergeCell ref="A15:H15"/>
    <mergeCell ref="A16:H16"/>
    <mergeCell ref="B11:E11"/>
    <mergeCell ref="G11:H11"/>
    <mergeCell ref="B12:E12"/>
    <mergeCell ref="G12:H12"/>
    <mergeCell ref="B13:E13"/>
    <mergeCell ref="G13:H13"/>
    <mergeCell ref="B7:D7"/>
    <mergeCell ref="B8:D8"/>
    <mergeCell ref="B9:E9"/>
    <mergeCell ref="G9:H9"/>
    <mergeCell ref="B10:E10"/>
    <mergeCell ref="G10:H10"/>
    <mergeCell ref="A1:H1"/>
    <mergeCell ref="A2:H2"/>
    <mergeCell ref="A4:H4"/>
    <mergeCell ref="B5:D5"/>
    <mergeCell ref="B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showGridLines="0" zoomScaleNormal="100" workbookViewId="0"/>
  </sheetViews>
  <sheetFormatPr baseColWidth="10" defaultColWidth="8.6640625" defaultRowHeight="15" x14ac:dyDescent="0.2"/>
  <cols>
    <col min="1" max="1" width="28" customWidth="1"/>
    <col min="2" max="3" width="18" customWidth="1"/>
    <col min="4" max="4" width="20" customWidth="1"/>
    <col min="5" max="5" width="18" customWidth="1"/>
    <col min="6" max="8" width="16" customWidth="1"/>
  </cols>
  <sheetData>
    <row r="1" spans="1:8" ht="30" customHeight="1" x14ac:dyDescent="0.2">
      <c r="A1" s="7" t="s">
        <v>99</v>
      </c>
      <c r="B1" s="7"/>
      <c r="C1" s="7"/>
      <c r="D1" s="7"/>
      <c r="E1" s="7"/>
      <c r="F1" s="7"/>
      <c r="G1" s="7"/>
      <c r="H1" s="7"/>
    </row>
    <row r="2" spans="1:8" ht="18" customHeight="1" x14ac:dyDescent="0.2">
      <c r="A2" s="6" t="s">
        <v>100</v>
      </c>
      <c r="B2" s="6"/>
      <c r="C2" s="6"/>
      <c r="D2" s="6"/>
      <c r="E2" s="6"/>
      <c r="F2" s="6"/>
      <c r="G2" s="6"/>
      <c r="H2" s="6"/>
    </row>
    <row r="3" spans="1:8" ht="7.5" customHeight="1" x14ac:dyDescent="0.2"/>
    <row r="4" spans="1:8" ht="18" customHeight="1" x14ac:dyDescent="0.2">
      <c r="A4" s="12" t="s">
        <v>101</v>
      </c>
      <c r="B4" s="12"/>
      <c r="C4" s="12"/>
      <c r="D4" s="12"/>
      <c r="E4" s="12"/>
      <c r="F4" s="12"/>
      <c r="G4" s="12"/>
      <c r="H4" s="12"/>
    </row>
    <row r="5" spans="1:8" ht="18" customHeight="1" x14ac:dyDescent="0.2">
      <c r="A5" s="28" t="s">
        <v>102</v>
      </c>
      <c r="B5" s="1">
        <v>5550000</v>
      </c>
      <c r="C5" s="1"/>
      <c r="D5" s="1"/>
    </row>
    <row r="6" spans="1:8" ht="18" customHeight="1" x14ac:dyDescent="0.2">
      <c r="A6" s="27" t="s">
        <v>103</v>
      </c>
      <c r="B6" s="53">
        <v>770000</v>
      </c>
      <c r="C6" s="53"/>
      <c r="D6" s="53"/>
    </row>
    <row r="7" spans="1:8" ht="18" customHeight="1" x14ac:dyDescent="0.2">
      <c r="A7" s="28" t="s">
        <v>104</v>
      </c>
      <c r="B7" s="52">
        <v>600000</v>
      </c>
      <c r="C7" s="52"/>
      <c r="D7" s="52"/>
    </row>
    <row r="8" spans="1:8" ht="19.5" customHeight="1" x14ac:dyDescent="0.2">
      <c r="A8" s="23" t="s">
        <v>49</v>
      </c>
      <c r="B8" s="3" t="s">
        <v>105</v>
      </c>
      <c r="C8" s="3"/>
      <c r="D8" s="3"/>
      <c r="E8" s="3"/>
      <c r="F8" s="26" t="s">
        <v>38</v>
      </c>
      <c r="G8" s="4"/>
      <c r="H8" s="4"/>
    </row>
    <row r="9" spans="1:8" ht="19.5" customHeight="1" x14ac:dyDescent="0.2">
      <c r="A9" s="23" t="s">
        <v>51</v>
      </c>
      <c r="B9" s="5" t="s">
        <v>106</v>
      </c>
      <c r="C9" s="5"/>
      <c r="D9" s="5"/>
      <c r="E9" s="5"/>
      <c r="F9" s="24" t="s">
        <v>38</v>
      </c>
      <c r="G9" s="4"/>
      <c r="H9" s="4"/>
    </row>
    <row r="10" spans="1:8" ht="19.5" customHeight="1" x14ac:dyDescent="0.2">
      <c r="A10" s="23" t="s">
        <v>53</v>
      </c>
      <c r="B10" s="3" t="s">
        <v>107</v>
      </c>
      <c r="C10" s="3"/>
      <c r="D10" s="3"/>
      <c r="E10" s="3"/>
      <c r="F10" s="26" t="s">
        <v>38</v>
      </c>
      <c r="G10" s="4"/>
      <c r="H10" s="4"/>
    </row>
    <row r="11" spans="1:8" ht="7.5" customHeight="1" x14ac:dyDescent="0.2"/>
    <row r="12" spans="1:8" ht="18" customHeight="1" x14ac:dyDescent="0.2">
      <c r="A12" s="12" t="s">
        <v>108</v>
      </c>
      <c r="B12" s="12"/>
      <c r="C12" s="12"/>
      <c r="D12" s="12"/>
      <c r="E12" s="12"/>
      <c r="F12" s="12"/>
      <c r="G12" s="12"/>
      <c r="H12" s="12"/>
    </row>
    <row r="13" spans="1:8" ht="18" customHeight="1" x14ac:dyDescent="0.2">
      <c r="A13" s="57" t="s">
        <v>109</v>
      </c>
      <c r="B13" s="57"/>
      <c r="C13" s="57"/>
      <c r="D13" s="57"/>
      <c r="E13" s="57"/>
      <c r="F13" s="57"/>
      <c r="G13" s="57"/>
      <c r="H13" s="57"/>
    </row>
    <row r="14" spans="1:8" ht="21.75" customHeight="1" x14ac:dyDescent="0.2">
      <c r="A14" s="36" t="s">
        <v>110</v>
      </c>
      <c r="B14" s="36" t="s">
        <v>111</v>
      </c>
      <c r="C14" s="36" t="s">
        <v>112</v>
      </c>
      <c r="D14" s="36" t="s">
        <v>104</v>
      </c>
      <c r="E14" s="36" t="s">
        <v>113</v>
      </c>
    </row>
    <row r="15" spans="1:8" ht="19.5" customHeight="1" x14ac:dyDescent="0.2">
      <c r="A15" s="37" t="s">
        <v>114</v>
      </c>
      <c r="B15" s="38">
        <v>4200000</v>
      </c>
      <c r="C15" s="38">
        <v>510000</v>
      </c>
      <c r="D15" s="39">
        <v>750000</v>
      </c>
      <c r="E15" s="25"/>
    </row>
    <row r="16" spans="1:8" ht="19.5" customHeight="1" x14ac:dyDescent="0.2">
      <c r="A16" s="40" t="s">
        <v>115</v>
      </c>
      <c r="B16" s="41">
        <v>9100000</v>
      </c>
      <c r="C16" s="41">
        <v>1200000</v>
      </c>
      <c r="D16" s="42">
        <v>1100000</v>
      </c>
      <c r="E16" s="25"/>
    </row>
    <row r="17" spans="1:5" ht="19.5" customHeight="1" x14ac:dyDescent="0.2">
      <c r="A17" s="37" t="s">
        <v>116</v>
      </c>
      <c r="B17" s="38">
        <v>2800000</v>
      </c>
      <c r="C17" s="38">
        <v>320000</v>
      </c>
      <c r="D17" s="39">
        <v>500000</v>
      </c>
      <c r="E17" s="25"/>
    </row>
  </sheetData>
  <mergeCells count="14">
    <mergeCell ref="B10:E10"/>
    <mergeCell ref="G10:H10"/>
    <mergeCell ref="A12:H12"/>
    <mergeCell ref="A13:H13"/>
    <mergeCell ref="B7:D7"/>
    <mergeCell ref="B8:E8"/>
    <mergeCell ref="G8:H8"/>
    <mergeCell ref="B9:E9"/>
    <mergeCell ref="G9:H9"/>
    <mergeCell ref="A1:H1"/>
    <mergeCell ref="A2:H2"/>
    <mergeCell ref="A4:H4"/>
    <mergeCell ref="B5:D5"/>
    <mergeCell ref="B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showGridLines="0" zoomScaleNormal="100" workbookViewId="0"/>
  </sheetViews>
  <sheetFormatPr baseColWidth="10" defaultColWidth="8.6640625" defaultRowHeight="15" x14ac:dyDescent="0.2"/>
  <cols>
    <col min="1" max="1" width="28" customWidth="1"/>
    <col min="2" max="3" width="34" customWidth="1"/>
    <col min="4" max="4" width="36" customWidth="1"/>
    <col min="5" max="5" width="14" customWidth="1"/>
  </cols>
  <sheetData>
    <row r="1" spans="1:7" ht="30" customHeight="1" x14ac:dyDescent="0.2">
      <c r="A1" s="7" t="s">
        <v>117</v>
      </c>
      <c r="B1" s="7"/>
      <c r="C1" s="7"/>
      <c r="D1" s="7"/>
      <c r="E1" s="7"/>
      <c r="F1" s="7"/>
      <c r="G1" s="7"/>
    </row>
    <row r="2" spans="1:7" ht="18" customHeight="1" x14ac:dyDescent="0.2">
      <c r="A2" s="6" t="s">
        <v>118</v>
      </c>
      <c r="B2" s="6"/>
      <c r="C2" s="6"/>
      <c r="D2" s="6"/>
      <c r="E2" s="6"/>
      <c r="F2" s="6"/>
      <c r="G2" s="6"/>
    </row>
    <row r="3" spans="1:7" ht="7.5" customHeight="1" x14ac:dyDescent="0.2"/>
    <row r="4" spans="1:7" ht="21.75" customHeight="1" x14ac:dyDescent="0.2">
      <c r="A4" s="36" t="s">
        <v>119</v>
      </c>
      <c r="B4" s="36" t="s">
        <v>120</v>
      </c>
      <c r="C4" s="36" t="s">
        <v>121</v>
      </c>
      <c r="D4" s="36" t="s">
        <v>122</v>
      </c>
      <c r="E4" s="36" t="s">
        <v>123</v>
      </c>
    </row>
    <row r="5" spans="1:7" ht="21.75" customHeight="1" x14ac:dyDescent="0.2">
      <c r="A5" s="43" t="s">
        <v>124</v>
      </c>
      <c r="B5" s="44" t="s">
        <v>125</v>
      </c>
      <c r="C5" s="45" t="s">
        <v>126</v>
      </c>
      <c r="D5" s="44" t="s">
        <v>127</v>
      </c>
      <c r="E5" s="46" t="s">
        <v>128</v>
      </c>
    </row>
    <row r="6" spans="1:7" ht="21.75" customHeight="1" x14ac:dyDescent="0.2">
      <c r="A6" s="47" t="s">
        <v>129</v>
      </c>
      <c r="B6" s="48" t="s">
        <v>130</v>
      </c>
      <c r="C6" s="49" t="s">
        <v>131</v>
      </c>
      <c r="D6" s="48" t="s">
        <v>132</v>
      </c>
      <c r="E6" s="50" t="s">
        <v>133</v>
      </c>
    </row>
    <row r="7" spans="1:7" ht="21.75" customHeight="1" x14ac:dyDescent="0.2">
      <c r="A7" s="43" t="s">
        <v>134</v>
      </c>
      <c r="B7" s="44" t="s">
        <v>135</v>
      </c>
      <c r="C7" s="45" t="s">
        <v>136</v>
      </c>
      <c r="D7" s="44" t="s">
        <v>137</v>
      </c>
      <c r="E7" s="46" t="s">
        <v>138</v>
      </c>
    </row>
    <row r="8" spans="1:7" ht="21.75" customHeight="1" x14ac:dyDescent="0.2">
      <c r="A8" s="47" t="s">
        <v>139</v>
      </c>
      <c r="B8" s="48" t="s">
        <v>140</v>
      </c>
      <c r="C8" s="49" t="s">
        <v>141</v>
      </c>
      <c r="D8" s="48" t="s">
        <v>142</v>
      </c>
      <c r="E8" s="50" t="s">
        <v>143</v>
      </c>
    </row>
    <row r="9" spans="1:7" ht="21.75" customHeight="1" x14ac:dyDescent="0.2">
      <c r="A9" s="43" t="s">
        <v>144</v>
      </c>
      <c r="B9" s="44" t="s">
        <v>145</v>
      </c>
      <c r="C9" s="45" t="s">
        <v>146</v>
      </c>
      <c r="D9" s="44" t="s">
        <v>147</v>
      </c>
      <c r="E9" s="46" t="s">
        <v>148</v>
      </c>
    </row>
    <row r="10" spans="1:7" ht="21.75" customHeight="1" x14ac:dyDescent="0.2">
      <c r="A10" s="47" t="s">
        <v>149</v>
      </c>
      <c r="B10" s="48" t="s">
        <v>167</v>
      </c>
      <c r="C10" s="49" t="s">
        <v>168</v>
      </c>
      <c r="D10" s="48" t="s">
        <v>150</v>
      </c>
      <c r="E10" s="50" t="s">
        <v>151</v>
      </c>
    </row>
    <row r="11" spans="1:7" ht="21.75" customHeight="1" x14ac:dyDescent="0.2">
      <c r="A11" s="43" t="s">
        <v>152</v>
      </c>
      <c r="B11" s="44" t="s">
        <v>153</v>
      </c>
      <c r="C11" s="45" t="s">
        <v>154</v>
      </c>
      <c r="D11" s="44" t="s">
        <v>155</v>
      </c>
      <c r="E11" s="46" t="s">
        <v>156</v>
      </c>
    </row>
    <row r="12" spans="1:7" ht="21.75" customHeight="1" x14ac:dyDescent="0.2">
      <c r="A12" s="47" t="s">
        <v>157</v>
      </c>
      <c r="B12" s="48" t="s">
        <v>158</v>
      </c>
      <c r="C12" s="49" t="s">
        <v>159</v>
      </c>
      <c r="D12" s="48" t="s">
        <v>160</v>
      </c>
      <c r="E12" s="50" t="s">
        <v>161</v>
      </c>
    </row>
    <row r="13" spans="1:7" ht="21.75" customHeight="1" x14ac:dyDescent="0.2">
      <c r="A13" s="43" t="s">
        <v>162</v>
      </c>
      <c r="B13" s="44" t="s">
        <v>163</v>
      </c>
      <c r="C13" s="45" t="s">
        <v>164</v>
      </c>
      <c r="D13" s="44" t="s">
        <v>165</v>
      </c>
      <c r="E13" s="46" t="s">
        <v>166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Part A — Stock Analysis</vt:lpstr>
      <vt:lpstr>Part B — Bond Calculations</vt:lpstr>
      <vt:lpstr>Part C — Mutual Fund NAV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2026-06-08T23:28:10Z</dcterms:created>
  <dcterms:modified xsi:type="dcterms:W3CDTF">2026-06-09T01:32:50Z</dcterms:modified>
  <dc:language>en-US</dc:language>
</cp:coreProperties>
</file>